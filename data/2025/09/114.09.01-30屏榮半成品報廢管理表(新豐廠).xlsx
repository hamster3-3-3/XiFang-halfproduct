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680" windowHeight="6465" tabRatio="829" activeTab="1"/>
  </bookViews>
  <sheets>
    <sheet name="日別報廢率總表 " sheetId="16" r:id="rId1"/>
    <sheet name="0930分析標準表 " sheetId="61" r:id="rId2"/>
    <sheet name="0929分析標準表 " sheetId="60" r:id="rId3"/>
    <sheet name="0928分析標準表 " sheetId="59" r:id="rId4"/>
    <sheet name="0927分析標準表 " sheetId="58" r:id="rId5"/>
    <sheet name="0926分析標準表 " sheetId="57" r:id="rId6"/>
    <sheet name="0925分析標準表 " sheetId="56" r:id="rId7"/>
    <sheet name="0924分析標準表 " sheetId="55" r:id="rId8"/>
    <sheet name="0923分析標準表 " sheetId="53" r:id="rId9"/>
    <sheet name="0922分析標準表 " sheetId="52" r:id="rId10"/>
    <sheet name="0921分析標準表 " sheetId="46" r:id="rId11"/>
    <sheet name="0920分析標準表 " sheetId="43" r:id="rId12"/>
    <sheet name="0919分析標準表 " sheetId="51" r:id="rId13"/>
    <sheet name="0918分析標準表 " sheetId="50" r:id="rId14"/>
    <sheet name="0917分析標準表 " sheetId="49" r:id="rId15"/>
    <sheet name="0916分析標準表 " sheetId="38" r:id="rId16"/>
    <sheet name="0915分析標準表 " sheetId="37" r:id="rId17"/>
    <sheet name="0914分析標準表 " sheetId="36" r:id="rId18"/>
    <sheet name="0913分析標準表 " sheetId="35" r:id="rId19"/>
    <sheet name="0912分析標準表 " sheetId="34" r:id="rId20"/>
    <sheet name="0911分析標準表 " sheetId="31" r:id="rId21"/>
    <sheet name="0910分析標準表 " sheetId="30" r:id="rId22"/>
    <sheet name="0909分析標準表 " sheetId="27" r:id="rId23"/>
    <sheet name="0908分析標準表 " sheetId="26" r:id="rId24"/>
    <sheet name="0907分析標準表 " sheetId="25" r:id="rId25"/>
    <sheet name="0906分析標準表 " sheetId="23" r:id="rId26"/>
    <sheet name="0905分析標準表 " sheetId="22" r:id="rId27"/>
    <sheet name="0904分析標準表 " sheetId="21" r:id="rId28"/>
    <sheet name="0903分析標準表 " sheetId="20" r:id="rId29"/>
    <sheet name="0902分析標準表 " sheetId="19" r:id="rId30"/>
    <sheet name="0901分析標準表 " sheetId="18" r:id="rId31"/>
    <sheet name="下拉式選單" sheetId="14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61" l="1"/>
  <c r="J5" i="61"/>
  <c r="K5" i="61" s="1"/>
  <c r="H5" i="61"/>
  <c r="G5" i="61"/>
  <c r="I5" i="61"/>
  <c r="E5" i="61" l="1"/>
  <c r="I33" i="16"/>
  <c r="G33" i="16"/>
  <c r="B33" i="16"/>
  <c r="N37" i="61"/>
  <c r="M37" i="61"/>
  <c r="L37" i="61"/>
  <c r="K37" i="61"/>
  <c r="H37" i="61"/>
  <c r="M36" i="61"/>
  <c r="N36" i="61" s="1"/>
  <c r="L36" i="61"/>
  <c r="K36" i="61"/>
  <c r="H36" i="61"/>
  <c r="M35" i="61"/>
  <c r="N35" i="61" s="1"/>
  <c r="L35" i="61"/>
  <c r="K35" i="61"/>
  <c r="H35" i="61"/>
  <c r="M34" i="61"/>
  <c r="N34" i="61" s="1"/>
  <c r="L34" i="61"/>
  <c r="K34" i="61"/>
  <c r="H34" i="61"/>
  <c r="M33" i="61"/>
  <c r="N33" i="61" s="1"/>
  <c r="L33" i="61"/>
  <c r="K33" i="61"/>
  <c r="H33" i="61"/>
  <c r="N32" i="61"/>
  <c r="M32" i="61"/>
  <c r="L32" i="61"/>
  <c r="K32" i="61"/>
  <c r="H32" i="61"/>
  <c r="M31" i="61"/>
  <c r="N31" i="61" s="1"/>
  <c r="L31" i="61"/>
  <c r="K31" i="61"/>
  <c r="H31" i="61"/>
  <c r="M30" i="61"/>
  <c r="N30" i="61" s="1"/>
  <c r="L30" i="61"/>
  <c r="K30" i="61"/>
  <c r="H30" i="61"/>
  <c r="M29" i="61"/>
  <c r="N29" i="61" s="1"/>
  <c r="L29" i="61"/>
  <c r="K29" i="61"/>
  <c r="H29" i="61"/>
  <c r="M28" i="61"/>
  <c r="N28" i="61" s="1"/>
  <c r="L28" i="61"/>
  <c r="K28" i="61"/>
  <c r="H28" i="61"/>
  <c r="M21" i="61"/>
  <c r="L21" i="61"/>
  <c r="N21" i="61" s="1"/>
  <c r="K21" i="61"/>
  <c r="H21" i="61"/>
  <c r="L20" i="61"/>
  <c r="N20" i="61" s="1"/>
  <c r="K20" i="61"/>
  <c r="H20" i="61"/>
  <c r="N19" i="61"/>
  <c r="M19" i="61"/>
  <c r="L19" i="61"/>
  <c r="K19" i="61"/>
  <c r="H19" i="61"/>
  <c r="L18" i="61"/>
  <c r="N18" i="61" s="1"/>
  <c r="K18" i="61"/>
  <c r="H18" i="61"/>
  <c r="L17" i="61"/>
  <c r="M17" i="61" s="1"/>
  <c r="K17" i="61"/>
  <c r="H17" i="61"/>
  <c r="L16" i="61"/>
  <c r="N16" i="61" s="1"/>
  <c r="K16" i="61"/>
  <c r="H16" i="61"/>
  <c r="L15" i="61"/>
  <c r="N15" i="61" s="1"/>
  <c r="K15" i="61"/>
  <c r="H15" i="61"/>
  <c r="N14" i="61"/>
  <c r="L14" i="61"/>
  <c r="M14" i="61" s="1"/>
  <c r="K14" i="61"/>
  <c r="H14" i="61"/>
  <c r="L13" i="61"/>
  <c r="M13" i="61" s="1"/>
  <c r="K13" i="61"/>
  <c r="H13" i="61"/>
  <c r="L12" i="61"/>
  <c r="M12" i="61" s="1"/>
  <c r="K12" i="61"/>
  <c r="H12" i="61"/>
  <c r="D53" i="61"/>
  <c r="K33" i="16" l="1"/>
  <c r="E33" i="16"/>
  <c r="C33" i="16"/>
  <c r="D33" i="16" s="1"/>
  <c r="D44" i="61"/>
  <c r="D45" i="61"/>
  <c r="D46" i="61"/>
  <c r="M20" i="61"/>
  <c r="D47" i="61"/>
  <c r="N12" i="61"/>
  <c r="D48" i="61"/>
  <c r="N13" i="61"/>
  <c r="M18" i="61"/>
  <c r="D49" i="61"/>
  <c r="M15" i="61"/>
  <c r="D50" i="61"/>
  <c r="M16" i="61"/>
  <c r="D51" i="61"/>
  <c r="N17" i="61"/>
  <c r="D52" i="61"/>
  <c r="K32" i="16"/>
  <c r="I32" i="16"/>
  <c r="G32" i="16"/>
  <c r="E32" i="16"/>
  <c r="C32" i="16"/>
  <c r="L32" i="16" s="1"/>
  <c r="B32" i="16"/>
  <c r="J32" i="16"/>
  <c r="F32" i="16"/>
  <c r="H32" i="16"/>
  <c r="N37" i="60"/>
  <c r="M37" i="60"/>
  <c r="L37" i="60"/>
  <c r="K37" i="60"/>
  <c r="H37" i="60"/>
  <c r="M36" i="60"/>
  <c r="N36" i="60" s="1"/>
  <c r="L36" i="60"/>
  <c r="K36" i="60"/>
  <c r="H36" i="60"/>
  <c r="N35" i="60"/>
  <c r="M35" i="60"/>
  <c r="L35" i="60"/>
  <c r="K35" i="60"/>
  <c r="H35" i="60"/>
  <c r="M34" i="60"/>
  <c r="N34" i="60" s="1"/>
  <c r="L34" i="60"/>
  <c r="K34" i="60"/>
  <c r="H34" i="60"/>
  <c r="M33" i="60"/>
  <c r="N33" i="60" s="1"/>
  <c r="L33" i="60"/>
  <c r="K33" i="60"/>
  <c r="H33" i="60"/>
  <c r="M32" i="60"/>
  <c r="N32" i="60" s="1"/>
  <c r="L32" i="60"/>
  <c r="K32" i="60"/>
  <c r="H32" i="60"/>
  <c r="M31" i="60"/>
  <c r="N31" i="60" s="1"/>
  <c r="L31" i="60"/>
  <c r="K31" i="60"/>
  <c r="H31" i="60"/>
  <c r="M30" i="60"/>
  <c r="N30" i="60" s="1"/>
  <c r="L30" i="60"/>
  <c r="K30" i="60"/>
  <c r="H30" i="60"/>
  <c r="M29" i="60"/>
  <c r="N29" i="60" s="1"/>
  <c r="L29" i="60"/>
  <c r="K29" i="60"/>
  <c r="H29" i="60"/>
  <c r="M28" i="60"/>
  <c r="N28" i="60" s="1"/>
  <c r="L28" i="60"/>
  <c r="K28" i="60"/>
  <c r="H28" i="60"/>
  <c r="N21" i="60"/>
  <c r="L21" i="60"/>
  <c r="M21" i="60" s="1"/>
  <c r="K21" i="60"/>
  <c r="H21" i="60"/>
  <c r="L20" i="60"/>
  <c r="N20" i="60" s="1"/>
  <c r="K20" i="60"/>
  <c r="H20" i="60"/>
  <c r="L19" i="60"/>
  <c r="N19" i="60" s="1"/>
  <c r="K19" i="60"/>
  <c r="H19" i="60"/>
  <c r="L18" i="60"/>
  <c r="N18" i="60" s="1"/>
  <c r="K18" i="60"/>
  <c r="H18" i="60"/>
  <c r="L17" i="60"/>
  <c r="N17" i="60" s="1"/>
  <c r="K17" i="60"/>
  <c r="H17" i="60"/>
  <c r="L16" i="60"/>
  <c r="N16" i="60" s="1"/>
  <c r="K16" i="60"/>
  <c r="H16" i="60"/>
  <c r="L15" i="60"/>
  <c r="N15" i="60" s="1"/>
  <c r="K15" i="60"/>
  <c r="H15" i="60"/>
  <c r="N14" i="60"/>
  <c r="M14" i="60"/>
  <c r="L14" i="60"/>
  <c r="K14" i="60"/>
  <c r="H14" i="60"/>
  <c r="L13" i="60"/>
  <c r="M13" i="60" s="1"/>
  <c r="K13" i="60"/>
  <c r="H13" i="60"/>
  <c r="L12" i="60"/>
  <c r="M12" i="60" s="1"/>
  <c r="K12" i="60"/>
  <c r="H12" i="60"/>
  <c r="D52" i="60"/>
  <c r="J5" i="60"/>
  <c r="K5" i="60" s="1"/>
  <c r="H5" i="60"/>
  <c r="I5" i="60" s="1"/>
  <c r="G5" i="60"/>
  <c r="E5" i="60"/>
  <c r="L33" i="16" l="1"/>
  <c r="H33" i="16"/>
  <c r="F33" i="16"/>
  <c r="J33" i="16"/>
  <c r="D32" i="16"/>
  <c r="M19" i="60"/>
  <c r="M17" i="60"/>
  <c r="D44" i="60"/>
  <c r="D45" i="60"/>
  <c r="D53" i="60"/>
  <c r="M15" i="60"/>
  <c r="D46" i="60"/>
  <c r="M20" i="60"/>
  <c r="D47" i="60"/>
  <c r="D48" i="60"/>
  <c r="N13" i="60"/>
  <c r="M18" i="60"/>
  <c r="D49" i="60"/>
  <c r="D50" i="60"/>
  <c r="N12" i="60"/>
  <c r="M5" i="60"/>
  <c r="M16" i="60"/>
  <c r="D51" i="60"/>
  <c r="K31" i="16"/>
  <c r="I31" i="16"/>
  <c r="G31" i="16"/>
  <c r="E31" i="16"/>
  <c r="C31" i="16"/>
  <c r="B31" i="16"/>
  <c r="L31" i="16"/>
  <c r="J31" i="16"/>
  <c r="H31" i="16"/>
  <c r="F31" i="16"/>
  <c r="D31" i="16"/>
  <c r="N37" i="59"/>
  <c r="M37" i="59"/>
  <c r="L37" i="59"/>
  <c r="K37" i="59"/>
  <c r="H37" i="59"/>
  <c r="M36" i="59"/>
  <c r="N36" i="59" s="1"/>
  <c r="L36" i="59"/>
  <c r="K36" i="59"/>
  <c r="H36" i="59"/>
  <c r="M35" i="59"/>
  <c r="N35" i="59" s="1"/>
  <c r="L35" i="59"/>
  <c r="K35" i="59"/>
  <c r="H35" i="59"/>
  <c r="M34" i="59"/>
  <c r="N34" i="59" s="1"/>
  <c r="L34" i="59"/>
  <c r="K34" i="59"/>
  <c r="H34" i="59"/>
  <c r="M33" i="59"/>
  <c r="N33" i="59" s="1"/>
  <c r="L33" i="59"/>
  <c r="K33" i="59"/>
  <c r="H33" i="59"/>
  <c r="M32" i="59"/>
  <c r="N32" i="59" s="1"/>
  <c r="L32" i="59"/>
  <c r="K32" i="59"/>
  <c r="H32" i="59"/>
  <c r="M31" i="59"/>
  <c r="N31" i="59" s="1"/>
  <c r="L31" i="59"/>
  <c r="K31" i="59"/>
  <c r="H31" i="59"/>
  <c r="M30" i="59"/>
  <c r="N30" i="59" s="1"/>
  <c r="L30" i="59"/>
  <c r="K30" i="59"/>
  <c r="H30" i="59"/>
  <c r="M29" i="59"/>
  <c r="N29" i="59" s="1"/>
  <c r="L29" i="59"/>
  <c r="K29" i="59"/>
  <c r="H29" i="59"/>
  <c r="N28" i="59"/>
  <c r="M28" i="59"/>
  <c r="L28" i="59"/>
  <c r="K28" i="59"/>
  <c r="H28" i="59"/>
  <c r="N21" i="59"/>
  <c r="L21" i="59"/>
  <c r="M21" i="59" s="1"/>
  <c r="K21" i="59"/>
  <c r="H21" i="59"/>
  <c r="N20" i="59"/>
  <c r="M20" i="59"/>
  <c r="L20" i="59"/>
  <c r="K20" i="59"/>
  <c r="H20" i="59"/>
  <c r="L19" i="59"/>
  <c r="N19" i="59" s="1"/>
  <c r="K19" i="59"/>
  <c r="H19" i="59"/>
  <c r="L18" i="59"/>
  <c r="N18" i="59" s="1"/>
  <c r="K18" i="59"/>
  <c r="H18" i="59"/>
  <c r="L17" i="59"/>
  <c r="N17" i="59" s="1"/>
  <c r="K17" i="59"/>
  <c r="H17" i="59"/>
  <c r="M16" i="59"/>
  <c r="L16" i="59"/>
  <c r="N16" i="59" s="1"/>
  <c r="K16" i="59"/>
  <c r="H16" i="59"/>
  <c r="N15" i="59"/>
  <c r="M15" i="59"/>
  <c r="L15" i="59"/>
  <c r="K15" i="59"/>
  <c r="H15" i="59"/>
  <c r="M14" i="59"/>
  <c r="L14" i="59"/>
  <c r="N14" i="59" s="1"/>
  <c r="K14" i="59"/>
  <c r="H14" i="59"/>
  <c r="M13" i="59"/>
  <c r="L13" i="59"/>
  <c r="N13" i="59" s="1"/>
  <c r="K13" i="59"/>
  <c r="H13" i="59"/>
  <c r="M12" i="59"/>
  <c r="L12" i="59"/>
  <c r="N12" i="59" s="1"/>
  <c r="K12" i="59"/>
  <c r="H12" i="59"/>
  <c r="D52" i="59"/>
  <c r="J5" i="59"/>
  <c r="K5" i="59" s="1"/>
  <c r="H5" i="59"/>
  <c r="I5" i="59" s="1"/>
  <c r="G5" i="59"/>
  <c r="E5" i="59"/>
  <c r="M19" i="59" l="1"/>
  <c r="D53" i="59"/>
  <c r="M17" i="59"/>
  <c r="D44" i="59"/>
  <c r="D45" i="59"/>
  <c r="D46" i="59"/>
  <c r="D47" i="59"/>
  <c r="M18" i="59"/>
  <c r="D49" i="59"/>
  <c r="D50" i="59"/>
  <c r="D48" i="59"/>
  <c r="M5" i="59"/>
  <c r="D51" i="59"/>
  <c r="K30" i="16"/>
  <c r="I30" i="16"/>
  <c r="G30" i="16"/>
  <c r="E30" i="16"/>
  <c r="C30" i="16"/>
  <c r="H30" i="16" s="1"/>
  <c r="B30" i="16"/>
  <c r="F30" i="16" s="1"/>
  <c r="J30" i="16"/>
  <c r="D53" i="58"/>
  <c r="D52" i="58"/>
  <c r="D51" i="58"/>
  <c r="D50" i="58"/>
  <c r="D49" i="58"/>
  <c r="D48" i="58"/>
  <c r="D47" i="58"/>
  <c r="D46" i="58"/>
  <c r="D45" i="58"/>
  <c r="D44" i="58"/>
  <c r="N37" i="58"/>
  <c r="M37" i="58"/>
  <c r="L37" i="58"/>
  <c r="K37" i="58"/>
  <c r="H37" i="58"/>
  <c r="N36" i="58"/>
  <c r="M36" i="58"/>
  <c r="L36" i="58"/>
  <c r="K36" i="58"/>
  <c r="H36" i="58"/>
  <c r="N35" i="58"/>
  <c r="M35" i="58"/>
  <c r="L35" i="58"/>
  <c r="K35" i="58"/>
  <c r="H35" i="58"/>
  <c r="N34" i="58"/>
  <c r="M34" i="58"/>
  <c r="L34" i="58"/>
  <c r="K34" i="58"/>
  <c r="H34" i="58"/>
  <c r="N33" i="58"/>
  <c r="M33" i="58"/>
  <c r="L33" i="58"/>
  <c r="K33" i="58"/>
  <c r="H33" i="58"/>
  <c r="N32" i="58"/>
  <c r="M32" i="58"/>
  <c r="L32" i="58"/>
  <c r="K32" i="58"/>
  <c r="H32" i="58"/>
  <c r="N31" i="58"/>
  <c r="M31" i="58"/>
  <c r="L31" i="58"/>
  <c r="K31" i="58"/>
  <c r="H31" i="58"/>
  <c r="N30" i="58"/>
  <c r="M30" i="58"/>
  <c r="L30" i="58"/>
  <c r="K30" i="58"/>
  <c r="H30" i="58"/>
  <c r="N29" i="58"/>
  <c r="M29" i="58"/>
  <c r="L29" i="58"/>
  <c r="K29" i="58"/>
  <c r="H29" i="58"/>
  <c r="N28" i="58"/>
  <c r="M28" i="58"/>
  <c r="L28" i="58"/>
  <c r="K28" i="58"/>
  <c r="H28" i="58"/>
  <c r="N21" i="58"/>
  <c r="M21" i="58"/>
  <c r="L21" i="58"/>
  <c r="K21" i="58"/>
  <c r="H21" i="58"/>
  <c r="N20" i="58"/>
  <c r="M20" i="58"/>
  <c r="L20" i="58"/>
  <c r="K20" i="58"/>
  <c r="H20" i="58"/>
  <c r="N19" i="58"/>
  <c r="M19" i="58"/>
  <c r="L19" i="58"/>
  <c r="K19" i="58"/>
  <c r="H19" i="58"/>
  <c r="N18" i="58"/>
  <c r="M18" i="58"/>
  <c r="L18" i="58"/>
  <c r="K18" i="58"/>
  <c r="H18" i="58"/>
  <c r="N17" i="58"/>
  <c r="M17" i="58"/>
  <c r="L17" i="58"/>
  <c r="K17" i="58"/>
  <c r="H17" i="58"/>
  <c r="N16" i="58"/>
  <c r="M16" i="58"/>
  <c r="L16" i="58"/>
  <c r="K16" i="58"/>
  <c r="H16" i="58"/>
  <c r="N15" i="58"/>
  <c r="M15" i="58"/>
  <c r="L15" i="58"/>
  <c r="K15" i="58"/>
  <c r="H15" i="58"/>
  <c r="N14" i="58"/>
  <c r="M14" i="58"/>
  <c r="L14" i="58"/>
  <c r="K14" i="58"/>
  <c r="H14" i="58"/>
  <c r="N13" i="58"/>
  <c r="M13" i="58"/>
  <c r="L13" i="58"/>
  <c r="K13" i="58"/>
  <c r="H13" i="58"/>
  <c r="N12" i="58"/>
  <c r="M12" i="58"/>
  <c r="L12" i="58"/>
  <c r="K12" i="58"/>
  <c r="H12" i="58"/>
  <c r="M5" i="58"/>
  <c r="K5" i="58"/>
  <c r="J5" i="58"/>
  <c r="I5" i="58"/>
  <c r="H5" i="58"/>
  <c r="G5" i="58"/>
  <c r="E5" i="58"/>
  <c r="D30" i="16" l="1"/>
  <c r="L30" i="16"/>
  <c r="K29" i="16"/>
  <c r="I29" i="16"/>
  <c r="J29" i="16" s="1"/>
  <c r="G29" i="16"/>
  <c r="E29" i="16"/>
  <c r="C29" i="16"/>
  <c r="B29" i="16"/>
  <c r="L29" i="16"/>
  <c r="H29" i="16"/>
  <c r="F29" i="16"/>
  <c r="D29" i="16"/>
  <c r="M37" i="57"/>
  <c r="N37" i="57" s="1"/>
  <c r="L37" i="57"/>
  <c r="K37" i="57"/>
  <c r="H37" i="57"/>
  <c r="M36" i="57"/>
  <c r="N36" i="57" s="1"/>
  <c r="L36" i="57"/>
  <c r="K36" i="57"/>
  <c r="H36" i="57"/>
  <c r="M35" i="57"/>
  <c r="N35" i="57" s="1"/>
  <c r="L35" i="57"/>
  <c r="K35" i="57"/>
  <c r="H35" i="57"/>
  <c r="M34" i="57"/>
  <c r="N34" i="57" s="1"/>
  <c r="L34" i="57"/>
  <c r="K34" i="57"/>
  <c r="H34" i="57"/>
  <c r="M33" i="57"/>
  <c r="N33" i="57" s="1"/>
  <c r="L33" i="57"/>
  <c r="K33" i="57"/>
  <c r="H33" i="57"/>
  <c r="N32" i="57"/>
  <c r="M32" i="57"/>
  <c r="L32" i="57"/>
  <c r="K32" i="57"/>
  <c r="H32" i="57"/>
  <c r="N31" i="57"/>
  <c r="M31" i="57"/>
  <c r="L31" i="57"/>
  <c r="K31" i="57"/>
  <c r="H31" i="57"/>
  <c r="N30" i="57"/>
  <c r="M30" i="57"/>
  <c r="L30" i="57"/>
  <c r="K30" i="57"/>
  <c r="H30" i="57"/>
  <c r="N29" i="57"/>
  <c r="M29" i="57"/>
  <c r="L29" i="57"/>
  <c r="K29" i="57"/>
  <c r="H29" i="57"/>
  <c r="M28" i="57"/>
  <c r="N28" i="57" s="1"/>
  <c r="L28" i="57"/>
  <c r="K28" i="57"/>
  <c r="H28" i="57"/>
  <c r="L21" i="57"/>
  <c r="N21" i="57" s="1"/>
  <c r="K21" i="57"/>
  <c r="H21" i="57"/>
  <c r="L20" i="57"/>
  <c r="N20" i="57" s="1"/>
  <c r="K20" i="57"/>
  <c r="H20" i="57"/>
  <c r="N19" i="57"/>
  <c r="M19" i="57"/>
  <c r="L19" i="57"/>
  <c r="K19" i="57"/>
  <c r="H19" i="57"/>
  <c r="M18" i="57"/>
  <c r="L18" i="57"/>
  <c r="N18" i="57" s="1"/>
  <c r="K18" i="57"/>
  <c r="H18" i="57"/>
  <c r="M17" i="57"/>
  <c r="L17" i="57"/>
  <c r="N17" i="57" s="1"/>
  <c r="K17" i="57"/>
  <c r="H17" i="57"/>
  <c r="N16" i="57"/>
  <c r="M16" i="57"/>
  <c r="L16" i="57"/>
  <c r="K16" i="57"/>
  <c r="H16" i="57"/>
  <c r="L15" i="57"/>
  <c r="M15" i="57" s="1"/>
  <c r="K15" i="57"/>
  <c r="H15" i="57"/>
  <c r="N14" i="57"/>
  <c r="L14" i="57"/>
  <c r="M14" i="57" s="1"/>
  <c r="K14" i="57"/>
  <c r="H14" i="57"/>
  <c r="L13" i="57"/>
  <c r="N13" i="57" s="1"/>
  <c r="K13" i="57"/>
  <c r="H13" i="57"/>
  <c r="L12" i="57"/>
  <c r="N12" i="57" s="1"/>
  <c r="K12" i="57"/>
  <c r="H12" i="57"/>
  <c r="D53" i="57"/>
  <c r="J5" i="57"/>
  <c r="K5" i="57" s="1"/>
  <c r="H5" i="57"/>
  <c r="I5" i="57" s="1"/>
  <c r="G5" i="57"/>
  <c r="E5" i="57"/>
  <c r="M12" i="57" l="1"/>
  <c r="D45" i="57"/>
  <c r="D46" i="57"/>
  <c r="N15" i="57"/>
  <c r="M20" i="57"/>
  <c r="D47" i="57"/>
  <c r="M13" i="57"/>
  <c r="D48" i="57"/>
  <c r="D44" i="57"/>
  <c r="D49" i="57"/>
  <c r="D50" i="57"/>
  <c r="M5" i="57"/>
  <c r="D51" i="57"/>
  <c r="M21" i="57"/>
  <c r="D52" i="57"/>
  <c r="K28" i="16"/>
  <c r="I28" i="16"/>
  <c r="G28" i="16"/>
  <c r="E28" i="16"/>
  <c r="C28" i="16"/>
  <c r="L28" i="16" s="1"/>
  <c r="B28" i="16"/>
  <c r="J28" i="16"/>
  <c r="H28" i="16"/>
  <c r="F28" i="16"/>
  <c r="D28" i="16"/>
  <c r="N37" i="56"/>
  <c r="M37" i="56"/>
  <c r="L37" i="56"/>
  <c r="K37" i="56"/>
  <c r="H37" i="56"/>
  <c r="N36" i="56"/>
  <c r="M36" i="56"/>
  <c r="L36" i="56"/>
  <c r="K36" i="56"/>
  <c r="H36" i="56"/>
  <c r="M35" i="56"/>
  <c r="N35" i="56" s="1"/>
  <c r="L35" i="56"/>
  <c r="K35" i="56"/>
  <c r="H35" i="56"/>
  <c r="N34" i="56"/>
  <c r="M34" i="56"/>
  <c r="L34" i="56"/>
  <c r="K34" i="56"/>
  <c r="H34" i="56"/>
  <c r="M33" i="56"/>
  <c r="N33" i="56" s="1"/>
  <c r="L33" i="56"/>
  <c r="K33" i="56"/>
  <c r="H33" i="56"/>
  <c r="M32" i="56"/>
  <c r="N32" i="56" s="1"/>
  <c r="L32" i="56"/>
  <c r="K32" i="56"/>
  <c r="H32" i="56"/>
  <c r="M31" i="56"/>
  <c r="N31" i="56" s="1"/>
  <c r="L31" i="56"/>
  <c r="K31" i="56"/>
  <c r="H31" i="56"/>
  <c r="M30" i="56"/>
  <c r="N30" i="56" s="1"/>
  <c r="L30" i="56"/>
  <c r="K30" i="56"/>
  <c r="H30" i="56"/>
  <c r="M29" i="56"/>
  <c r="N29" i="56" s="1"/>
  <c r="L29" i="56"/>
  <c r="K29" i="56"/>
  <c r="H29" i="56"/>
  <c r="N28" i="56"/>
  <c r="M28" i="56"/>
  <c r="L28" i="56"/>
  <c r="K28" i="56"/>
  <c r="H28" i="56"/>
  <c r="N21" i="56"/>
  <c r="M21" i="56"/>
  <c r="L21" i="56"/>
  <c r="K21" i="56"/>
  <c r="H21" i="56"/>
  <c r="L20" i="56"/>
  <c r="M20" i="56" s="1"/>
  <c r="K20" i="56"/>
  <c r="H20" i="56"/>
  <c r="L19" i="56"/>
  <c r="N19" i="56" s="1"/>
  <c r="K19" i="56"/>
  <c r="H19" i="56"/>
  <c r="N18" i="56"/>
  <c r="L18" i="56"/>
  <c r="M18" i="56" s="1"/>
  <c r="K18" i="56"/>
  <c r="H18" i="56"/>
  <c r="L17" i="56"/>
  <c r="N17" i="56" s="1"/>
  <c r="K17" i="56"/>
  <c r="H17" i="56"/>
  <c r="L16" i="56"/>
  <c r="N16" i="56" s="1"/>
  <c r="K16" i="56"/>
  <c r="H16" i="56"/>
  <c r="M15" i="56"/>
  <c r="L15" i="56"/>
  <c r="N15" i="56" s="1"/>
  <c r="K15" i="56"/>
  <c r="H15" i="56"/>
  <c r="N14" i="56"/>
  <c r="M14" i="56"/>
  <c r="L14" i="56"/>
  <c r="K14" i="56"/>
  <c r="H14" i="56"/>
  <c r="L13" i="56"/>
  <c r="N13" i="56" s="1"/>
  <c r="K13" i="56"/>
  <c r="H13" i="56"/>
  <c r="M12" i="56"/>
  <c r="L12" i="56"/>
  <c r="N12" i="56" s="1"/>
  <c r="K12" i="56"/>
  <c r="H12" i="56"/>
  <c r="D52" i="56"/>
  <c r="J5" i="56"/>
  <c r="K5" i="56" s="1"/>
  <c r="H5" i="56"/>
  <c r="I5" i="56" s="1"/>
  <c r="G5" i="56"/>
  <c r="E5" i="56"/>
  <c r="M19" i="56" l="1"/>
  <c r="D44" i="56"/>
  <c r="M17" i="56"/>
  <c r="D45" i="56"/>
  <c r="D47" i="56"/>
  <c r="N20" i="56"/>
  <c r="D48" i="56"/>
  <c r="D46" i="56"/>
  <c r="M13" i="56"/>
  <c r="D49" i="56"/>
  <c r="D50" i="56"/>
  <c r="D53" i="56"/>
  <c r="M5" i="56"/>
  <c r="M16" i="56"/>
  <c r="D51" i="56"/>
  <c r="K27" i="16"/>
  <c r="L27" i="16" s="1"/>
  <c r="I27" i="16"/>
  <c r="G27" i="16"/>
  <c r="E27" i="16"/>
  <c r="J27" i="16" s="1"/>
  <c r="C27" i="16"/>
  <c r="B27" i="16"/>
  <c r="H27" i="16"/>
  <c r="D27" i="16"/>
  <c r="F27" i="16"/>
  <c r="M37" i="55"/>
  <c r="N37" i="55" s="1"/>
  <c r="L37" i="55"/>
  <c r="K37" i="55"/>
  <c r="H37" i="55"/>
  <c r="M36" i="55"/>
  <c r="N36" i="55" s="1"/>
  <c r="L36" i="55"/>
  <c r="K36" i="55"/>
  <c r="H36" i="55"/>
  <c r="N35" i="55"/>
  <c r="M35" i="55"/>
  <c r="L35" i="55"/>
  <c r="K35" i="55"/>
  <c r="H35" i="55"/>
  <c r="M34" i="55"/>
  <c r="N34" i="55" s="1"/>
  <c r="L34" i="55"/>
  <c r="K34" i="55"/>
  <c r="H34" i="55"/>
  <c r="N33" i="55"/>
  <c r="M33" i="55"/>
  <c r="L33" i="55"/>
  <c r="K33" i="55"/>
  <c r="H33" i="55"/>
  <c r="M32" i="55"/>
  <c r="N32" i="55" s="1"/>
  <c r="L32" i="55"/>
  <c r="K32" i="55"/>
  <c r="H32" i="55"/>
  <c r="M31" i="55"/>
  <c r="N31" i="55" s="1"/>
  <c r="L31" i="55"/>
  <c r="K31" i="55"/>
  <c r="H31" i="55"/>
  <c r="N30" i="55"/>
  <c r="M30" i="55"/>
  <c r="L30" i="55"/>
  <c r="K30" i="55"/>
  <c r="H30" i="55"/>
  <c r="M29" i="55"/>
  <c r="N29" i="55" s="1"/>
  <c r="L29" i="55"/>
  <c r="K29" i="55"/>
  <c r="H29" i="55"/>
  <c r="M28" i="55"/>
  <c r="N28" i="55" s="1"/>
  <c r="L28" i="55"/>
  <c r="K28" i="55"/>
  <c r="H28" i="55"/>
  <c r="N21" i="55"/>
  <c r="L21" i="55"/>
  <c r="M21" i="55" s="1"/>
  <c r="K21" i="55"/>
  <c r="H21" i="55"/>
  <c r="L20" i="55"/>
  <c r="M20" i="55" s="1"/>
  <c r="K20" i="55"/>
  <c r="H20" i="55"/>
  <c r="L19" i="55"/>
  <c r="M19" i="55" s="1"/>
  <c r="K19" i="55"/>
  <c r="H19" i="55"/>
  <c r="L18" i="55"/>
  <c r="N18" i="55" s="1"/>
  <c r="K18" i="55"/>
  <c r="H18" i="55"/>
  <c r="M17" i="55"/>
  <c r="L17" i="55"/>
  <c r="N17" i="55" s="1"/>
  <c r="K17" i="55"/>
  <c r="H17" i="55"/>
  <c r="M16" i="55"/>
  <c r="L16" i="55"/>
  <c r="N16" i="55" s="1"/>
  <c r="K16" i="55"/>
  <c r="H16" i="55"/>
  <c r="L15" i="55"/>
  <c r="N15" i="55" s="1"/>
  <c r="K15" i="55"/>
  <c r="H15" i="55"/>
  <c r="N14" i="55"/>
  <c r="M14" i="55"/>
  <c r="L14" i="55"/>
  <c r="K14" i="55"/>
  <c r="H14" i="55"/>
  <c r="L13" i="55"/>
  <c r="M13" i="55" s="1"/>
  <c r="K13" i="55"/>
  <c r="H13" i="55"/>
  <c r="L12" i="55"/>
  <c r="N12" i="55" s="1"/>
  <c r="K12" i="55"/>
  <c r="H12" i="55"/>
  <c r="D53" i="55"/>
  <c r="J5" i="55"/>
  <c r="K5" i="55" s="1"/>
  <c r="H5" i="55"/>
  <c r="I5" i="55" s="1"/>
  <c r="G5" i="55"/>
  <c r="E5" i="55"/>
  <c r="N19" i="55" l="1"/>
  <c r="D44" i="55"/>
  <c r="D45" i="55"/>
  <c r="D46" i="55"/>
  <c r="D47" i="55"/>
  <c r="M15" i="55"/>
  <c r="D48" i="55"/>
  <c r="N13" i="55"/>
  <c r="M18" i="55"/>
  <c r="D49" i="55"/>
  <c r="D50" i="55"/>
  <c r="M12" i="55"/>
  <c r="N20" i="55"/>
  <c r="M5" i="55"/>
  <c r="D51" i="55"/>
  <c r="D52" i="55"/>
  <c r="K26" i="16" l="1"/>
  <c r="I26" i="16"/>
  <c r="G26" i="16"/>
  <c r="E26" i="16"/>
  <c r="C26" i="16"/>
  <c r="B26" i="16"/>
  <c r="L26" i="16"/>
  <c r="J26" i="16"/>
  <c r="H26" i="16"/>
  <c r="F26" i="16"/>
  <c r="D26" i="16"/>
  <c r="N37" i="53"/>
  <c r="M37" i="53"/>
  <c r="L37" i="53"/>
  <c r="K37" i="53"/>
  <c r="H37" i="53"/>
  <c r="M36" i="53"/>
  <c r="N36" i="53" s="1"/>
  <c r="L36" i="53"/>
  <c r="K36" i="53"/>
  <c r="H36" i="53"/>
  <c r="M35" i="53"/>
  <c r="N35" i="53" s="1"/>
  <c r="L35" i="53"/>
  <c r="K35" i="53"/>
  <c r="H35" i="53"/>
  <c r="N34" i="53"/>
  <c r="M34" i="53"/>
  <c r="L34" i="53"/>
  <c r="K34" i="53"/>
  <c r="H34" i="53"/>
  <c r="M33" i="53"/>
  <c r="N33" i="53" s="1"/>
  <c r="L33" i="53"/>
  <c r="K33" i="53"/>
  <c r="H33" i="53"/>
  <c r="N32" i="53"/>
  <c r="M32" i="53"/>
  <c r="L32" i="53"/>
  <c r="K32" i="53"/>
  <c r="H32" i="53"/>
  <c r="M31" i="53"/>
  <c r="N31" i="53" s="1"/>
  <c r="L31" i="53"/>
  <c r="K31" i="53"/>
  <c r="H31" i="53"/>
  <c r="M30" i="53"/>
  <c r="N30" i="53" s="1"/>
  <c r="L30" i="53"/>
  <c r="K30" i="53"/>
  <c r="H30" i="53"/>
  <c r="M29" i="53"/>
  <c r="N29" i="53" s="1"/>
  <c r="L29" i="53"/>
  <c r="K29" i="53"/>
  <c r="H29" i="53"/>
  <c r="N28" i="53"/>
  <c r="M28" i="53"/>
  <c r="L28" i="53"/>
  <c r="K28" i="53"/>
  <c r="H28" i="53"/>
  <c r="M21" i="53"/>
  <c r="L21" i="53"/>
  <c r="N21" i="53" s="1"/>
  <c r="K21" i="53"/>
  <c r="H21" i="53"/>
  <c r="L20" i="53"/>
  <c r="N20" i="53" s="1"/>
  <c r="K20" i="53"/>
  <c r="H20" i="53"/>
  <c r="N19" i="53"/>
  <c r="M19" i="53"/>
  <c r="L19" i="53"/>
  <c r="K19" i="53"/>
  <c r="H19" i="53"/>
  <c r="L18" i="53"/>
  <c r="N18" i="53" s="1"/>
  <c r="K18" i="53"/>
  <c r="H18" i="53"/>
  <c r="L17" i="53"/>
  <c r="M17" i="53" s="1"/>
  <c r="K17" i="53"/>
  <c r="H17" i="53"/>
  <c r="N16" i="53"/>
  <c r="L16" i="53"/>
  <c r="M16" i="53" s="1"/>
  <c r="K16" i="53"/>
  <c r="H16" i="53"/>
  <c r="M15" i="53"/>
  <c r="L15" i="53"/>
  <c r="N15" i="53" s="1"/>
  <c r="K15" i="53"/>
  <c r="H15" i="53"/>
  <c r="N14" i="53"/>
  <c r="L14" i="53"/>
  <c r="M14" i="53" s="1"/>
  <c r="K14" i="53"/>
  <c r="H14" i="53"/>
  <c r="L13" i="53"/>
  <c r="M13" i="53" s="1"/>
  <c r="K13" i="53"/>
  <c r="H13" i="53"/>
  <c r="L12" i="53"/>
  <c r="M12" i="53" s="1"/>
  <c r="K12" i="53"/>
  <c r="H12" i="53"/>
  <c r="D53" i="53"/>
  <c r="J5" i="53"/>
  <c r="K5" i="53" s="1"/>
  <c r="H5" i="53"/>
  <c r="I5" i="53" s="1"/>
  <c r="G5" i="53"/>
  <c r="E5" i="53"/>
  <c r="D44" i="53" l="1"/>
  <c r="N12" i="53"/>
  <c r="N17" i="53"/>
  <c r="D45" i="53"/>
  <c r="M20" i="53"/>
  <c r="D47" i="53"/>
  <c r="D46" i="53"/>
  <c r="D48" i="53"/>
  <c r="N13" i="53"/>
  <c r="M18" i="53"/>
  <c r="D49" i="53"/>
  <c r="D50" i="53"/>
  <c r="M5" i="53"/>
  <c r="D51" i="53"/>
  <c r="D52" i="53"/>
  <c r="K25" i="16"/>
  <c r="I25" i="16"/>
  <c r="G25" i="16"/>
  <c r="E25" i="16"/>
  <c r="C25" i="16"/>
  <c r="B25" i="16"/>
  <c r="F25" i="16" s="1"/>
  <c r="L25" i="16"/>
  <c r="J25" i="16"/>
  <c r="H25" i="16"/>
  <c r="D25" i="16"/>
  <c r="M37" i="52"/>
  <c r="N37" i="52" s="1"/>
  <c r="L37" i="52"/>
  <c r="K37" i="52"/>
  <c r="H37" i="52"/>
  <c r="M36" i="52"/>
  <c r="N36" i="52" s="1"/>
  <c r="L36" i="52"/>
  <c r="K36" i="52"/>
  <c r="H36" i="52"/>
  <c r="N35" i="52"/>
  <c r="M35" i="52"/>
  <c r="L35" i="52"/>
  <c r="K35" i="52"/>
  <c r="H35" i="52"/>
  <c r="M34" i="52"/>
  <c r="N34" i="52" s="1"/>
  <c r="L34" i="52"/>
  <c r="K34" i="52"/>
  <c r="H34" i="52"/>
  <c r="M33" i="52"/>
  <c r="N33" i="52" s="1"/>
  <c r="L33" i="52"/>
  <c r="K33" i="52"/>
  <c r="H33" i="52"/>
  <c r="N32" i="52"/>
  <c r="M32" i="52"/>
  <c r="L32" i="52"/>
  <c r="K32" i="52"/>
  <c r="H32" i="52"/>
  <c r="N31" i="52"/>
  <c r="M31" i="52"/>
  <c r="L31" i="52"/>
  <c r="K31" i="52"/>
  <c r="H31" i="52"/>
  <c r="M30" i="52"/>
  <c r="N30" i="52" s="1"/>
  <c r="L30" i="52"/>
  <c r="K30" i="52"/>
  <c r="H30" i="52"/>
  <c r="N29" i="52"/>
  <c r="M29" i="52"/>
  <c r="L29" i="52"/>
  <c r="K29" i="52"/>
  <c r="H29" i="52"/>
  <c r="M28" i="52"/>
  <c r="N28" i="52" s="1"/>
  <c r="L28" i="52"/>
  <c r="K28" i="52"/>
  <c r="H28" i="52"/>
  <c r="L21" i="52"/>
  <c r="N21" i="52" s="1"/>
  <c r="K21" i="52"/>
  <c r="H21" i="52"/>
  <c r="L20" i="52"/>
  <c r="N20" i="52" s="1"/>
  <c r="K20" i="52"/>
  <c r="H20" i="52"/>
  <c r="N19" i="52"/>
  <c r="M19" i="52"/>
  <c r="L19" i="52"/>
  <c r="K19" i="52"/>
  <c r="H19" i="52"/>
  <c r="M18" i="52"/>
  <c r="L18" i="52"/>
  <c r="N18" i="52" s="1"/>
  <c r="K18" i="52"/>
  <c r="H18" i="52"/>
  <c r="L17" i="52"/>
  <c r="N17" i="52" s="1"/>
  <c r="K17" i="52"/>
  <c r="H17" i="52"/>
  <c r="M16" i="52"/>
  <c r="L16" i="52"/>
  <c r="N16" i="52" s="1"/>
  <c r="K16" i="52"/>
  <c r="H16" i="52"/>
  <c r="L15" i="52"/>
  <c r="N15" i="52" s="1"/>
  <c r="K15" i="52"/>
  <c r="H15" i="52"/>
  <c r="N14" i="52"/>
  <c r="M14" i="52"/>
  <c r="L14" i="52"/>
  <c r="K14" i="52"/>
  <c r="H14" i="52"/>
  <c r="N13" i="52"/>
  <c r="L13" i="52"/>
  <c r="M13" i="52" s="1"/>
  <c r="K13" i="52"/>
  <c r="H13" i="52"/>
  <c r="L12" i="52"/>
  <c r="M12" i="52" s="1"/>
  <c r="K12" i="52"/>
  <c r="H12" i="52"/>
  <c r="D53" i="52"/>
  <c r="J5" i="52"/>
  <c r="H5" i="52"/>
  <c r="I5" i="52" s="1"/>
  <c r="K5" i="52"/>
  <c r="E5" i="52"/>
  <c r="N12" i="52" l="1"/>
  <c r="M17" i="52"/>
  <c r="D44" i="52"/>
  <c r="M15" i="52"/>
  <c r="D46" i="52"/>
  <c r="G5" i="52"/>
  <c r="D45" i="52"/>
  <c r="M20" i="52"/>
  <c r="D47" i="52"/>
  <c r="D48" i="52"/>
  <c r="D50" i="52"/>
  <c r="D49" i="52"/>
  <c r="M5" i="52"/>
  <c r="D51" i="52"/>
  <c r="M21" i="52"/>
  <c r="D52" i="52"/>
  <c r="K22" i="16"/>
  <c r="I22" i="16"/>
  <c r="G22" i="16"/>
  <c r="E22" i="16"/>
  <c r="C22" i="16"/>
  <c r="B22" i="16"/>
  <c r="L22" i="16"/>
  <c r="J22" i="16"/>
  <c r="H22" i="16"/>
  <c r="F22" i="16"/>
  <c r="D22" i="16"/>
  <c r="M37" i="51"/>
  <c r="N37" i="51" s="1"/>
  <c r="L37" i="51"/>
  <c r="K37" i="51"/>
  <c r="H37" i="51"/>
  <c r="M36" i="51"/>
  <c r="N36" i="51" s="1"/>
  <c r="L36" i="51"/>
  <c r="K36" i="51"/>
  <c r="H36" i="51"/>
  <c r="M35" i="51"/>
  <c r="N35" i="51" s="1"/>
  <c r="L35" i="51"/>
  <c r="K35" i="51"/>
  <c r="H35" i="51"/>
  <c r="M34" i="51"/>
  <c r="N34" i="51" s="1"/>
  <c r="L34" i="51"/>
  <c r="K34" i="51"/>
  <c r="H34" i="51"/>
  <c r="N33" i="51"/>
  <c r="M33" i="51"/>
  <c r="L33" i="51"/>
  <c r="K33" i="51"/>
  <c r="H33" i="51"/>
  <c r="N32" i="51"/>
  <c r="M32" i="51"/>
  <c r="L32" i="51"/>
  <c r="K32" i="51"/>
  <c r="H32" i="51"/>
  <c r="N31" i="51"/>
  <c r="M31" i="51"/>
  <c r="L31" i="51"/>
  <c r="K31" i="51"/>
  <c r="H31" i="51"/>
  <c r="M30" i="51"/>
  <c r="N30" i="51" s="1"/>
  <c r="L30" i="51"/>
  <c r="K30" i="51"/>
  <c r="H30" i="51"/>
  <c r="M29" i="51"/>
  <c r="N29" i="51" s="1"/>
  <c r="L29" i="51"/>
  <c r="K29" i="51"/>
  <c r="H29" i="51"/>
  <c r="M28" i="51"/>
  <c r="N28" i="51" s="1"/>
  <c r="L28" i="51"/>
  <c r="K28" i="51"/>
  <c r="H28" i="51"/>
  <c r="N21" i="51"/>
  <c r="M21" i="51"/>
  <c r="L21" i="51"/>
  <c r="K21" i="51"/>
  <c r="H21" i="51"/>
  <c r="M20" i="51"/>
  <c r="L20" i="51"/>
  <c r="N20" i="51" s="1"/>
  <c r="K20" i="51"/>
  <c r="H20" i="51"/>
  <c r="L19" i="51"/>
  <c r="N19" i="51" s="1"/>
  <c r="K19" i="51"/>
  <c r="H19" i="51"/>
  <c r="M18" i="51"/>
  <c r="L18" i="51"/>
  <c r="N18" i="51" s="1"/>
  <c r="K18" i="51"/>
  <c r="H18" i="51"/>
  <c r="L17" i="51"/>
  <c r="N17" i="51" s="1"/>
  <c r="K17" i="51"/>
  <c r="H17" i="51"/>
  <c r="L16" i="51"/>
  <c r="N16" i="51" s="1"/>
  <c r="K16" i="51"/>
  <c r="H16" i="51"/>
  <c r="L15" i="51"/>
  <c r="N15" i="51" s="1"/>
  <c r="K15" i="51"/>
  <c r="H15" i="51"/>
  <c r="N14" i="51"/>
  <c r="M14" i="51"/>
  <c r="L14" i="51"/>
  <c r="K14" i="51"/>
  <c r="H14" i="51"/>
  <c r="L13" i="51"/>
  <c r="N13" i="51" s="1"/>
  <c r="K13" i="51"/>
  <c r="H13" i="51"/>
  <c r="L12" i="51"/>
  <c r="M12" i="51" s="1"/>
  <c r="K12" i="51"/>
  <c r="H12" i="51"/>
  <c r="D53" i="51"/>
  <c r="J5" i="51"/>
  <c r="K5" i="51" s="1"/>
  <c r="H5" i="51"/>
  <c r="I5" i="51" s="1"/>
  <c r="G5" i="51"/>
  <c r="E5" i="51"/>
  <c r="M19" i="51" l="1"/>
  <c r="N12" i="51"/>
  <c r="D44" i="51"/>
  <c r="D45" i="51"/>
  <c r="M17" i="51"/>
  <c r="M15" i="51"/>
  <c r="D46" i="51"/>
  <c r="M13" i="51"/>
  <c r="D48" i="51"/>
  <c r="D49" i="51"/>
  <c r="D50" i="51"/>
  <c r="D47" i="51"/>
  <c r="M5" i="51"/>
  <c r="M16" i="51"/>
  <c r="D51" i="51"/>
  <c r="D52" i="51"/>
  <c r="K21" i="16"/>
  <c r="I21" i="16"/>
  <c r="G21" i="16"/>
  <c r="E21" i="16"/>
  <c r="C21" i="16"/>
  <c r="L21" i="16" s="1"/>
  <c r="B21" i="16"/>
  <c r="J21" i="16"/>
  <c r="H21" i="16"/>
  <c r="F21" i="16"/>
  <c r="D21" i="16"/>
  <c r="N37" i="50"/>
  <c r="M37" i="50"/>
  <c r="L37" i="50"/>
  <c r="K37" i="50"/>
  <c r="H37" i="50"/>
  <c r="M36" i="50"/>
  <c r="N36" i="50" s="1"/>
  <c r="L36" i="50"/>
  <c r="K36" i="50"/>
  <c r="H36" i="50"/>
  <c r="N35" i="50"/>
  <c r="M35" i="50"/>
  <c r="L35" i="50"/>
  <c r="K35" i="50"/>
  <c r="H35" i="50"/>
  <c r="M34" i="50"/>
  <c r="N34" i="50" s="1"/>
  <c r="L34" i="50"/>
  <c r="K34" i="50"/>
  <c r="H34" i="50"/>
  <c r="M33" i="50"/>
  <c r="N33" i="50" s="1"/>
  <c r="L33" i="50"/>
  <c r="K33" i="50"/>
  <c r="H33" i="50"/>
  <c r="N32" i="50"/>
  <c r="M32" i="50"/>
  <c r="L32" i="50"/>
  <c r="K32" i="50"/>
  <c r="H32" i="50"/>
  <c r="N31" i="50"/>
  <c r="M31" i="50"/>
  <c r="L31" i="50"/>
  <c r="K31" i="50"/>
  <c r="H31" i="50"/>
  <c r="M30" i="50"/>
  <c r="N30" i="50" s="1"/>
  <c r="L30" i="50"/>
  <c r="K30" i="50"/>
  <c r="H30" i="50"/>
  <c r="N29" i="50"/>
  <c r="M29" i="50"/>
  <c r="L29" i="50"/>
  <c r="K29" i="50"/>
  <c r="H29" i="50"/>
  <c r="M28" i="50"/>
  <c r="N28" i="50" s="1"/>
  <c r="L28" i="50"/>
  <c r="K28" i="50"/>
  <c r="H28" i="50"/>
  <c r="L21" i="50"/>
  <c r="N21" i="50" s="1"/>
  <c r="K21" i="50"/>
  <c r="H21" i="50"/>
  <c r="L20" i="50"/>
  <c r="N20" i="50" s="1"/>
  <c r="K20" i="50"/>
  <c r="H20" i="50"/>
  <c r="N19" i="50"/>
  <c r="M19" i="50"/>
  <c r="L19" i="50"/>
  <c r="K19" i="50"/>
  <c r="H19" i="50"/>
  <c r="M18" i="50"/>
  <c r="L18" i="50"/>
  <c r="N18" i="50" s="1"/>
  <c r="K18" i="50"/>
  <c r="H18" i="50"/>
  <c r="L17" i="50"/>
  <c r="M17" i="50" s="1"/>
  <c r="K17" i="50"/>
  <c r="H17" i="50"/>
  <c r="M16" i="50"/>
  <c r="L16" i="50"/>
  <c r="N16" i="50" s="1"/>
  <c r="K16" i="50"/>
  <c r="H16" i="50"/>
  <c r="L15" i="50"/>
  <c r="N15" i="50" s="1"/>
  <c r="K15" i="50"/>
  <c r="H15" i="50"/>
  <c r="N14" i="50"/>
  <c r="L14" i="50"/>
  <c r="M14" i="50" s="1"/>
  <c r="K14" i="50"/>
  <c r="H14" i="50"/>
  <c r="N13" i="50"/>
  <c r="L13" i="50"/>
  <c r="M13" i="50" s="1"/>
  <c r="K13" i="50"/>
  <c r="H13" i="50"/>
  <c r="L12" i="50"/>
  <c r="N12" i="50" s="1"/>
  <c r="K12" i="50"/>
  <c r="H12" i="50"/>
  <c r="D53" i="50"/>
  <c r="J5" i="50"/>
  <c r="H5" i="50"/>
  <c r="I5" i="50" s="1"/>
  <c r="K5" i="50"/>
  <c r="E5" i="50"/>
  <c r="D44" i="50" l="1"/>
  <c r="D45" i="50"/>
  <c r="M15" i="50"/>
  <c r="D46" i="50"/>
  <c r="N17" i="50"/>
  <c r="M20" i="50"/>
  <c r="D47" i="50"/>
  <c r="M12" i="50"/>
  <c r="D48" i="50"/>
  <c r="D50" i="50"/>
  <c r="M5" i="50"/>
  <c r="D51" i="50"/>
  <c r="M21" i="50"/>
  <c r="D52" i="50"/>
  <c r="G5" i="50"/>
  <c r="D49" i="50"/>
  <c r="K20" i="16"/>
  <c r="I20" i="16"/>
  <c r="G20" i="16"/>
  <c r="E20" i="16"/>
  <c r="C20" i="16"/>
  <c r="H20" i="16" s="1"/>
  <c r="B20" i="16"/>
  <c r="J20" i="16"/>
  <c r="F20" i="16"/>
  <c r="D20" i="16"/>
  <c r="N37" i="49"/>
  <c r="M37" i="49"/>
  <c r="L37" i="49"/>
  <c r="K37" i="49"/>
  <c r="H37" i="49"/>
  <c r="M36" i="49"/>
  <c r="N36" i="49" s="1"/>
  <c r="L36" i="49"/>
  <c r="K36" i="49"/>
  <c r="H36" i="49"/>
  <c r="M35" i="49"/>
  <c r="N35" i="49" s="1"/>
  <c r="L35" i="49"/>
  <c r="K35" i="49"/>
  <c r="H35" i="49"/>
  <c r="M34" i="49"/>
  <c r="N34" i="49" s="1"/>
  <c r="L34" i="49"/>
  <c r="K34" i="49"/>
  <c r="H34" i="49"/>
  <c r="M33" i="49"/>
  <c r="N33" i="49" s="1"/>
  <c r="L33" i="49"/>
  <c r="K33" i="49"/>
  <c r="H33" i="49"/>
  <c r="N32" i="49"/>
  <c r="M32" i="49"/>
  <c r="L32" i="49"/>
  <c r="K32" i="49"/>
  <c r="H32" i="49"/>
  <c r="M31" i="49"/>
  <c r="N31" i="49" s="1"/>
  <c r="L31" i="49"/>
  <c r="K31" i="49"/>
  <c r="H31" i="49"/>
  <c r="M30" i="49"/>
  <c r="N30" i="49" s="1"/>
  <c r="L30" i="49"/>
  <c r="K30" i="49"/>
  <c r="H30" i="49"/>
  <c r="N29" i="49"/>
  <c r="M29" i="49"/>
  <c r="L29" i="49"/>
  <c r="K29" i="49"/>
  <c r="H29" i="49"/>
  <c r="M28" i="49"/>
  <c r="N28" i="49" s="1"/>
  <c r="L28" i="49"/>
  <c r="K28" i="49"/>
  <c r="H28" i="49"/>
  <c r="L21" i="49"/>
  <c r="N21" i="49" s="1"/>
  <c r="K21" i="49"/>
  <c r="H21" i="49"/>
  <c r="L20" i="49"/>
  <c r="N20" i="49" s="1"/>
  <c r="K20" i="49"/>
  <c r="H20" i="49"/>
  <c r="N19" i="49"/>
  <c r="M19" i="49"/>
  <c r="L19" i="49"/>
  <c r="K19" i="49"/>
  <c r="H19" i="49"/>
  <c r="L18" i="49"/>
  <c r="N18" i="49" s="1"/>
  <c r="K18" i="49"/>
  <c r="H18" i="49"/>
  <c r="L17" i="49"/>
  <c r="M17" i="49" s="1"/>
  <c r="K17" i="49"/>
  <c r="H17" i="49"/>
  <c r="M16" i="49"/>
  <c r="L16" i="49"/>
  <c r="N16" i="49" s="1"/>
  <c r="K16" i="49"/>
  <c r="H16" i="49"/>
  <c r="L15" i="49"/>
  <c r="M15" i="49" s="1"/>
  <c r="K15" i="49"/>
  <c r="H15" i="49"/>
  <c r="N14" i="49"/>
  <c r="M14" i="49"/>
  <c r="L14" i="49"/>
  <c r="K14" i="49"/>
  <c r="H14" i="49"/>
  <c r="M13" i="49"/>
  <c r="L13" i="49"/>
  <c r="N13" i="49" s="1"/>
  <c r="K13" i="49"/>
  <c r="H13" i="49"/>
  <c r="L12" i="49"/>
  <c r="N12" i="49" s="1"/>
  <c r="K12" i="49"/>
  <c r="H12" i="49"/>
  <c r="D53" i="49"/>
  <c r="J5" i="49"/>
  <c r="K5" i="49" s="1"/>
  <c r="H5" i="49"/>
  <c r="I5" i="49" s="1"/>
  <c r="G5" i="49"/>
  <c r="E5" i="49"/>
  <c r="L20" i="16" l="1"/>
  <c r="M12" i="49"/>
  <c r="D45" i="49"/>
  <c r="D44" i="49"/>
  <c r="D46" i="49"/>
  <c r="N15" i="49"/>
  <c r="M20" i="49"/>
  <c r="D47" i="49"/>
  <c r="D48" i="49"/>
  <c r="N17" i="49"/>
  <c r="M18" i="49"/>
  <c r="D49" i="49"/>
  <c r="D50" i="49"/>
  <c r="M5" i="49"/>
  <c r="D51" i="49"/>
  <c r="M21" i="49"/>
  <c r="D52" i="49"/>
  <c r="K24" i="16" l="1"/>
  <c r="I24" i="16"/>
  <c r="G24" i="16"/>
  <c r="E24" i="16"/>
  <c r="C24" i="16"/>
  <c r="B24" i="16"/>
  <c r="D24" i="16"/>
  <c r="F24" i="16"/>
  <c r="H24" i="16"/>
  <c r="J24" i="16"/>
  <c r="L24" i="16"/>
  <c r="D53" i="46"/>
  <c r="D52" i="46"/>
  <c r="D51" i="46"/>
  <c r="D50" i="46"/>
  <c r="D49" i="46"/>
  <c r="D48" i="46"/>
  <c r="D47" i="46"/>
  <c r="D46" i="46"/>
  <c r="D45" i="46"/>
  <c r="D44" i="46"/>
  <c r="N37" i="46"/>
  <c r="M37" i="46"/>
  <c r="L37" i="46"/>
  <c r="K37" i="46"/>
  <c r="H37" i="46"/>
  <c r="N36" i="46"/>
  <c r="M36" i="46"/>
  <c r="L36" i="46"/>
  <c r="K36" i="46"/>
  <c r="H36" i="46"/>
  <c r="N35" i="46"/>
  <c r="M35" i="46"/>
  <c r="L35" i="46"/>
  <c r="K35" i="46"/>
  <c r="H35" i="46"/>
  <c r="N34" i="46"/>
  <c r="M34" i="46"/>
  <c r="L34" i="46"/>
  <c r="K34" i="46"/>
  <c r="H34" i="46"/>
  <c r="N33" i="46"/>
  <c r="M33" i="46"/>
  <c r="L33" i="46"/>
  <c r="K33" i="46"/>
  <c r="H33" i="46"/>
  <c r="N32" i="46"/>
  <c r="M32" i="46"/>
  <c r="L32" i="46"/>
  <c r="K32" i="46"/>
  <c r="H32" i="46"/>
  <c r="N31" i="46"/>
  <c r="M31" i="46"/>
  <c r="L31" i="46"/>
  <c r="K31" i="46"/>
  <c r="H31" i="46"/>
  <c r="N30" i="46"/>
  <c r="M30" i="46"/>
  <c r="L30" i="46"/>
  <c r="K30" i="46"/>
  <c r="H30" i="46"/>
  <c r="N29" i="46"/>
  <c r="M29" i="46"/>
  <c r="L29" i="46"/>
  <c r="K29" i="46"/>
  <c r="H29" i="46"/>
  <c r="N28" i="46"/>
  <c r="M28" i="46"/>
  <c r="L28" i="46"/>
  <c r="K28" i="46"/>
  <c r="H28" i="46"/>
  <c r="N21" i="46"/>
  <c r="M21" i="46"/>
  <c r="L21" i="46"/>
  <c r="K21" i="46"/>
  <c r="H21" i="46"/>
  <c r="N20" i="46"/>
  <c r="M20" i="46"/>
  <c r="L20" i="46"/>
  <c r="K20" i="46"/>
  <c r="H20" i="46"/>
  <c r="N19" i="46"/>
  <c r="M19" i="46"/>
  <c r="L19" i="46"/>
  <c r="K19" i="46"/>
  <c r="H19" i="46"/>
  <c r="N18" i="46"/>
  <c r="M18" i="46"/>
  <c r="L18" i="46"/>
  <c r="K18" i="46"/>
  <c r="H18" i="46"/>
  <c r="N17" i="46"/>
  <c r="M17" i="46"/>
  <c r="L17" i="46"/>
  <c r="K17" i="46"/>
  <c r="H17" i="46"/>
  <c r="N16" i="46"/>
  <c r="M16" i="46"/>
  <c r="L16" i="46"/>
  <c r="K16" i="46"/>
  <c r="H16" i="46"/>
  <c r="N15" i="46"/>
  <c r="M15" i="46"/>
  <c r="L15" i="46"/>
  <c r="K15" i="46"/>
  <c r="H15" i="46"/>
  <c r="N14" i="46"/>
  <c r="M14" i="46"/>
  <c r="L14" i="46"/>
  <c r="K14" i="46"/>
  <c r="H14" i="46"/>
  <c r="N13" i="46"/>
  <c r="M13" i="46"/>
  <c r="L13" i="46"/>
  <c r="K13" i="46"/>
  <c r="H13" i="46"/>
  <c r="N12" i="46"/>
  <c r="M12" i="46"/>
  <c r="L12" i="46"/>
  <c r="K12" i="46"/>
  <c r="H12" i="46"/>
  <c r="M5" i="46"/>
  <c r="K5" i="46"/>
  <c r="J5" i="46"/>
  <c r="I5" i="46"/>
  <c r="H5" i="46"/>
  <c r="G5" i="46"/>
  <c r="E5" i="46"/>
  <c r="A24" i="16"/>
  <c r="K23" i="16" l="1"/>
  <c r="I23" i="16"/>
  <c r="G23" i="16"/>
  <c r="E23" i="16"/>
  <c r="F23" i="16" s="1"/>
  <c r="C23" i="16"/>
  <c r="H23" i="16" s="1"/>
  <c r="B23" i="16"/>
  <c r="J23" i="16"/>
  <c r="D53" i="43"/>
  <c r="D52" i="43"/>
  <c r="D51" i="43"/>
  <c r="D50" i="43"/>
  <c r="D49" i="43"/>
  <c r="D48" i="43"/>
  <c r="D47" i="43"/>
  <c r="D46" i="43"/>
  <c r="D45" i="43"/>
  <c r="D44" i="43"/>
  <c r="N37" i="43"/>
  <c r="M37" i="43"/>
  <c r="L37" i="43"/>
  <c r="K37" i="43"/>
  <c r="H37" i="43"/>
  <c r="N36" i="43"/>
  <c r="M36" i="43"/>
  <c r="L36" i="43"/>
  <c r="K36" i="43"/>
  <c r="H36" i="43"/>
  <c r="N35" i="43"/>
  <c r="M35" i="43"/>
  <c r="L35" i="43"/>
  <c r="K35" i="43"/>
  <c r="H35" i="43"/>
  <c r="N34" i="43"/>
  <c r="M34" i="43"/>
  <c r="L34" i="43"/>
  <c r="K34" i="43"/>
  <c r="H34" i="43"/>
  <c r="N33" i="43"/>
  <c r="M33" i="43"/>
  <c r="L33" i="43"/>
  <c r="K33" i="43"/>
  <c r="H33" i="43"/>
  <c r="N32" i="43"/>
  <c r="M32" i="43"/>
  <c r="L32" i="43"/>
  <c r="K32" i="43"/>
  <c r="H32" i="43"/>
  <c r="N31" i="43"/>
  <c r="M31" i="43"/>
  <c r="L31" i="43"/>
  <c r="K31" i="43"/>
  <c r="H31" i="43"/>
  <c r="N30" i="43"/>
  <c r="M30" i="43"/>
  <c r="L30" i="43"/>
  <c r="K30" i="43"/>
  <c r="H30" i="43"/>
  <c r="N29" i="43"/>
  <c r="M29" i="43"/>
  <c r="L29" i="43"/>
  <c r="K29" i="43"/>
  <c r="H29" i="43"/>
  <c r="N28" i="43"/>
  <c r="M28" i="43"/>
  <c r="L28" i="43"/>
  <c r="K28" i="43"/>
  <c r="H28" i="43"/>
  <c r="N21" i="43"/>
  <c r="M21" i="43"/>
  <c r="L21" i="43"/>
  <c r="K21" i="43"/>
  <c r="H21" i="43"/>
  <c r="N20" i="43"/>
  <c r="M20" i="43"/>
  <c r="L20" i="43"/>
  <c r="K20" i="43"/>
  <c r="H20" i="43"/>
  <c r="N19" i="43"/>
  <c r="M19" i="43"/>
  <c r="L19" i="43"/>
  <c r="K19" i="43"/>
  <c r="H19" i="43"/>
  <c r="N18" i="43"/>
  <c r="M18" i="43"/>
  <c r="L18" i="43"/>
  <c r="K18" i="43"/>
  <c r="H18" i="43"/>
  <c r="N17" i="43"/>
  <c r="M17" i="43"/>
  <c r="L17" i="43"/>
  <c r="K17" i="43"/>
  <c r="H17" i="43"/>
  <c r="N16" i="43"/>
  <c r="M16" i="43"/>
  <c r="L16" i="43"/>
  <c r="K16" i="43"/>
  <c r="H16" i="43"/>
  <c r="N15" i="43"/>
  <c r="M15" i="43"/>
  <c r="L15" i="43"/>
  <c r="K15" i="43"/>
  <c r="H15" i="43"/>
  <c r="N14" i="43"/>
  <c r="M14" i="43"/>
  <c r="L14" i="43"/>
  <c r="K14" i="43"/>
  <c r="H14" i="43"/>
  <c r="N13" i="43"/>
  <c r="M13" i="43"/>
  <c r="L13" i="43"/>
  <c r="K13" i="43"/>
  <c r="H13" i="43"/>
  <c r="N12" i="43"/>
  <c r="M12" i="43"/>
  <c r="L12" i="43"/>
  <c r="K12" i="43"/>
  <c r="H12" i="43"/>
  <c r="M5" i="43"/>
  <c r="K5" i="43"/>
  <c r="J5" i="43"/>
  <c r="I5" i="43"/>
  <c r="H5" i="43"/>
  <c r="G5" i="43"/>
  <c r="E5" i="43"/>
  <c r="D23" i="16" l="1"/>
  <c r="L23" i="16"/>
  <c r="K19" i="16" l="1"/>
  <c r="I19" i="16"/>
  <c r="G19" i="16"/>
  <c r="E19" i="16"/>
  <c r="C19" i="16"/>
  <c r="B19" i="16"/>
  <c r="L19" i="16"/>
  <c r="J19" i="16"/>
  <c r="H19" i="16"/>
  <c r="F19" i="16"/>
  <c r="D19" i="16"/>
  <c r="M37" i="38"/>
  <c r="N37" i="38" s="1"/>
  <c r="L37" i="38"/>
  <c r="K37" i="38"/>
  <c r="H37" i="38"/>
  <c r="M36" i="38"/>
  <c r="N36" i="38" s="1"/>
  <c r="L36" i="38"/>
  <c r="K36" i="38"/>
  <c r="H36" i="38"/>
  <c r="M35" i="38"/>
  <c r="N35" i="38" s="1"/>
  <c r="L35" i="38"/>
  <c r="K35" i="38"/>
  <c r="H35" i="38"/>
  <c r="M34" i="38"/>
  <c r="N34" i="38" s="1"/>
  <c r="L34" i="38"/>
  <c r="K34" i="38"/>
  <c r="H34" i="38"/>
  <c r="M33" i="38"/>
  <c r="N33" i="38" s="1"/>
  <c r="L33" i="38"/>
  <c r="K33" i="38"/>
  <c r="H33" i="38"/>
  <c r="N32" i="38"/>
  <c r="M32" i="38"/>
  <c r="L32" i="38"/>
  <c r="K32" i="38"/>
  <c r="H32" i="38"/>
  <c r="N31" i="38"/>
  <c r="M31" i="38"/>
  <c r="L31" i="38"/>
  <c r="K31" i="38"/>
  <c r="H31" i="38"/>
  <c r="M30" i="38"/>
  <c r="N30" i="38" s="1"/>
  <c r="L30" i="38"/>
  <c r="K30" i="38"/>
  <c r="H30" i="38"/>
  <c r="M29" i="38"/>
  <c r="N29" i="38" s="1"/>
  <c r="L29" i="38"/>
  <c r="K29" i="38"/>
  <c r="H29" i="38"/>
  <c r="M28" i="38"/>
  <c r="N28" i="38" s="1"/>
  <c r="L28" i="38"/>
  <c r="K28" i="38"/>
  <c r="H28" i="38"/>
  <c r="L21" i="38"/>
  <c r="N21" i="38" s="1"/>
  <c r="K21" i="38"/>
  <c r="H21" i="38"/>
  <c r="L20" i="38"/>
  <c r="N20" i="38" s="1"/>
  <c r="K20" i="38"/>
  <c r="H20" i="38"/>
  <c r="N19" i="38"/>
  <c r="M19" i="38"/>
  <c r="L19" i="38"/>
  <c r="K19" i="38"/>
  <c r="H19" i="38"/>
  <c r="M18" i="38"/>
  <c r="L18" i="38"/>
  <c r="N18" i="38" s="1"/>
  <c r="K18" i="38"/>
  <c r="H18" i="38"/>
  <c r="L17" i="38"/>
  <c r="M17" i="38" s="1"/>
  <c r="K17" i="38"/>
  <c r="H17" i="38"/>
  <c r="L16" i="38"/>
  <c r="N16" i="38" s="1"/>
  <c r="K16" i="38"/>
  <c r="H16" i="38"/>
  <c r="L15" i="38"/>
  <c r="M15" i="38" s="1"/>
  <c r="K15" i="38"/>
  <c r="H15" i="38"/>
  <c r="N14" i="38"/>
  <c r="L14" i="38"/>
  <c r="M14" i="38" s="1"/>
  <c r="K14" i="38"/>
  <c r="H14" i="38"/>
  <c r="L13" i="38"/>
  <c r="N13" i="38" s="1"/>
  <c r="K13" i="38"/>
  <c r="H13" i="38"/>
  <c r="L12" i="38"/>
  <c r="N12" i="38" s="1"/>
  <c r="K12" i="38"/>
  <c r="H12" i="38"/>
  <c r="D53" i="38"/>
  <c r="J5" i="38"/>
  <c r="K5" i="38" s="1"/>
  <c r="H5" i="38"/>
  <c r="I5" i="38" s="1"/>
  <c r="G5" i="38"/>
  <c r="E5" i="38"/>
  <c r="D44" i="38" l="1"/>
  <c r="M12" i="38"/>
  <c r="D45" i="38"/>
  <c r="D46" i="38"/>
  <c r="N15" i="38"/>
  <c r="M20" i="38"/>
  <c r="D47" i="38"/>
  <c r="M13" i="38"/>
  <c r="D48" i="38"/>
  <c r="D49" i="38"/>
  <c r="D50" i="38"/>
  <c r="N17" i="38"/>
  <c r="M5" i="38"/>
  <c r="M16" i="38"/>
  <c r="D51" i="38"/>
  <c r="M21" i="38"/>
  <c r="D52" i="38"/>
  <c r="K18" i="16"/>
  <c r="I18" i="16"/>
  <c r="G18" i="16"/>
  <c r="E18" i="16"/>
  <c r="C18" i="16"/>
  <c r="B18" i="16"/>
  <c r="D18" i="16" s="1"/>
  <c r="K17" i="16"/>
  <c r="I17" i="16"/>
  <c r="G17" i="16"/>
  <c r="E17" i="16"/>
  <c r="C17" i="16"/>
  <c r="B17" i="16"/>
  <c r="D17" i="16"/>
  <c r="F17" i="16"/>
  <c r="H17" i="16"/>
  <c r="J17" i="16"/>
  <c r="L17" i="16"/>
  <c r="H18" i="16"/>
  <c r="J18" i="16"/>
  <c r="L18" i="16"/>
  <c r="M37" i="37"/>
  <c r="N37" i="37" s="1"/>
  <c r="L37" i="37"/>
  <c r="K37" i="37"/>
  <c r="H37" i="37"/>
  <c r="M36" i="37"/>
  <c r="N36" i="37" s="1"/>
  <c r="L36" i="37"/>
  <c r="K36" i="37"/>
  <c r="H36" i="37"/>
  <c r="M35" i="37"/>
  <c r="N35" i="37" s="1"/>
  <c r="L35" i="37"/>
  <c r="K35" i="37"/>
  <c r="H35" i="37"/>
  <c r="M34" i="37"/>
  <c r="N34" i="37" s="1"/>
  <c r="L34" i="37"/>
  <c r="K34" i="37"/>
  <c r="H34" i="37"/>
  <c r="M33" i="37"/>
  <c r="N33" i="37" s="1"/>
  <c r="L33" i="37"/>
  <c r="K33" i="37"/>
  <c r="H33" i="37"/>
  <c r="N32" i="37"/>
  <c r="M32" i="37"/>
  <c r="L32" i="37"/>
  <c r="K32" i="37"/>
  <c r="H32" i="37"/>
  <c r="M31" i="37"/>
  <c r="N31" i="37" s="1"/>
  <c r="L31" i="37"/>
  <c r="K31" i="37"/>
  <c r="H31" i="37"/>
  <c r="M30" i="37"/>
  <c r="N30" i="37" s="1"/>
  <c r="L30" i="37"/>
  <c r="K30" i="37"/>
  <c r="H30" i="37"/>
  <c r="M29" i="37"/>
  <c r="N29" i="37" s="1"/>
  <c r="L29" i="37"/>
  <c r="K29" i="37"/>
  <c r="H29" i="37"/>
  <c r="M28" i="37"/>
  <c r="N28" i="37" s="1"/>
  <c r="L28" i="37"/>
  <c r="K28" i="37"/>
  <c r="H28" i="37"/>
  <c r="L21" i="37"/>
  <c r="N21" i="37" s="1"/>
  <c r="K21" i="37"/>
  <c r="H21" i="37"/>
  <c r="L20" i="37"/>
  <c r="M20" i="37" s="1"/>
  <c r="K20" i="37"/>
  <c r="H20" i="37"/>
  <c r="N19" i="37"/>
  <c r="M19" i="37"/>
  <c r="L19" i="37"/>
  <c r="K19" i="37"/>
  <c r="H19" i="37"/>
  <c r="L18" i="37"/>
  <c r="N18" i="37" s="1"/>
  <c r="K18" i="37"/>
  <c r="H18" i="37"/>
  <c r="L17" i="37"/>
  <c r="N17" i="37" s="1"/>
  <c r="K17" i="37"/>
  <c r="H17" i="37"/>
  <c r="L16" i="37"/>
  <c r="N16" i="37" s="1"/>
  <c r="K16" i="37"/>
  <c r="H16" i="37"/>
  <c r="L15" i="37"/>
  <c r="N15" i="37" s="1"/>
  <c r="K15" i="37"/>
  <c r="H15" i="37"/>
  <c r="N14" i="37"/>
  <c r="L14" i="37"/>
  <c r="M14" i="37" s="1"/>
  <c r="K14" i="37"/>
  <c r="H14" i="37"/>
  <c r="L13" i="37"/>
  <c r="M13" i="37" s="1"/>
  <c r="K13" i="37"/>
  <c r="H13" i="37"/>
  <c r="L12" i="37"/>
  <c r="N12" i="37" s="1"/>
  <c r="K12" i="37"/>
  <c r="H12" i="37"/>
  <c r="D53" i="37"/>
  <c r="J5" i="37"/>
  <c r="K5" i="37" s="1"/>
  <c r="H5" i="37"/>
  <c r="I5" i="37" s="1"/>
  <c r="G5" i="37"/>
  <c r="E5" i="37"/>
  <c r="F18" i="16" l="1"/>
  <c r="M5" i="37"/>
  <c r="M16" i="37"/>
  <c r="D51" i="37"/>
  <c r="D44" i="37"/>
  <c r="D45" i="37"/>
  <c r="D46" i="37"/>
  <c r="D47" i="37"/>
  <c r="N20" i="37"/>
  <c r="D48" i="37"/>
  <c r="N13" i="37"/>
  <c r="M18" i="37"/>
  <c r="D49" i="37"/>
  <c r="D50" i="37"/>
  <c r="M21" i="37"/>
  <c r="D52" i="37"/>
  <c r="M12" i="37"/>
  <c r="M17" i="37"/>
  <c r="M15" i="37"/>
  <c r="D53" i="36" l="1"/>
  <c r="D52" i="36"/>
  <c r="D51" i="36"/>
  <c r="D50" i="36"/>
  <c r="D49" i="36"/>
  <c r="D48" i="36"/>
  <c r="D47" i="36"/>
  <c r="D46" i="36"/>
  <c r="D45" i="36"/>
  <c r="D44" i="36"/>
  <c r="N37" i="36"/>
  <c r="M37" i="36"/>
  <c r="L37" i="36"/>
  <c r="K37" i="36"/>
  <c r="H37" i="36"/>
  <c r="N36" i="36"/>
  <c r="M36" i="36"/>
  <c r="L36" i="36"/>
  <c r="K36" i="36"/>
  <c r="H36" i="36"/>
  <c r="N35" i="36"/>
  <c r="M35" i="36"/>
  <c r="L35" i="36"/>
  <c r="K35" i="36"/>
  <c r="H35" i="36"/>
  <c r="N34" i="36"/>
  <c r="M34" i="36"/>
  <c r="L34" i="36"/>
  <c r="K34" i="36"/>
  <c r="H34" i="36"/>
  <c r="N33" i="36"/>
  <c r="M33" i="36"/>
  <c r="L33" i="36"/>
  <c r="K33" i="36"/>
  <c r="H33" i="36"/>
  <c r="N32" i="36"/>
  <c r="M32" i="36"/>
  <c r="L32" i="36"/>
  <c r="K32" i="36"/>
  <c r="H32" i="36"/>
  <c r="N31" i="36"/>
  <c r="M31" i="36"/>
  <c r="L31" i="36"/>
  <c r="K31" i="36"/>
  <c r="H31" i="36"/>
  <c r="N30" i="36"/>
  <c r="M30" i="36"/>
  <c r="L30" i="36"/>
  <c r="K30" i="36"/>
  <c r="H30" i="36"/>
  <c r="N29" i="36"/>
  <c r="M29" i="36"/>
  <c r="L29" i="36"/>
  <c r="K29" i="36"/>
  <c r="H29" i="36"/>
  <c r="N28" i="36"/>
  <c r="M28" i="36"/>
  <c r="L28" i="36"/>
  <c r="K28" i="36"/>
  <c r="H28" i="36"/>
  <c r="N21" i="36"/>
  <c r="M21" i="36"/>
  <c r="L21" i="36"/>
  <c r="K21" i="36"/>
  <c r="H21" i="36"/>
  <c r="N20" i="36"/>
  <c r="M20" i="36"/>
  <c r="L20" i="36"/>
  <c r="K20" i="36"/>
  <c r="H20" i="36"/>
  <c r="N19" i="36"/>
  <c r="M19" i="36"/>
  <c r="L19" i="36"/>
  <c r="K19" i="36"/>
  <c r="H19" i="36"/>
  <c r="N18" i="36"/>
  <c r="M18" i="36"/>
  <c r="L18" i="36"/>
  <c r="K18" i="36"/>
  <c r="H18" i="36"/>
  <c r="N17" i="36"/>
  <c r="M17" i="36"/>
  <c r="L17" i="36"/>
  <c r="K17" i="36"/>
  <c r="H17" i="36"/>
  <c r="N16" i="36"/>
  <c r="M16" i="36"/>
  <c r="L16" i="36"/>
  <c r="K16" i="36"/>
  <c r="H16" i="36"/>
  <c r="N15" i="36"/>
  <c r="M15" i="36"/>
  <c r="L15" i="36"/>
  <c r="K15" i="36"/>
  <c r="H15" i="36"/>
  <c r="N14" i="36"/>
  <c r="M14" i="36"/>
  <c r="L14" i="36"/>
  <c r="K14" i="36"/>
  <c r="H14" i="36"/>
  <c r="N13" i="36"/>
  <c r="M13" i="36"/>
  <c r="L13" i="36"/>
  <c r="K13" i="36"/>
  <c r="H13" i="36"/>
  <c r="N12" i="36"/>
  <c r="M12" i="36"/>
  <c r="L12" i="36"/>
  <c r="K12" i="36"/>
  <c r="H12" i="36"/>
  <c r="M5" i="36"/>
  <c r="K5" i="36"/>
  <c r="J5" i="36"/>
  <c r="I5" i="36"/>
  <c r="H5" i="36"/>
  <c r="G5" i="36"/>
  <c r="E5" i="36"/>
  <c r="K16" i="16" l="1"/>
  <c r="I16" i="16"/>
  <c r="G16" i="16"/>
  <c r="E16" i="16"/>
  <c r="C16" i="16"/>
  <c r="B16" i="16"/>
  <c r="F16" i="16"/>
  <c r="H16" i="16"/>
  <c r="D16" i="16"/>
  <c r="J16" i="16"/>
  <c r="D53" i="35"/>
  <c r="D52" i="35"/>
  <c r="D51" i="35"/>
  <c r="D50" i="35"/>
  <c r="D49" i="35"/>
  <c r="D48" i="35"/>
  <c r="D47" i="35"/>
  <c r="D46" i="35"/>
  <c r="D45" i="35"/>
  <c r="D44" i="35"/>
  <c r="N37" i="35"/>
  <c r="M37" i="35"/>
  <c r="L37" i="35"/>
  <c r="K37" i="35"/>
  <c r="H37" i="35"/>
  <c r="N36" i="35"/>
  <c r="M36" i="35"/>
  <c r="L36" i="35"/>
  <c r="K36" i="35"/>
  <c r="H36" i="35"/>
  <c r="N35" i="35"/>
  <c r="M35" i="35"/>
  <c r="L35" i="35"/>
  <c r="K35" i="35"/>
  <c r="H35" i="35"/>
  <c r="N34" i="35"/>
  <c r="M34" i="35"/>
  <c r="L34" i="35"/>
  <c r="K34" i="35"/>
  <c r="H34" i="35"/>
  <c r="N33" i="35"/>
  <c r="M33" i="35"/>
  <c r="L33" i="35"/>
  <c r="K33" i="35"/>
  <c r="H33" i="35"/>
  <c r="N32" i="35"/>
  <c r="M32" i="35"/>
  <c r="L32" i="35"/>
  <c r="K32" i="35"/>
  <c r="H32" i="35"/>
  <c r="N31" i="35"/>
  <c r="M31" i="35"/>
  <c r="L31" i="35"/>
  <c r="K31" i="35"/>
  <c r="H31" i="35"/>
  <c r="N30" i="35"/>
  <c r="M30" i="35"/>
  <c r="L30" i="35"/>
  <c r="K30" i="35"/>
  <c r="H30" i="35"/>
  <c r="N29" i="35"/>
  <c r="M29" i="35"/>
  <c r="L29" i="35"/>
  <c r="K29" i="35"/>
  <c r="H29" i="35"/>
  <c r="N28" i="35"/>
  <c r="M28" i="35"/>
  <c r="L28" i="35"/>
  <c r="K28" i="35"/>
  <c r="H28" i="35"/>
  <c r="N21" i="35"/>
  <c r="M21" i="35"/>
  <c r="L21" i="35"/>
  <c r="K21" i="35"/>
  <c r="H21" i="35"/>
  <c r="N20" i="35"/>
  <c r="M20" i="35"/>
  <c r="L20" i="35"/>
  <c r="K20" i="35"/>
  <c r="H20" i="35"/>
  <c r="N19" i="35"/>
  <c r="M19" i="35"/>
  <c r="L19" i="35"/>
  <c r="K19" i="35"/>
  <c r="H19" i="35"/>
  <c r="N18" i="35"/>
  <c r="M18" i="35"/>
  <c r="L18" i="35"/>
  <c r="K18" i="35"/>
  <c r="H18" i="35"/>
  <c r="N17" i="35"/>
  <c r="M17" i="35"/>
  <c r="L17" i="35"/>
  <c r="K17" i="35"/>
  <c r="H17" i="35"/>
  <c r="N16" i="35"/>
  <c r="M16" i="35"/>
  <c r="L16" i="35"/>
  <c r="K16" i="35"/>
  <c r="H16" i="35"/>
  <c r="N15" i="35"/>
  <c r="M15" i="35"/>
  <c r="L15" i="35"/>
  <c r="K15" i="35"/>
  <c r="H15" i="35"/>
  <c r="N14" i="35"/>
  <c r="M14" i="35"/>
  <c r="L14" i="35"/>
  <c r="K14" i="35"/>
  <c r="H14" i="35"/>
  <c r="N13" i="35"/>
  <c r="M13" i="35"/>
  <c r="L13" i="35"/>
  <c r="K13" i="35"/>
  <c r="H13" i="35"/>
  <c r="N12" i="35"/>
  <c r="M12" i="35"/>
  <c r="L12" i="35"/>
  <c r="K12" i="35"/>
  <c r="H12" i="35"/>
  <c r="M5" i="35"/>
  <c r="K5" i="35"/>
  <c r="J5" i="35"/>
  <c r="I5" i="35"/>
  <c r="H5" i="35"/>
  <c r="G5" i="35"/>
  <c r="E5" i="35"/>
  <c r="L16" i="16" l="1"/>
  <c r="K15" i="16"/>
  <c r="L15" i="16" s="1"/>
  <c r="I15" i="16"/>
  <c r="G15" i="16"/>
  <c r="E15" i="16"/>
  <c r="J15" i="16" s="1"/>
  <c r="C15" i="16"/>
  <c r="D15" i="16" s="1"/>
  <c r="B15" i="16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N32" i="34"/>
  <c r="M32" i="34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N21" i="34" s="1"/>
  <c r="K21" i="34"/>
  <c r="H21" i="34"/>
  <c r="L20" i="34"/>
  <c r="M20" i="34" s="1"/>
  <c r="K20" i="34"/>
  <c r="H20" i="34"/>
  <c r="N19" i="34"/>
  <c r="M19" i="34"/>
  <c r="L19" i="34"/>
  <c r="K19" i="34"/>
  <c r="H19" i="34"/>
  <c r="L18" i="34"/>
  <c r="N18" i="34" s="1"/>
  <c r="K18" i="34"/>
  <c r="H18" i="34"/>
  <c r="L17" i="34"/>
  <c r="N17" i="34" s="1"/>
  <c r="K17" i="34"/>
  <c r="H17" i="34"/>
  <c r="L16" i="34"/>
  <c r="N16" i="34" s="1"/>
  <c r="K16" i="34"/>
  <c r="H16" i="34"/>
  <c r="L15" i="34"/>
  <c r="N15" i="34" s="1"/>
  <c r="K15" i="34"/>
  <c r="H15" i="34"/>
  <c r="N14" i="34"/>
  <c r="L14" i="34"/>
  <c r="M14" i="34" s="1"/>
  <c r="K14" i="34"/>
  <c r="H14" i="34"/>
  <c r="L13" i="34"/>
  <c r="N13" i="34" s="1"/>
  <c r="K13" i="34"/>
  <c r="H13" i="34"/>
  <c r="L12" i="34"/>
  <c r="N12" i="34" s="1"/>
  <c r="K12" i="34"/>
  <c r="H12" i="34"/>
  <c r="D53" i="34"/>
  <c r="J5" i="34"/>
  <c r="K5" i="34" s="1"/>
  <c r="H5" i="34"/>
  <c r="I5" i="34" s="1"/>
  <c r="G5" i="34"/>
  <c r="E5" i="34"/>
  <c r="F15" i="16" l="1"/>
  <c r="H15" i="16"/>
  <c r="D45" i="34"/>
  <c r="D44" i="34"/>
  <c r="D46" i="34"/>
  <c r="M17" i="34"/>
  <c r="D47" i="34"/>
  <c r="M12" i="34"/>
  <c r="M15" i="34"/>
  <c r="N20" i="34"/>
  <c r="D48" i="34"/>
  <c r="M13" i="34"/>
  <c r="M18" i="34"/>
  <c r="D49" i="34"/>
  <c r="D50" i="34"/>
  <c r="M5" i="34"/>
  <c r="M16" i="34"/>
  <c r="D51" i="34"/>
  <c r="M21" i="34"/>
  <c r="D52" i="34"/>
  <c r="K14" i="16" l="1"/>
  <c r="I14" i="16"/>
  <c r="J14" i="16" s="1"/>
  <c r="G14" i="16"/>
  <c r="H14" i="16" s="1"/>
  <c r="E14" i="16"/>
  <c r="C14" i="16"/>
  <c r="B14" i="16"/>
  <c r="D14" i="16" s="1"/>
  <c r="F14" i="16"/>
  <c r="E5" i="31"/>
  <c r="G5" i="31"/>
  <c r="H5" i="31"/>
  <c r="J5" i="31"/>
  <c r="D53" i="31"/>
  <c r="H12" i="31"/>
  <c r="K12" i="31"/>
  <c r="L12" i="31"/>
  <c r="M12" i="31"/>
  <c r="N12" i="31"/>
  <c r="H13" i="31"/>
  <c r="K13" i="31"/>
  <c r="L13" i="31"/>
  <c r="M13" i="31"/>
  <c r="N13" i="31"/>
  <c r="H14" i="31"/>
  <c r="K14" i="31"/>
  <c r="L14" i="31"/>
  <c r="M14" i="31" s="1"/>
  <c r="N14" i="31"/>
  <c r="H15" i="31"/>
  <c r="K15" i="31"/>
  <c r="L15" i="31"/>
  <c r="M15" i="31"/>
  <c r="N15" i="31"/>
  <c r="H16" i="31"/>
  <c r="K16" i="31"/>
  <c r="L16" i="31"/>
  <c r="N16" i="31" s="1"/>
  <c r="M16" i="31"/>
  <c r="H17" i="31"/>
  <c r="K17" i="31"/>
  <c r="L17" i="31"/>
  <c r="N17" i="31" s="1"/>
  <c r="M17" i="31"/>
  <c r="H18" i="31"/>
  <c r="K18" i="31"/>
  <c r="L18" i="31"/>
  <c r="M18" i="31"/>
  <c r="N18" i="31"/>
  <c r="H19" i="31"/>
  <c r="K19" i="31"/>
  <c r="L19" i="31"/>
  <c r="M19" i="31"/>
  <c r="N19" i="31"/>
  <c r="H20" i="31"/>
  <c r="K20" i="31"/>
  <c r="L20" i="31"/>
  <c r="M20" i="31" s="1"/>
  <c r="N20" i="31"/>
  <c r="H21" i="31"/>
  <c r="K21" i="31"/>
  <c r="L21" i="31"/>
  <c r="N21" i="31" s="1"/>
  <c r="H28" i="31"/>
  <c r="K28" i="31"/>
  <c r="L28" i="31"/>
  <c r="M28" i="31"/>
  <c r="N28" i="31"/>
  <c r="H29" i="31"/>
  <c r="K29" i="31"/>
  <c r="L29" i="31"/>
  <c r="M29" i="31"/>
  <c r="N29" i="31"/>
  <c r="H30" i="31"/>
  <c r="K30" i="31"/>
  <c r="L30" i="31"/>
  <c r="M30" i="31"/>
  <c r="N30" i="31"/>
  <c r="H31" i="31"/>
  <c r="K31" i="31"/>
  <c r="L31" i="31"/>
  <c r="M31" i="31"/>
  <c r="N31" i="31"/>
  <c r="H32" i="31"/>
  <c r="K32" i="31"/>
  <c r="L32" i="31"/>
  <c r="M32" i="31"/>
  <c r="N32" i="31"/>
  <c r="H33" i="31"/>
  <c r="K33" i="31"/>
  <c r="L33" i="31"/>
  <c r="M33" i="31"/>
  <c r="N33" i="31" s="1"/>
  <c r="H34" i="31"/>
  <c r="K34" i="31"/>
  <c r="L34" i="31"/>
  <c r="M34" i="31"/>
  <c r="N34" i="31" s="1"/>
  <c r="H35" i="31"/>
  <c r="K35" i="31"/>
  <c r="L35" i="31"/>
  <c r="M35" i="31"/>
  <c r="N35" i="31" s="1"/>
  <c r="H36" i="31"/>
  <c r="K36" i="31"/>
  <c r="L36" i="31"/>
  <c r="M36" i="31"/>
  <c r="N36" i="31"/>
  <c r="H37" i="31"/>
  <c r="K37" i="31"/>
  <c r="L37" i="31"/>
  <c r="M37" i="31"/>
  <c r="N37" i="31"/>
  <c r="L14" i="16" l="1"/>
  <c r="D52" i="31"/>
  <c r="M21" i="31"/>
  <c r="M5" i="31"/>
  <c r="D50" i="31"/>
  <c r="K5" i="31"/>
  <c r="D44" i="31"/>
  <c r="D47" i="31"/>
  <c r="I5" i="31"/>
  <c r="D49" i="31"/>
  <c r="D48" i="31"/>
  <c r="D51" i="31"/>
  <c r="D46" i="31"/>
  <c r="D45" i="31"/>
  <c r="K13" i="16"/>
  <c r="I13" i="16"/>
  <c r="J13" i="16" s="1"/>
  <c r="G13" i="16"/>
  <c r="E13" i="16"/>
  <c r="C13" i="16"/>
  <c r="D13" i="16" s="1"/>
  <c r="B13" i="16"/>
  <c r="F13" i="16"/>
  <c r="E5" i="30"/>
  <c r="G5" i="30"/>
  <c r="H5" i="30"/>
  <c r="J5" i="30"/>
  <c r="D53" i="30"/>
  <c r="H12" i="30"/>
  <c r="K12" i="30"/>
  <c r="L12" i="30"/>
  <c r="M12" i="30" s="1"/>
  <c r="N12" i="30"/>
  <c r="H13" i="30"/>
  <c r="K13" i="30"/>
  <c r="L13" i="30"/>
  <c r="M13" i="30" s="1"/>
  <c r="H14" i="30"/>
  <c r="K14" i="30"/>
  <c r="L14" i="30"/>
  <c r="M14" i="30" s="1"/>
  <c r="H15" i="30"/>
  <c r="K15" i="30"/>
  <c r="L15" i="30"/>
  <c r="M15" i="30"/>
  <c r="N15" i="30"/>
  <c r="H16" i="30"/>
  <c r="K16" i="30"/>
  <c r="L16" i="30"/>
  <c r="M16" i="30"/>
  <c r="N16" i="30"/>
  <c r="H17" i="30"/>
  <c r="K17" i="30"/>
  <c r="L17" i="30"/>
  <c r="M17" i="30"/>
  <c r="N17" i="30"/>
  <c r="H18" i="30"/>
  <c r="K18" i="30"/>
  <c r="L18" i="30"/>
  <c r="M18" i="30"/>
  <c r="N18" i="30"/>
  <c r="H19" i="30"/>
  <c r="K19" i="30"/>
  <c r="L19" i="30"/>
  <c r="N19" i="30" s="1"/>
  <c r="M19" i="30"/>
  <c r="H20" i="30"/>
  <c r="K20" i="30"/>
  <c r="L20" i="30"/>
  <c r="M20" i="30"/>
  <c r="N20" i="30"/>
  <c r="H21" i="30"/>
  <c r="K21" i="30"/>
  <c r="L21" i="30"/>
  <c r="N21" i="30" s="1"/>
  <c r="M21" i="30"/>
  <c r="H28" i="30"/>
  <c r="K28" i="30"/>
  <c r="L28" i="30"/>
  <c r="M28" i="30"/>
  <c r="N28" i="30"/>
  <c r="H29" i="30"/>
  <c r="K29" i="30"/>
  <c r="L29" i="30"/>
  <c r="M29" i="30"/>
  <c r="N29" i="30"/>
  <c r="H30" i="30"/>
  <c r="K30" i="30"/>
  <c r="L30" i="30"/>
  <c r="M30" i="30"/>
  <c r="N30" i="30"/>
  <c r="H31" i="30"/>
  <c r="K31" i="30"/>
  <c r="L31" i="30"/>
  <c r="M31" i="30"/>
  <c r="N31" i="30"/>
  <c r="H32" i="30"/>
  <c r="K32" i="30"/>
  <c r="L32" i="30"/>
  <c r="M32" i="30"/>
  <c r="N32" i="30"/>
  <c r="H33" i="30"/>
  <c r="K33" i="30"/>
  <c r="L33" i="30"/>
  <c r="M33" i="30"/>
  <c r="N33" i="30"/>
  <c r="H34" i="30"/>
  <c r="K34" i="30"/>
  <c r="L34" i="30"/>
  <c r="M34" i="30"/>
  <c r="N34" i="30"/>
  <c r="H35" i="30"/>
  <c r="K35" i="30"/>
  <c r="L35" i="30"/>
  <c r="M35" i="30"/>
  <c r="N35" i="30" s="1"/>
  <c r="H36" i="30"/>
  <c r="K36" i="30"/>
  <c r="L36" i="30"/>
  <c r="M36" i="30"/>
  <c r="N36" i="30"/>
  <c r="H37" i="30"/>
  <c r="K37" i="30"/>
  <c r="L37" i="30"/>
  <c r="M37" i="30"/>
  <c r="N37" i="30" s="1"/>
  <c r="H13" i="16" l="1"/>
  <c r="L13" i="16"/>
  <c r="M5" i="30"/>
  <c r="N13" i="30"/>
  <c r="K5" i="30"/>
  <c r="D51" i="30"/>
  <c r="D48" i="30"/>
  <c r="D47" i="30"/>
  <c r="D52" i="30"/>
  <c r="D50" i="30"/>
  <c r="D49" i="30"/>
  <c r="I5" i="30"/>
  <c r="D46" i="30"/>
  <c r="D45" i="30"/>
  <c r="D44" i="30"/>
  <c r="N14" i="30"/>
  <c r="K12" i="16" l="1"/>
  <c r="I12" i="16"/>
  <c r="J12" i="16" s="1"/>
  <c r="G12" i="16"/>
  <c r="H12" i="16" s="1"/>
  <c r="E12" i="16"/>
  <c r="C12" i="16"/>
  <c r="B12" i="16"/>
  <c r="M37" i="27"/>
  <c r="N37" i="27" s="1"/>
  <c r="L37" i="27"/>
  <c r="K37" i="27"/>
  <c r="H37" i="27"/>
  <c r="M36" i="27"/>
  <c r="N36" i="27" s="1"/>
  <c r="L36" i="27"/>
  <c r="K36" i="27"/>
  <c r="H36" i="27"/>
  <c r="N35" i="27"/>
  <c r="M35" i="27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N32" i="27"/>
  <c r="M32" i="27"/>
  <c r="L32" i="27"/>
  <c r="K32" i="27"/>
  <c r="H32" i="27"/>
  <c r="N31" i="27"/>
  <c r="M31" i="27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N21" i="27" s="1"/>
  <c r="K21" i="27"/>
  <c r="H21" i="27"/>
  <c r="L20" i="27"/>
  <c r="M20" i="27" s="1"/>
  <c r="K20" i="27"/>
  <c r="H20" i="27"/>
  <c r="N19" i="27"/>
  <c r="M19" i="27"/>
  <c r="L19" i="27"/>
  <c r="K19" i="27"/>
  <c r="H19" i="27"/>
  <c r="M18" i="27"/>
  <c r="L18" i="27"/>
  <c r="N18" i="27" s="1"/>
  <c r="K18" i="27"/>
  <c r="H18" i="27"/>
  <c r="L17" i="27"/>
  <c r="N17" i="27" s="1"/>
  <c r="K17" i="27"/>
  <c r="H17" i="27"/>
  <c r="L16" i="27"/>
  <c r="N16" i="27" s="1"/>
  <c r="K16" i="27"/>
  <c r="H16" i="27"/>
  <c r="L15" i="27"/>
  <c r="N15" i="27" s="1"/>
  <c r="K15" i="27"/>
  <c r="H15" i="27"/>
  <c r="N14" i="27"/>
  <c r="L14" i="27"/>
  <c r="M14" i="27" s="1"/>
  <c r="K14" i="27"/>
  <c r="H14" i="27"/>
  <c r="L13" i="27"/>
  <c r="N13" i="27" s="1"/>
  <c r="K13" i="27"/>
  <c r="H13" i="27"/>
  <c r="L12" i="27"/>
  <c r="M12" i="27" s="1"/>
  <c r="K12" i="27"/>
  <c r="H12" i="27"/>
  <c r="D53" i="27"/>
  <c r="J5" i="27"/>
  <c r="K5" i="27" s="1"/>
  <c r="H5" i="27"/>
  <c r="I5" i="27" s="1"/>
  <c r="G5" i="27"/>
  <c r="E5" i="27"/>
  <c r="F12" i="16" l="1"/>
  <c r="D12" i="16"/>
  <c r="L12" i="16"/>
  <c r="N12" i="27"/>
  <c r="M17" i="27"/>
  <c r="D44" i="27"/>
  <c r="D45" i="27"/>
  <c r="D46" i="27"/>
  <c r="D47" i="27"/>
  <c r="M13" i="27"/>
  <c r="N20" i="27"/>
  <c r="D48" i="27"/>
  <c r="D49" i="27"/>
  <c r="D50" i="27"/>
  <c r="M5" i="27"/>
  <c r="M16" i="27"/>
  <c r="D51" i="27"/>
  <c r="M15" i="27"/>
  <c r="M21" i="27"/>
  <c r="D52" i="27"/>
  <c r="K11" i="16"/>
  <c r="L11" i="16" s="1"/>
  <c r="I11" i="16"/>
  <c r="G11" i="16"/>
  <c r="H11" i="16" s="1"/>
  <c r="E11" i="16"/>
  <c r="F11" i="16" s="1"/>
  <c r="C11" i="16"/>
  <c r="B11" i="16"/>
  <c r="D11" i="16"/>
  <c r="J11" i="16"/>
  <c r="E5" i="26"/>
  <c r="K5" i="26"/>
  <c r="H5" i="26"/>
  <c r="J5" i="26"/>
  <c r="D53" i="26"/>
  <c r="H12" i="26"/>
  <c r="K12" i="26"/>
  <c r="L12" i="26"/>
  <c r="M12" i="26" s="1"/>
  <c r="H13" i="26"/>
  <c r="K13" i="26"/>
  <c r="L13" i="26"/>
  <c r="M13" i="26"/>
  <c r="N13" i="26"/>
  <c r="H14" i="26"/>
  <c r="K14" i="26"/>
  <c r="L14" i="26"/>
  <c r="M14" i="26" s="1"/>
  <c r="N14" i="26"/>
  <c r="H15" i="26"/>
  <c r="K15" i="26"/>
  <c r="L15" i="26"/>
  <c r="M15" i="26" s="1"/>
  <c r="N15" i="26"/>
  <c r="H16" i="26"/>
  <c r="K16" i="26"/>
  <c r="L16" i="26"/>
  <c r="M16" i="26" s="1"/>
  <c r="N16" i="26"/>
  <c r="H17" i="26"/>
  <c r="K17" i="26"/>
  <c r="L17" i="26"/>
  <c r="M17" i="26"/>
  <c r="N17" i="26"/>
  <c r="H18" i="26"/>
  <c r="K18" i="26"/>
  <c r="L18" i="26"/>
  <c r="M18" i="26"/>
  <c r="N18" i="26"/>
  <c r="H19" i="26"/>
  <c r="K19" i="26"/>
  <c r="L19" i="26"/>
  <c r="N19" i="26" s="1"/>
  <c r="M19" i="26"/>
  <c r="H20" i="26"/>
  <c r="K20" i="26"/>
  <c r="L20" i="26"/>
  <c r="M20" i="26"/>
  <c r="N20" i="26"/>
  <c r="H21" i="26"/>
  <c r="K21" i="26"/>
  <c r="L21" i="26"/>
  <c r="N21" i="26" s="1"/>
  <c r="M21" i="26"/>
  <c r="H28" i="26"/>
  <c r="K28" i="26"/>
  <c r="L28" i="26"/>
  <c r="M28" i="26"/>
  <c r="N28" i="26" s="1"/>
  <c r="H29" i="26"/>
  <c r="K29" i="26"/>
  <c r="L29" i="26"/>
  <c r="M29" i="26"/>
  <c r="N29" i="26" s="1"/>
  <c r="H30" i="26"/>
  <c r="K30" i="26"/>
  <c r="L30" i="26"/>
  <c r="M30" i="26"/>
  <c r="N30" i="26"/>
  <c r="H31" i="26"/>
  <c r="K31" i="26"/>
  <c r="L31" i="26"/>
  <c r="M31" i="26"/>
  <c r="N31" i="26"/>
  <c r="H32" i="26"/>
  <c r="K32" i="26"/>
  <c r="L32" i="26"/>
  <c r="M32" i="26"/>
  <c r="N32" i="26"/>
  <c r="H33" i="26"/>
  <c r="K33" i="26"/>
  <c r="L33" i="26"/>
  <c r="M33" i="26"/>
  <c r="N33" i="26"/>
  <c r="H34" i="26"/>
  <c r="K34" i="26"/>
  <c r="L34" i="26"/>
  <c r="M34" i="26"/>
  <c r="N34" i="26"/>
  <c r="H35" i="26"/>
  <c r="K35" i="26"/>
  <c r="L35" i="26"/>
  <c r="M35" i="26"/>
  <c r="N35" i="26" s="1"/>
  <c r="H36" i="26"/>
  <c r="K36" i="26"/>
  <c r="L36" i="26"/>
  <c r="M36" i="26"/>
  <c r="N36" i="26"/>
  <c r="H37" i="26"/>
  <c r="K37" i="26"/>
  <c r="L37" i="26"/>
  <c r="M37" i="26"/>
  <c r="N37" i="26" s="1"/>
  <c r="D51" i="26" l="1"/>
  <c r="M5" i="26"/>
  <c r="D49" i="26"/>
  <c r="D48" i="26"/>
  <c r="D52" i="26"/>
  <c r="D47" i="26"/>
  <c r="I5" i="26"/>
  <c r="D46" i="26"/>
  <c r="D50" i="26"/>
  <c r="D45" i="26"/>
  <c r="G5" i="26"/>
  <c r="D44" i="26"/>
  <c r="N12" i="26"/>
  <c r="K10" i="16" l="1"/>
  <c r="I10" i="16"/>
  <c r="G10" i="16"/>
  <c r="E10" i="16"/>
  <c r="C10" i="16"/>
  <c r="H10" i="16" s="1"/>
  <c r="B10" i="16"/>
  <c r="D10" i="16"/>
  <c r="F10" i="16"/>
  <c r="J10" i="16"/>
  <c r="M37" i="25"/>
  <c r="N37" i="25" s="1"/>
  <c r="L37" i="25"/>
  <c r="K37" i="25"/>
  <c r="H37" i="25"/>
  <c r="M36" i="25"/>
  <c r="N36" i="25" s="1"/>
  <c r="L36" i="25"/>
  <c r="K36" i="25"/>
  <c r="H36" i="25"/>
  <c r="N35" i="25"/>
  <c r="M35" i="25"/>
  <c r="L35" i="25"/>
  <c r="K35" i="25"/>
  <c r="H35" i="25"/>
  <c r="M34" i="25"/>
  <c r="N34" i="25" s="1"/>
  <c r="L34" i="25"/>
  <c r="K34" i="25"/>
  <c r="H34" i="25"/>
  <c r="M33" i="25"/>
  <c r="N33" i="25" s="1"/>
  <c r="L33" i="25"/>
  <c r="K33" i="25"/>
  <c r="H33" i="25"/>
  <c r="M32" i="25"/>
  <c r="N32" i="25" s="1"/>
  <c r="L32" i="25"/>
  <c r="K32" i="25"/>
  <c r="H32" i="25"/>
  <c r="N31" i="25"/>
  <c r="M31" i="25"/>
  <c r="L31" i="25"/>
  <c r="K31" i="25"/>
  <c r="H31" i="25"/>
  <c r="M30" i="25"/>
  <c r="N30" i="25" s="1"/>
  <c r="L30" i="25"/>
  <c r="K30" i="25"/>
  <c r="H30" i="25"/>
  <c r="M29" i="25"/>
  <c r="N29" i="25" s="1"/>
  <c r="L29" i="25"/>
  <c r="K29" i="25"/>
  <c r="H29" i="25"/>
  <c r="M28" i="25"/>
  <c r="N28" i="25" s="1"/>
  <c r="L28" i="25"/>
  <c r="K28" i="25"/>
  <c r="H28" i="25"/>
  <c r="L21" i="25"/>
  <c r="N21" i="25" s="1"/>
  <c r="K21" i="25"/>
  <c r="H21" i="25"/>
  <c r="L20" i="25"/>
  <c r="M20" i="25" s="1"/>
  <c r="K20" i="25"/>
  <c r="H20" i="25"/>
  <c r="L19" i="25"/>
  <c r="M19" i="25" s="1"/>
  <c r="K19" i="25"/>
  <c r="H19" i="25"/>
  <c r="L18" i="25"/>
  <c r="M18" i="25" s="1"/>
  <c r="K18" i="25"/>
  <c r="H18" i="25"/>
  <c r="N17" i="25"/>
  <c r="L17" i="25"/>
  <c r="M17" i="25" s="1"/>
  <c r="K17" i="25"/>
  <c r="H17" i="25"/>
  <c r="L16" i="25"/>
  <c r="N16" i="25" s="1"/>
  <c r="K16" i="25"/>
  <c r="H16" i="25"/>
  <c r="L15" i="25"/>
  <c r="N15" i="25" s="1"/>
  <c r="K15" i="25"/>
  <c r="H15" i="25"/>
  <c r="L14" i="25"/>
  <c r="N14" i="25" s="1"/>
  <c r="K14" i="25"/>
  <c r="H14" i="25"/>
  <c r="N13" i="25"/>
  <c r="L13" i="25"/>
  <c r="M13" i="25" s="1"/>
  <c r="K13" i="25"/>
  <c r="H13" i="25"/>
  <c r="L12" i="25"/>
  <c r="N12" i="25" s="1"/>
  <c r="K12" i="25"/>
  <c r="H12" i="25"/>
  <c r="D53" i="25"/>
  <c r="J5" i="25"/>
  <c r="K5" i="25" s="1"/>
  <c r="H5" i="25"/>
  <c r="I5" i="25" s="1"/>
  <c r="G5" i="25"/>
  <c r="E5" i="25"/>
  <c r="L10" i="16" l="1"/>
  <c r="M5" i="25"/>
  <c r="D45" i="25"/>
  <c r="M16" i="25"/>
  <c r="N20" i="25"/>
  <c r="D51" i="25"/>
  <c r="M14" i="25"/>
  <c r="N18" i="25"/>
  <c r="M15" i="25"/>
  <c r="N19" i="25"/>
  <c r="D44" i="25"/>
  <c r="D46" i="25"/>
  <c r="M12" i="25"/>
  <c r="D48" i="25"/>
  <c r="D49" i="25"/>
  <c r="D50" i="25"/>
  <c r="M21" i="25"/>
  <c r="D52" i="25"/>
  <c r="D47" i="25"/>
  <c r="K9" i="16" l="1"/>
  <c r="I9" i="16"/>
  <c r="G9" i="16"/>
  <c r="E9" i="16"/>
  <c r="C9" i="16"/>
  <c r="D9" i="16" s="1"/>
  <c r="B9" i="16"/>
  <c r="F9" i="16"/>
  <c r="D53" i="23"/>
  <c r="D52" i="23"/>
  <c r="D51" i="23"/>
  <c r="D50" i="23"/>
  <c r="D49" i="23"/>
  <c r="D48" i="23"/>
  <c r="D47" i="23"/>
  <c r="D46" i="23"/>
  <c r="D45" i="23"/>
  <c r="D44" i="23"/>
  <c r="N37" i="23"/>
  <c r="M37" i="23"/>
  <c r="L37" i="23"/>
  <c r="K37" i="23"/>
  <c r="H37" i="23"/>
  <c r="N36" i="23"/>
  <c r="M36" i="23"/>
  <c r="L36" i="23"/>
  <c r="K36" i="23"/>
  <c r="H36" i="23"/>
  <c r="N35" i="23"/>
  <c r="M35" i="23"/>
  <c r="L35" i="23"/>
  <c r="K35" i="23"/>
  <c r="H35" i="23"/>
  <c r="N34" i="23"/>
  <c r="M34" i="23"/>
  <c r="L34" i="23"/>
  <c r="K34" i="23"/>
  <c r="H34" i="23"/>
  <c r="N33" i="23"/>
  <c r="M33" i="23"/>
  <c r="L33" i="23"/>
  <c r="K33" i="23"/>
  <c r="H33" i="23"/>
  <c r="N32" i="23"/>
  <c r="M32" i="23"/>
  <c r="L32" i="23"/>
  <c r="K32" i="23"/>
  <c r="H32" i="23"/>
  <c r="N31" i="23"/>
  <c r="M31" i="23"/>
  <c r="L31" i="23"/>
  <c r="K31" i="23"/>
  <c r="H31" i="23"/>
  <c r="N30" i="23"/>
  <c r="M30" i="23"/>
  <c r="L30" i="23"/>
  <c r="K30" i="23"/>
  <c r="H30" i="23"/>
  <c r="N29" i="23"/>
  <c r="M29" i="23"/>
  <c r="L29" i="23"/>
  <c r="K29" i="23"/>
  <c r="H29" i="23"/>
  <c r="N28" i="23"/>
  <c r="M28" i="23"/>
  <c r="L28" i="23"/>
  <c r="K28" i="23"/>
  <c r="H28" i="23"/>
  <c r="N21" i="23"/>
  <c r="M21" i="23"/>
  <c r="L21" i="23"/>
  <c r="K21" i="23"/>
  <c r="H21" i="23"/>
  <c r="N20" i="23"/>
  <c r="M20" i="23"/>
  <c r="L20" i="23"/>
  <c r="K20" i="23"/>
  <c r="H20" i="23"/>
  <c r="N19" i="23"/>
  <c r="M19" i="23"/>
  <c r="L19" i="23"/>
  <c r="K19" i="23"/>
  <c r="H19" i="23"/>
  <c r="N18" i="23"/>
  <c r="M18" i="23"/>
  <c r="L18" i="23"/>
  <c r="K18" i="23"/>
  <c r="H18" i="23"/>
  <c r="N17" i="23"/>
  <c r="M17" i="23"/>
  <c r="L17" i="23"/>
  <c r="K17" i="23"/>
  <c r="H17" i="23"/>
  <c r="N16" i="23"/>
  <c r="M16" i="23"/>
  <c r="L16" i="23"/>
  <c r="K16" i="23"/>
  <c r="H16" i="23"/>
  <c r="N15" i="23"/>
  <c r="M15" i="23"/>
  <c r="L15" i="23"/>
  <c r="K15" i="23"/>
  <c r="H15" i="23"/>
  <c r="N14" i="23"/>
  <c r="M14" i="23"/>
  <c r="L14" i="23"/>
  <c r="K14" i="23"/>
  <c r="H14" i="23"/>
  <c r="N13" i="23"/>
  <c r="M13" i="23"/>
  <c r="L13" i="23"/>
  <c r="K13" i="23"/>
  <c r="H13" i="23"/>
  <c r="N12" i="23"/>
  <c r="M12" i="23"/>
  <c r="L12" i="23"/>
  <c r="K12" i="23"/>
  <c r="H12" i="23"/>
  <c r="M5" i="23"/>
  <c r="K5" i="23"/>
  <c r="J5" i="23"/>
  <c r="I5" i="23"/>
  <c r="H5" i="23"/>
  <c r="G5" i="23"/>
  <c r="E5" i="23"/>
  <c r="J9" i="16" l="1"/>
  <c r="H9" i="16"/>
  <c r="L9" i="16"/>
  <c r="K8" i="16"/>
  <c r="I8" i="16"/>
  <c r="G8" i="16"/>
  <c r="E8" i="16"/>
  <c r="C8" i="16"/>
  <c r="B8" i="16"/>
  <c r="D8" i="16"/>
  <c r="F8" i="16"/>
  <c r="H8" i="16"/>
  <c r="J8" i="16"/>
  <c r="N37" i="22"/>
  <c r="M37" i="22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N34" i="22"/>
  <c r="M34" i="22"/>
  <c r="L34" i="22"/>
  <c r="K34" i="22"/>
  <c r="H34" i="22"/>
  <c r="M33" i="22"/>
  <c r="N33" i="22" s="1"/>
  <c r="L33" i="22"/>
  <c r="K33" i="22"/>
  <c r="H33" i="22"/>
  <c r="N32" i="22"/>
  <c r="M32" i="22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N21" i="22"/>
  <c r="M21" i="22"/>
  <c r="L21" i="22"/>
  <c r="K21" i="22"/>
  <c r="H21" i="22"/>
  <c r="L20" i="22"/>
  <c r="N20" i="22" s="1"/>
  <c r="K20" i="22"/>
  <c r="H20" i="22"/>
  <c r="N19" i="22"/>
  <c r="M19" i="22"/>
  <c r="L19" i="22"/>
  <c r="K19" i="22"/>
  <c r="H19" i="22"/>
  <c r="L18" i="22"/>
  <c r="N18" i="22" s="1"/>
  <c r="K18" i="22"/>
  <c r="H18" i="22"/>
  <c r="L17" i="22"/>
  <c r="M17" i="22" s="1"/>
  <c r="K17" i="22"/>
  <c r="H17" i="22"/>
  <c r="N16" i="22"/>
  <c r="L16" i="22"/>
  <c r="M16" i="22" s="1"/>
  <c r="K16" i="22"/>
  <c r="H16" i="22"/>
  <c r="L15" i="22"/>
  <c r="M15" i="22" s="1"/>
  <c r="K15" i="22"/>
  <c r="H15" i="22"/>
  <c r="L14" i="22"/>
  <c r="M14" i="22" s="1"/>
  <c r="K14" i="22"/>
  <c r="H14" i="22"/>
  <c r="L13" i="22"/>
  <c r="N13" i="22" s="1"/>
  <c r="K13" i="22"/>
  <c r="H13" i="22"/>
  <c r="M12" i="22"/>
  <c r="L12" i="22"/>
  <c r="N12" i="22" s="1"/>
  <c r="K12" i="22"/>
  <c r="H12" i="22"/>
  <c r="D53" i="22"/>
  <c r="J5" i="22"/>
  <c r="K5" i="22" s="1"/>
  <c r="H5" i="22"/>
  <c r="I5" i="22" s="1"/>
  <c r="G5" i="22"/>
  <c r="E5" i="22"/>
  <c r="L8" i="16" l="1"/>
  <c r="N14" i="22"/>
  <c r="D44" i="22"/>
  <c r="D46" i="22"/>
  <c r="N17" i="22"/>
  <c r="N15" i="22"/>
  <c r="M20" i="22"/>
  <c r="D47" i="22"/>
  <c r="M13" i="22"/>
  <c r="D48" i="22"/>
  <c r="M18" i="22"/>
  <c r="D49" i="22"/>
  <c r="D50" i="22"/>
  <c r="D45" i="22"/>
  <c r="M5" i="22"/>
  <c r="D51" i="22"/>
  <c r="D52" i="22"/>
  <c r="K7" i="16"/>
  <c r="I7" i="16"/>
  <c r="G7" i="16"/>
  <c r="E7" i="16"/>
  <c r="C7" i="16"/>
  <c r="B7" i="16"/>
  <c r="D7" i="16" s="1"/>
  <c r="H7" i="16"/>
  <c r="J7" i="16"/>
  <c r="L7" i="16"/>
  <c r="F7" i="16" l="1"/>
  <c r="D53" i="21"/>
  <c r="D52" i="21"/>
  <c r="D51" i="21"/>
  <c r="D50" i="21"/>
  <c r="D49" i="21"/>
  <c r="D48" i="21"/>
  <c r="D47" i="21"/>
  <c r="D46" i="21"/>
  <c r="D45" i="21"/>
  <c r="D44" i="21"/>
  <c r="N37" i="21"/>
  <c r="M37" i="21"/>
  <c r="L37" i="21"/>
  <c r="K37" i="21"/>
  <c r="H37" i="21"/>
  <c r="N36" i="21"/>
  <c r="M36" i="21"/>
  <c r="L36" i="21"/>
  <c r="K36" i="21"/>
  <c r="H36" i="21"/>
  <c r="N35" i="21"/>
  <c r="M35" i="21"/>
  <c r="L35" i="21"/>
  <c r="K35" i="21"/>
  <c r="H35" i="21"/>
  <c r="N34" i="21"/>
  <c r="M34" i="21"/>
  <c r="L34" i="21"/>
  <c r="K34" i="21"/>
  <c r="H34" i="21"/>
  <c r="N33" i="21"/>
  <c r="M33" i="21"/>
  <c r="L33" i="21"/>
  <c r="K33" i="21"/>
  <c r="H33" i="21"/>
  <c r="N32" i="21"/>
  <c r="M32" i="21"/>
  <c r="L32" i="21"/>
  <c r="K32" i="21"/>
  <c r="H32" i="21"/>
  <c r="N31" i="21"/>
  <c r="M31" i="21"/>
  <c r="L31" i="21"/>
  <c r="K31" i="21"/>
  <c r="H31" i="21"/>
  <c r="N30" i="21"/>
  <c r="M30" i="21"/>
  <c r="L30" i="21"/>
  <c r="K30" i="21"/>
  <c r="H30" i="21"/>
  <c r="N29" i="21"/>
  <c r="M29" i="21"/>
  <c r="L29" i="21"/>
  <c r="K29" i="21"/>
  <c r="H29" i="21"/>
  <c r="N28" i="21"/>
  <c r="M28" i="21"/>
  <c r="L28" i="21"/>
  <c r="K28" i="21"/>
  <c r="H28" i="21"/>
  <c r="N21" i="21"/>
  <c r="M21" i="21"/>
  <c r="L21" i="21"/>
  <c r="K21" i="21"/>
  <c r="H21" i="21"/>
  <c r="N20" i="21"/>
  <c r="M20" i="21"/>
  <c r="L20" i="21"/>
  <c r="K20" i="21"/>
  <c r="H20" i="21"/>
  <c r="N19" i="21"/>
  <c r="M19" i="21"/>
  <c r="L19" i="21"/>
  <c r="K19" i="21"/>
  <c r="H19" i="21"/>
  <c r="N18" i="21"/>
  <c r="M18" i="21"/>
  <c r="L18" i="21"/>
  <c r="K18" i="21"/>
  <c r="H18" i="21"/>
  <c r="N17" i="21"/>
  <c r="M17" i="21"/>
  <c r="L17" i="21"/>
  <c r="K17" i="21"/>
  <c r="H17" i="21"/>
  <c r="N16" i="21"/>
  <c r="M16" i="21"/>
  <c r="L16" i="21"/>
  <c r="K16" i="21"/>
  <c r="H16" i="21"/>
  <c r="N15" i="21"/>
  <c r="M15" i="21"/>
  <c r="L15" i="21"/>
  <c r="K15" i="21"/>
  <c r="H15" i="21"/>
  <c r="N14" i="21"/>
  <c r="M14" i="21"/>
  <c r="L14" i="21"/>
  <c r="K14" i="21"/>
  <c r="H14" i="21"/>
  <c r="N13" i="21"/>
  <c r="M13" i="21"/>
  <c r="L13" i="21"/>
  <c r="K13" i="21"/>
  <c r="H13" i="21"/>
  <c r="N12" i="21"/>
  <c r="M12" i="21"/>
  <c r="L12" i="21"/>
  <c r="K12" i="21"/>
  <c r="H12" i="21"/>
  <c r="M5" i="21"/>
  <c r="K5" i="21"/>
  <c r="J5" i="21"/>
  <c r="I5" i="21"/>
  <c r="H5" i="21"/>
  <c r="G5" i="21"/>
  <c r="E5" i="21"/>
  <c r="K6" i="16" l="1"/>
  <c r="I6" i="16"/>
  <c r="G6" i="16"/>
  <c r="E6" i="16"/>
  <c r="C6" i="16"/>
  <c r="B6" i="16"/>
  <c r="F6" i="16"/>
  <c r="D6" i="16"/>
  <c r="J6" i="16"/>
  <c r="L6" i="16" l="1"/>
  <c r="H6" i="16"/>
  <c r="D53" i="20"/>
  <c r="D52" i="20"/>
  <c r="D51" i="20"/>
  <c r="D50" i="20"/>
  <c r="D49" i="20"/>
  <c r="D48" i="20"/>
  <c r="D47" i="20"/>
  <c r="D46" i="20"/>
  <c r="D45" i="20"/>
  <c r="D44" i="20"/>
  <c r="N37" i="20"/>
  <c r="M37" i="20"/>
  <c r="L37" i="20"/>
  <c r="K37" i="20"/>
  <c r="H37" i="20"/>
  <c r="N36" i="20"/>
  <c r="M36" i="20"/>
  <c r="L36" i="20"/>
  <c r="K36" i="20"/>
  <c r="H36" i="20"/>
  <c r="N35" i="20"/>
  <c r="M35" i="20"/>
  <c r="L35" i="20"/>
  <c r="K35" i="20"/>
  <c r="H35" i="20"/>
  <c r="N34" i="20"/>
  <c r="M34" i="20"/>
  <c r="L34" i="20"/>
  <c r="K34" i="20"/>
  <c r="H34" i="20"/>
  <c r="N33" i="20"/>
  <c r="M33" i="20"/>
  <c r="L33" i="20"/>
  <c r="K33" i="20"/>
  <c r="H33" i="20"/>
  <c r="N32" i="20"/>
  <c r="M32" i="20"/>
  <c r="L32" i="20"/>
  <c r="K32" i="20"/>
  <c r="H32" i="20"/>
  <c r="N31" i="20"/>
  <c r="M31" i="20"/>
  <c r="L31" i="20"/>
  <c r="K31" i="20"/>
  <c r="H31" i="20"/>
  <c r="N30" i="20"/>
  <c r="M30" i="20"/>
  <c r="L30" i="20"/>
  <c r="K30" i="20"/>
  <c r="H30" i="20"/>
  <c r="N29" i="20"/>
  <c r="M29" i="20"/>
  <c r="L29" i="20"/>
  <c r="K29" i="20"/>
  <c r="H29" i="20"/>
  <c r="N28" i="20"/>
  <c r="M28" i="20"/>
  <c r="L28" i="20"/>
  <c r="K28" i="20"/>
  <c r="H28" i="20"/>
  <c r="N21" i="20"/>
  <c r="M21" i="20"/>
  <c r="L21" i="20"/>
  <c r="K21" i="20"/>
  <c r="H21" i="20"/>
  <c r="N20" i="20"/>
  <c r="M20" i="20"/>
  <c r="L20" i="20"/>
  <c r="K20" i="20"/>
  <c r="H20" i="20"/>
  <c r="N19" i="20"/>
  <c r="M19" i="20"/>
  <c r="L19" i="20"/>
  <c r="K19" i="20"/>
  <c r="H19" i="20"/>
  <c r="N18" i="20"/>
  <c r="M18" i="20"/>
  <c r="L18" i="20"/>
  <c r="K18" i="20"/>
  <c r="H18" i="20"/>
  <c r="N17" i="20"/>
  <c r="M17" i="20"/>
  <c r="L17" i="20"/>
  <c r="K17" i="20"/>
  <c r="H17" i="20"/>
  <c r="N16" i="20"/>
  <c r="M16" i="20"/>
  <c r="L16" i="20"/>
  <c r="K16" i="20"/>
  <c r="H16" i="20"/>
  <c r="N15" i="20"/>
  <c r="M15" i="20"/>
  <c r="L15" i="20"/>
  <c r="K15" i="20"/>
  <c r="H15" i="20"/>
  <c r="N14" i="20"/>
  <c r="M14" i="20"/>
  <c r="L14" i="20"/>
  <c r="K14" i="20"/>
  <c r="H14" i="20"/>
  <c r="N13" i="20"/>
  <c r="M13" i="20"/>
  <c r="L13" i="20"/>
  <c r="K13" i="20"/>
  <c r="H13" i="20"/>
  <c r="N12" i="20"/>
  <c r="M12" i="20"/>
  <c r="L12" i="20"/>
  <c r="K12" i="20"/>
  <c r="H12" i="20"/>
  <c r="M5" i="20"/>
  <c r="K5" i="20"/>
  <c r="J5" i="20"/>
  <c r="I5" i="20"/>
  <c r="H5" i="20"/>
  <c r="G5" i="20"/>
  <c r="E5" i="20"/>
  <c r="K5" i="16" l="1"/>
  <c r="L5" i="16" s="1"/>
  <c r="I5" i="16"/>
  <c r="J5" i="16" s="1"/>
  <c r="G5" i="16"/>
  <c r="H5" i="16" s="1"/>
  <c r="E5" i="16"/>
  <c r="C5" i="16"/>
  <c r="B5" i="16"/>
  <c r="D5" i="16"/>
  <c r="F5" i="16"/>
  <c r="G5" i="19"/>
  <c r="M37" i="19"/>
  <c r="N37" i="19" s="1"/>
  <c r="L37" i="19"/>
  <c r="K37" i="19"/>
  <c r="H37" i="19"/>
  <c r="M36" i="19"/>
  <c r="N36" i="19" s="1"/>
  <c r="L36" i="19"/>
  <c r="K36" i="19"/>
  <c r="H36" i="19"/>
  <c r="M35" i="19"/>
  <c r="N35" i="19" s="1"/>
  <c r="L35" i="19"/>
  <c r="K35" i="19"/>
  <c r="H35" i="19"/>
  <c r="M34" i="19"/>
  <c r="N34" i="19" s="1"/>
  <c r="L34" i="19"/>
  <c r="K34" i="19"/>
  <c r="H34" i="19"/>
  <c r="M33" i="19"/>
  <c r="N33" i="19" s="1"/>
  <c r="L33" i="19"/>
  <c r="K33" i="19"/>
  <c r="H33" i="19"/>
  <c r="M32" i="19"/>
  <c r="N32" i="19" s="1"/>
  <c r="L32" i="19"/>
  <c r="K32" i="19"/>
  <c r="H32" i="19"/>
  <c r="M31" i="19"/>
  <c r="N31" i="19" s="1"/>
  <c r="L31" i="19"/>
  <c r="K31" i="19"/>
  <c r="H31" i="19"/>
  <c r="M30" i="19"/>
  <c r="N30" i="19" s="1"/>
  <c r="L30" i="19"/>
  <c r="K30" i="19"/>
  <c r="H30" i="19"/>
  <c r="M29" i="19"/>
  <c r="N29" i="19" s="1"/>
  <c r="L29" i="19"/>
  <c r="K29" i="19"/>
  <c r="H29" i="19"/>
  <c r="M28" i="19"/>
  <c r="N28" i="19" s="1"/>
  <c r="L28" i="19"/>
  <c r="K28" i="19"/>
  <c r="H28" i="19"/>
  <c r="M21" i="19"/>
  <c r="L21" i="19"/>
  <c r="N21" i="19" s="1"/>
  <c r="K21" i="19"/>
  <c r="H21" i="19"/>
  <c r="L20" i="19"/>
  <c r="N20" i="19" s="1"/>
  <c r="K20" i="19"/>
  <c r="H20" i="19"/>
  <c r="L19" i="19"/>
  <c r="M19" i="19" s="1"/>
  <c r="K19" i="19"/>
  <c r="H19" i="19"/>
  <c r="L18" i="19"/>
  <c r="M18" i="19" s="1"/>
  <c r="K18" i="19"/>
  <c r="H18" i="19"/>
  <c r="M17" i="19"/>
  <c r="L17" i="19"/>
  <c r="N17" i="19" s="1"/>
  <c r="K17" i="19"/>
  <c r="H17" i="19"/>
  <c r="L16" i="19"/>
  <c r="M16" i="19" s="1"/>
  <c r="K16" i="19"/>
  <c r="H16" i="19"/>
  <c r="L15" i="19"/>
  <c r="N15" i="19" s="1"/>
  <c r="K15" i="19"/>
  <c r="H15" i="19"/>
  <c r="L14" i="19"/>
  <c r="N14" i="19" s="1"/>
  <c r="K14" i="19"/>
  <c r="H14" i="19"/>
  <c r="M13" i="19"/>
  <c r="L13" i="19"/>
  <c r="N13" i="19" s="1"/>
  <c r="K13" i="19"/>
  <c r="H13" i="19"/>
  <c r="L12" i="19"/>
  <c r="N12" i="19" s="1"/>
  <c r="K12" i="19"/>
  <c r="H12" i="19"/>
  <c r="D53" i="19"/>
  <c r="J5" i="19"/>
  <c r="H5" i="19"/>
  <c r="I5" i="19" s="1"/>
  <c r="E5" i="19"/>
  <c r="K5" i="19" l="1"/>
  <c r="M14" i="19"/>
  <c r="N18" i="19"/>
  <c r="M15" i="19"/>
  <c r="N19" i="19"/>
  <c r="D44" i="19"/>
  <c r="D45" i="19"/>
  <c r="M12" i="19"/>
  <c r="D47" i="19"/>
  <c r="N16" i="19"/>
  <c r="D48" i="19"/>
  <c r="D49" i="19"/>
  <c r="D50" i="19"/>
  <c r="D46" i="19"/>
  <c r="M20" i="19"/>
  <c r="D51" i="19"/>
  <c r="M5" i="19"/>
  <c r="D52" i="19"/>
  <c r="K4" i="16"/>
  <c r="I4" i="16"/>
  <c r="G4" i="16"/>
  <c r="E4" i="16"/>
  <c r="C4" i="16"/>
  <c r="B4" i="16"/>
  <c r="M37" i="18"/>
  <c r="N37" i="18" s="1"/>
  <c r="L37" i="18"/>
  <c r="K37" i="18"/>
  <c r="H37" i="18"/>
  <c r="M36" i="18"/>
  <c r="N36" i="18" s="1"/>
  <c r="L36" i="18"/>
  <c r="K36" i="18"/>
  <c r="H36" i="18"/>
  <c r="N35" i="18"/>
  <c r="M35" i="18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N32" i="18"/>
  <c r="M32" i="18"/>
  <c r="L32" i="18"/>
  <c r="K32" i="18"/>
  <c r="H32" i="18"/>
  <c r="N31" i="18"/>
  <c r="M31" i="18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N21" i="18"/>
  <c r="L21" i="18"/>
  <c r="M21" i="18" s="1"/>
  <c r="K21" i="18"/>
  <c r="H21" i="18"/>
  <c r="L20" i="18"/>
  <c r="N20" i="18" s="1"/>
  <c r="K20" i="18"/>
  <c r="H20" i="18"/>
  <c r="L19" i="18"/>
  <c r="N19" i="18" s="1"/>
  <c r="K19" i="18"/>
  <c r="H19" i="18"/>
  <c r="L18" i="18"/>
  <c r="N18" i="18" s="1"/>
  <c r="K18" i="18"/>
  <c r="H18" i="18"/>
  <c r="N17" i="18"/>
  <c r="L17" i="18"/>
  <c r="M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N14" i="18" s="1"/>
  <c r="K14" i="18"/>
  <c r="H14" i="18"/>
  <c r="N13" i="18"/>
  <c r="L13" i="18"/>
  <c r="M13" i="18" s="1"/>
  <c r="K13" i="18"/>
  <c r="H13" i="18"/>
  <c r="L12" i="18"/>
  <c r="N12" i="18" s="1"/>
  <c r="K12" i="18"/>
  <c r="H12" i="18"/>
  <c r="D52" i="18"/>
  <c r="J5" i="18"/>
  <c r="K5" i="18" s="1"/>
  <c r="H5" i="18"/>
  <c r="I5" i="18" s="1"/>
  <c r="G5" i="18"/>
  <c r="E5" i="18"/>
  <c r="D53" i="18" l="1"/>
  <c r="M14" i="18"/>
  <c r="M18" i="18"/>
  <c r="M15" i="18"/>
  <c r="D44" i="18"/>
  <c r="D50" i="18"/>
  <c r="M19" i="18"/>
  <c r="M5" i="18"/>
  <c r="D45" i="18"/>
  <c r="D46" i="18"/>
  <c r="M12" i="18"/>
  <c r="M16" i="18"/>
  <c r="M20" i="18"/>
  <c r="D47" i="18"/>
  <c r="D48" i="18"/>
  <c r="D49" i="18"/>
  <c r="D51" i="18"/>
  <c r="J4" i="16" l="1"/>
  <c r="H4" i="16"/>
  <c r="D4" i="16" l="1"/>
  <c r="F4" i="16"/>
  <c r="L4" i="16"/>
  <c r="A5" i="16" l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5" i="16" s="1"/>
  <c r="A26" i="16" s="1"/>
  <c r="A27" i="16" s="1"/>
  <c r="A28" i="16" s="1"/>
  <c r="A29" i="16" s="1"/>
  <c r="A30" i="16" s="1"/>
  <c r="A31" i="16" s="1"/>
  <c r="A32" i="16" l="1"/>
  <c r="A33" i="16" s="1"/>
</calcChain>
</file>

<file path=xl/sharedStrings.xml><?xml version="1.0" encoding="utf-8"?>
<sst xmlns="http://schemas.openxmlformats.org/spreadsheetml/2006/main" count="5942" uniqueCount="1159">
  <si>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223" type="noConversion"/>
  </si>
  <si>
    <t>半成品品項數</t>
    <phoneticPr fontId="223" type="noConversion"/>
  </si>
  <si>
    <t>日期</t>
    <phoneticPr fontId="224" type="noConversion"/>
  </si>
  <si>
    <t>營業額</t>
    <phoneticPr fontId="223" type="noConversion"/>
  </si>
  <si>
    <t>報廢額</t>
    <phoneticPr fontId="22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</si>
  <si>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223" type="noConversion"/>
  </si>
  <si>
    <t>超用額</t>
    <phoneticPr fontId="224" type="noConversion"/>
  </si>
  <si>
    <t>超用率</t>
    <phoneticPr fontId="223" type="noConversion"/>
  </si>
  <si>
    <t>廢棄前10名</t>
    <phoneticPr fontId="223" type="noConversion"/>
  </si>
  <si>
    <t>共用類廢棄</t>
    <phoneticPr fontId="223" type="noConversion"/>
  </si>
  <si>
    <t>金額總計</t>
    <phoneticPr fontId="223" type="noConversion"/>
  </si>
  <si>
    <t>構成比</t>
    <phoneticPr fontId="223" type="noConversion"/>
  </si>
  <si>
    <t>金額總計</t>
    <phoneticPr fontId="22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</si>
  <si>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224" type="noConversion"/>
  </si>
  <si>
    <t>※淺黃色為工廠自填項目</t>
    <phoneticPr fontId="224" type="noConversion"/>
  </si>
  <si>
    <t>※日期紅色為新品日</t>
    <phoneticPr fontId="224" type="noConversion"/>
  </si>
  <si>
    <t>超用前10名</t>
    <phoneticPr fontId="223" type="noConversion"/>
  </si>
  <si>
    <t>開發設定</t>
    <phoneticPr fontId="223" type="noConversion"/>
  </si>
  <si>
    <t>調理端</t>
    <phoneticPr fontId="223" type="noConversion"/>
  </si>
  <si>
    <t>原物料</t>
    <phoneticPr fontId="223" type="noConversion"/>
  </si>
  <si>
    <t>組合室</t>
    <phoneticPr fontId="223" type="noConversion"/>
  </si>
  <si>
    <t>新豐廠半成品管理日別總表</t>
    <phoneticPr fontId="223" type="noConversion"/>
  </si>
  <si>
    <t>調理多產</t>
  </si>
  <si>
    <t>展開量105%</t>
  </si>
  <si>
    <t>製程不穩</t>
  </si>
  <si>
    <t>抓樣不穩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</si>
  <si>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</si>
  <si>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</si>
  <si>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</si>
  <si>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</si>
  <si>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</si>
  <si>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</si>
  <si>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</si>
  <si>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</si>
  <si>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</si>
  <si>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</si>
  <si>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</si>
  <si>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</si>
  <si>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</si>
  <si>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</si>
  <si>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</si>
  <si>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</si>
  <si>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</si>
  <si>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</si>
  <si>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</si>
  <si>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明細展開</t>
    <phoneticPr fontId="223" type="noConversion"/>
  </si>
  <si>
    <t>生產資訊</t>
    <phoneticPr fontId="223" type="noConversion"/>
  </si>
  <si>
    <t>分析原因
(請填寫8大原因)</t>
    <phoneticPr fontId="223" type="noConversion"/>
  </si>
  <si>
    <t>備註-商品名稱</t>
    <phoneticPr fontId="240" type="noConversion"/>
  </si>
  <si>
    <t>生產端</t>
    <phoneticPr fontId="223" type="noConversion"/>
  </si>
  <si>
    <t>產出量</t>
    <phoneticPr fontId="223" type="noConversion"/>
  </si>
  <si>
    <t>報廢</t>
    <phoneticPr fontId="223" type="noConversion"/>
  </si>
  <si>
    <t>訂單需求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</si>
  <si>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</si>
  <si>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</si>
  <si>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</si>
  <si>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kg</t>
    <phoneticPr fontId="223" type="noConversion"/>
  </si>
  <si>
    <t>占比</t>
    <phoneticPr fontId="223" type="noConversion"/>
  </si>
  <si>
    <t>義美業務用馬芬堡</t>
  </si>
  <si>
    <t>共用類</t>
  </si>
  <si>
    <t>電解消毒雙色高麗菜絲(7:3)</t>
  </si>
  <si>
    <t>墨西哥餅皮-原味(8英吋)新</t>
  </si>
  <si>
    <t>溏心洋芋沙拉(113.06)</t>
  </si>
  <si>
    <t>溏心蛋洋芋沙拉</t>
  </si>
  <si>
    <t>墨西哥餅皮-蕃茄(8英吋)新</t>
  </si>
  <si>
    <t>(V)電解消毒小黃瓜絲</t>
  </si>
  <si>
    <t>五吋芝麻漢堡</t>
  </si>
  <si>
    <t>美式起司巨牛堡</t>
  </si>
  <si>
    <t>電解消毒切段美生菜2-3cm</t>
  </si>
  <si>
    <t>墨西哥餅皮-菠菜(8英吋)新</t>
  </si>
  <si>
    <t>川燙醃嫩化淨零碳排牛肉片</t>
  </si>
  <si>
    <t>二配港式香滑嫩蛋牛肉燴飯</t>
  </si>
  <si>
    <t>類別</t>
    <phoneticPr fontId="223" type="noConversion"/>
  </si>
  <si>
    <t>差異
(元)</t>
    <phoneticPr fontId="223" type="noConversion"/>
  </si>
  <si>
    <t>鼎泰豐-煮麻婆豆腐(113年)</t>
  </si>
  <si>
    <t>二配川味麻婆燒豆腐燴飯</t>
  </si>
  <si>
    <t>鼎泰豐-黃金蛋炒飯(112年)</t>
  </si>
  <si>
    <t>二配香辣醬蒜味香腸蛋炒飯</t>
  </si>
  <si>
    <t>蟹粉燴汁(114年)</t>
  </si>
  <si>
    <t>二配美味蟹煲</t>
  </si>
  <si>
    <t>電解消毒十字切美生菜</t>
  </si>
  <si>
    <t>果香甘口咖哩醬</t>
  </si>
  <si>
    <t>二配金咖哩果香甘口咖哩飯</t>
  </si>
  <si>
    <t>海鮮醬炒飯</t>
  </si>
  <si>
    <t>二配香拌海鮮醬肉絲蛋炒飯</t>
  </si>
  <si>
    <t>濃辛辣咖哩醬</t>
  </si>
  <si>
    <t>二配金咖哩濃厚辛辣咖哩飯</t>
  </si>
  <si>
    <t>鮪魚沙拉(113.05)</t>
  </si>
  <si>
    <t>鮪魚起司溏心蛋三明治</t>
  </si>
  <si>
    <t>共用類報廢金額前十名半成品</t>
    <phoneticPr fontId="223" type="noConversion"/>
  </si>
  <si>
    <t>電解消毒混合紅K高麗絲</t>
  </si>
  <si>
    <t>切新重煙燻火腿0.9mm</t>
  </si>
  <si>
    <t>電解消毒美生菜(三明治用)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</si>
  <si>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</si>
  <si>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</si>
  <si>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</si>
  <si>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其他原因說明</t>
    <phoneticPr fontId="223" type="noConversion"/>
  </si>
  <si>
    <t>排序</t>
    <phoneticPr fontId="240" type="noConversion"/>
  </si>
  <si>
    <t>半成品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</si>
  <si>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</si>
  <si>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</si>
  <si>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</si>
  <si>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</si>
  <si>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</si>
  <si>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</si>
  <si>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單價
(元)</t>
    <phoneticPr fontId="224" type="noConversion"/>
  </si>
  <si>
    <t>差異
(元)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</si>
  <si>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</si>
  <si>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</si>
  <si>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</si>
  <si>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超用金額前十名半成品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</si>
  <si>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</si>
  <si>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</si>
  <si>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</si>
  <si>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</si>
  <si>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</si>
  <si>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</si>
  <si>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</si>
  <si>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</si>
  <si>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</si>
  <si>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</si>
  <si>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產出量</t>
    <phoneticPr fontId="223" type="noConversion"/>
  </si>
  <si>
    <t>報廢</t>
    <phoneticPr fontId="223" type="noConversion"/>
  </si>
  <si>
    <t>實際產出
(kg)</t>
    <phoneticPr fontId="223" type="noConversion"/>
  </si>
  <si>
    <t>補單
(kg)</t>
    <phoneticPr fontId="223" type="noConversion"/>
  </si>
  <si>
    <t>實際生產
(對比訂單需求)</t>
    <phoneticPr fontId="224" type="noConversion"/>
  </si>
  <si>
    <t>金額
(元)</t>
    <phoneticPr fontId="240" type="noConversion"/>
  </si>
  <si>
    <t>kg</t>
    <phoneticPr fontId="223" type="noConversion"/>
  </si>
  <si>
    <t>明細展開</t>
    <phoneticPr fontId="223" type="noConversion"/>
  </si>
  <si>
    <t>名稱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</si>
  <si>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</si>
  <si>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</si>
  <si>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</si>
  <si>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組合室</t>
  </si>
  <si>
    <t>秤重物料，秤重精準度須持續校正</t>
  </si>
  <si>
    <t>冰杓定量挖取(使用量上會較起伏)，持續上抽測確認人員使用準確度</t>
  </si>
  <si>
    <t>原物料特性，梗葉比例重量差異，抓樣不穩</t>
  </si>
  <si>
    <t>注餡機使用(機器出料就有落差)，人員持續於線上不定時抽測重量</t>
  </si>
  <si>
    <t>秤重物料，過多無法剝除</t>
  </si>
  <si>
    <t>組合端</t>
  </si>
  <si>
    <t>包材過於貼體</t>
  </si>
  <si>
    <t>人員抓樣手感不穩</t>
  </si>
  <si>
    <t>原物料</t>
  </si>
  <si>
    <t>菜梗太硬導致捲的時候破損</t>
  </si>
  <si>
    <t>人員冰杓定量手法不穩</t>
  </si>
  <si>
    <t>原物料特性，梗葉比例重量差異大</t>
  </si>
  <si>
    <t>1.4i抓樣不穩 2.4i原物料規格 3.2i其他原因</t>
  </si>
  <si>
    <t>報廢金額前十名半成品</t>
    <phoneticPr fontId="223" type="noConversion"/>
  </si>
  <si>
    <t>明細展開</t>
    <phoneticPr fontId="223" type="noConversion"/>
  </si>
  <si>
    <t>其他原因說明</t>
    <phoneticPr fontId="223" type="noConversion"/>
  </si>
  <si>
    <t>備註-商品名稱</t>
    <phoneticPr fontId="240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</si>
  <si>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</si>
  <si>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</si>
  <si>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</si>
  <si>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</si>
  <si>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</si>
  <si>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</si>
  <si>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</si>
  <si>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</si>
  <si>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</si>
  <si>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實際生產
(對比訂單需求)</t>
    <phoneticPr fontId="224" type="noConversion"/>
  </si>
  <si>
    <t>差異
(元)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</si>
  <si>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</si>
  <si>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</si>
  <si>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</si>
  <si>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蒸首爾韓式泡菜(2cm)</t>
  </si>
  <si>
    <t>義美4吋芝麻漢堡</t>
  </si>
  <si>
    <t>蒸海鮮醬(料)</t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</si>
  <si>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</si>
  <si>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</si>
  <si>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</si>
  <si>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半成品</t>
    <phoneticPr fontId="223" type="noConversion"/>
  </si>
  <si>
    <t>超用金額
排序</t>
    <phoneticPr fontId="223" type="noConversion"/>
  </si>
  <si>
    <t>報廢</t>
    <phoneticPr fontId="223" type="noConversion"/>
  </si>
  <si>
    <t>超用</t>
    <phoneticPr fontId="223" type="noConversion"/>
  </si>
  <si>
    <t>實際生產
(對比訂單需求)</t>
    <phoneticPr fontId="224" type="noConversion"/>
  </si>
  <si>
    <t>差異
(元)</t>
    <phoneticPr fontId="223" type="noConversion"/>
  </si>
  <si>
    <t>占比</t>
    <phoneticPr fontId="223" type="noConversion"/>
  </si>
  <si>
    <t>kg</t>
    <phoneticPr fontId="223" type="noConversion"/>
  </si>
  <si>
    <t>114年自製芋頭餡</t>
  </si>
  <si>
    <t>起司芋見肉鬆三明治</t>
  </si>
  <si>
    <t>瀝水鳳梨角-固</t>
  </si>
  <si>
    <t>鳳梨腰果炒飯</t>
  </si>
  <si>
    <t>蒸基礎風味雞肉絲</t>
  </si>
  <si>
    <t>共用類報廢金額前十名半成品</t>
    <phoneticPr fontId="223" type="noConversion"/>
  </si>
  <si>
    <t>排序</t>
    <phoneticPr fontId="240" type="noConversion"/>
  </si>
  <si>
    <t>名稱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</si>
  <si>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</si>
  <si>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</si>
  <si>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</si>
  <si>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</si>
  <si>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</si>
  <si>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</si>
  <si>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</si>
  <si>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</si>
  <si>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</si>
  <si>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</si>
  <si>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</si>
  <si>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</si>
  <si>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</si>
  <si>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</si>
  <si>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</si>
  <si>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</si>
  <si>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</si>
  <si>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</si>
  <si>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</si>
  <si>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</si>
  <si>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</si>
  <si>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kg</t>
    <phoneticPr fontId="223" type="noConversion"/>
  </si>
  <si>
    <t>kg</t>
    <phoneticPr fontId="223" type="noConversion"/>
  </si>
  <si>
    <t>金額
(元)</t>
    <phoneticPr fontId="240" type="noConversion"/>
  </si>
  <si>
    <t>龍蝦沙拉(114.08)</t>
  </si>
  <si>
    <t>龍蝦風味總匯三明治</t>
  </si>
  <si>
    <t>四吋芝麻漢堡</t>
  </si>
  <si>
    <t>經典雙牛起司堡(113年)</t>
  </si>
  <si>
    <t>蒸新珍珍蟹味絲CL</t>
  </si>
  <si>
    <t>半成品</t>
    <phoneticPr fontId="223" type="noConversion"/>
  </si>
  <si>
    <t>實際產出
(kg)</t>
    <phoneticPr fontId="223" type="noConversion"/>
  </si>
  <si>
    <t>拌芥末雞蛋沙拉(114.07)</t>
  </si>
  <si>
    <t>日式芥末蛋沙拉三明治</t>
  </si>
  <si>
    <t>共用類報廢金額前十名半成品</t>
    <phoneticPr fontId="223" type="noConversion"/>
  </si>
  <si>
    <t>明細展開</t>
    <phoneticPr fontId="223" type="noConversion"/>
  </si>
  <si>
    <t>排序</t>
    <phoneticPr fontId="240" type="noConversion"/>
  </si>
  <si>
    <t>名稱</t>
    <phoneticPr fontId="223" type="noConversion"/>
  </si>
  <si>
    <t>報廢金額
排序</t>
    <phoneticPr fontId="223" type="noConversion"/>
  </si>
  <si>
    <t>共用類總金額
占比</t>
    <phoneticPr fontId="223" type="noConversion"/>
  </si>
  <si>
    <t>青醬優格(113.06)</t>
  </si>
  <si>
    <t>煮韓式辣醬(114.07)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</si>
  <si>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</si>
  <si>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</si>
  <si>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</si>
  <si>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</si>
  <si>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</si>
  <si>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</si>
  <si>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</si>
  <si>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</si>
  <si>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</si>
  <si>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</si>
  <si>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</si>
  <si>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</si>
  <si>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</si>
  <si>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</si>
  <si>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</si>
  <si>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</si>
  <si>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</si>
  <si>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</si>
  <si>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</si>
  <si>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</si>
  <si>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</si>
  <si>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</si>
  <si>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</si>
  <si>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</si>
  <si>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</si>
  <si>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拌總匯雞蛋沙拉CL(112年)</t>
  </si>
  <si>
    <t>韓式泡菜豆腐蘿蔔絲</t>
  </si>
  <si>
    <t>超用金額前十名半成品</t>
    <phoneticPr fontId="223" type="noConversion"/>
  </si>
  <si>
    <t>類別</t>
    <phoneticPr fontId="223" type="noConversion"/>
  </si>
  <si>
    <t>分析原因
(請填寫8大原因)</t>
    <phoneticPr fontId="223" type="noConversion"/>
  </si>
  <si>
    <t>備註-商品名稱</t>
    <phoneticPr fontId="240" type="noConversion"/>
  </si>
  <si>
    <t>超用金額
排序</t>
    <phoneticPr fontId="223" type="noConversion"/>
  </si>
  <si>
    <t>產出量</t>
    <phoneticPr fontId="223" type="noConversion"/>
  </si>
  <si>
    <t>補單
(kg)</t>
    <phoneticPr fontId="223" type="noConversion"/>
  </si>
  <si>
    <t>差異
(元)</t>
    <phoneticPr fontId="223" type="noConversion"/>
  </si>
  <si>
    <t>雞蛋沙拉(A)</t>
  </si>
  <si>
    <t>雞蛋沙拉三明治</t>
  </si>
  <si>
    <t>共用類報廢金額前十名半成品</t>
    <phoneticPr fontId="223" type="noConversion"/>
  </si>
  <si>
    <t>報廢金額
排序</t>
    <phoneticPr fontId="223" type="noConversion"/>
  </si>
  <si>
    <t>共用類總金額
占比</t>
    <phoneticPr fontId="223" type="noConversion"/>
  </si>
  <si>
    <t>胡麻沙拉醬(114.07)</t>
  </si>
  <si>
    <t>※炊飯類不納入半成品廢棄計算</t>
    <phoneticPr fontId="223" type="noConversion"/>
  </si>
  <si>
    <t>※淺黃色為工廠自填項目</t>
    <phoneticPr fontId="224" type="noConversion"/>
  </si>
  <si>
    <t>研發設定</t>
    <phoneticPr fontId="223" type="noConversion"/>
  </si>
  <si>
    <t>指示書設定連同汁液一起蒸無過濾，製作時會有殘水</t>
    <phoneticPr fontId="223" type="noConversion"/>
  </si>
  <si>
    <t>1.4i原物料規格 2.3i抓樣不穩 3.2i其他原因 4.1i研發設定</t>
  </si>
  <si>
    <t>1.5i抓樣不穩 2.2i其他原因 3.2i原物料規格 4.1i研發設定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</si>
  <si>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</si>
  <si>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</si>
  <si>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</si>
  <si>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</si>
  <si>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</si>
  <si>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</si>
  <si>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</si>
  <si>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</si>
  <si>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</si>
  <si>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</si>
  <si>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</si>
  <si>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</si>
  <si>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</si>
  <si>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</si>
  <si>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</si>
  <si>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</si>
  <si>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</si>
  <si>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</si>
  <si>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</si>
  <si>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</si>
  <si>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</si>
  <si>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</si>
  <si>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</si>
  <si>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</si>
  <si>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</si>
  <si>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</si>
  <si>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烤鹹蛋黃碎</t>
  </si>
  <si>
    <t>超用金額前十名半成品</t>
    <phoneticPr fontId="223" type="noConversion"/>
  </si>
  <si>
    <t>超用金額
排序</t>
    <phoneticPr fontId="223" type="noConversion"/>
  </si>
  <si>
    <t>油亮蒜味香腸片</t>
  </si>
  <si>
    <t>共用類報廢金額前十名半成品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</si>
  <si>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</si>
  <si>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</si>
  <si>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</si>
  <si>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</si>
  <si>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</si>
  <si>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</si>
  <si>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</si>
  <si>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</si>
  <si>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</si>
  <si>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</si>
  <si>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</si>
  <si>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</si>
  <si>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</si>
  <si>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</si>
  <si>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</si>
  <si>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</si>
  <si>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</si>
  <si>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</si>
  <si>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</si>
  <si>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</si>
  <si>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</si>
  <si>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</si>
  <si>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</si>
  <si>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</si>
  <si>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</si>
  <si>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</si>
  <si>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</si>
  <si>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</si>
  <si>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拌總匯鮪魚沙拉CL(113年)</t>
  </si>
  <si>
    <t>經典總匯三明治</t>
  </si>
  <si>
    <t>超用金額前十名半成品</t>
    <phoneticPr fontId="223" type="noConversion"/>
  </si>
  <si>
    <t>超用金額
排序</t>
    <phoneticPr fontId="223" type="noConversion"/>
  </si>
  <si>
    <t>共用類報廢金額前十名半成品</t>
    <phoneticPr fontId="223" type="noConversion"/>
  </si>
  <si>
    <t>共用類總金額
占比</t>
    <phoneticPr fontId="223" type="noConversion"/>
  </si>
  <si>
    <t>電解消毒蔥花</t>
  </si>
  <si>
    <t>※炊飯類不納入半成品廢棄計算</t>
    <phoneticPr fontId="223" type="noConversion"/>
  </si>
  <si>
    <t>※淺黃色為工廠自填項目</t>
    <phoneticPr fontId="224" type="noConversion"/>
  </si>
  <si>
    <t>全熟香雞堡CL(全)</t>
  </si>
  <si>
    <t>香雞蛋堡(112年)</t>
  </si>
  <si>
    <t>燴飯-滑蛋(112年)</t>
  </si>
  <si>
    <t>炒素鬆(新豐113.04)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</si>
  <si>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</si>
  <si>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</si>
  <si>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</si>
  <si>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</si>
  <si>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</si>
  <si>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</si>
  <si>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</si>
  <si>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</si>
  <si>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</si>
  <si>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</si>
  <si>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</si>
  <si>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</si>
  <si>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</si>
  <si>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</si>
  <si>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</si>
  <si>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</si>
  <si>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</si>
  <si>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</si>
  <si>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</si>
  <si>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</si>
  <si>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</si>
  <si>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</si>
  <si>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</si>
  <si>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</si>
  <si>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</si>
  <si>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超用金額前十名半成品</t>
    <phoneticPr fontId="223" type="noConversion"/>
  </si>
  <si>
    <t>超用金額
排序</t>
    <phoneticPr fontId="223" type="noConversion"/>
  </si>
  <si>
    <t>共用類報廢金額前十名半成品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</si>
  <si>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</si>
  <si>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</si>
  <si>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</si>
  <si>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包材過於貼體</t>
    <phoneticPr fontId="223" type="noConversion"/>
  </si>
  <si>
    <t>1.6i抓樣不穩 2.3i原物料規格 3.1i其他原因</t>
  </si>
  <si>
    <t>1.5i抓樣不穩 2.4i原物料規格 3.1i其他原因</t>
  </si>
  <si>
    <t>1.5i抓樣不穩 2.3i原物料規格 3.2i其他原因</t>
  </si>
  <si>
    <t>※淺黃色為工廠自填項目</t>
    <phoneticPr fontId="224" type="noConversion"/>
  </si>
  <si>
    <t>※炊飯類不納入半成品廢棄計算</t>
    <phoneticPr fontId="223" type="noConversion"/>
  </si>
  <si>
    <t>共用類總金額
占比</t>
    <phoneticPr fontId="223" type="noConversion"/>
  </si>
  <si>
    <t>報廢金額
排序</t>
    <phoneticPr fontId="223" type="noConversion"/>
  </si>
  <si>
    <t>名稱</t>
    <phoneticPr fontId="223" type="noConversion"/>
  </si>
  <si>
    <t>半成品</t>
    <phoneticPr fontId="223" type="noConversion"/>
  </si>
  <si>
    <t>排序</t>
    <phoneticPr fontId="240" type="noConversion"/>
  </si>
  <si>
    <t>明細展開</t>
    <phoneticPr fontId="223" type="noConversion"/>
  </si>
  <si>
    <t>共用類報廢金額前十名半成品</t>
    <phoneticPr fontId="223" type="noConversion"/>
  </si>
  <si>
    <t>占比</t>
    <phoneticPr fontId="223" type="noConversion"/>
  </si>
  <si>
    <t>金額
(元)</t>
    <phoneticPr fontId="240" type="noConversion"/>
  </si>
  <si>
    <t>差異
(元)</t>
    <phoneticPr fontId="223" type="noConversion"/>
  </si>
  <si>
    <t>單價
(元)</t>
    <phoneticPr fontId="224" type="noConversion"/>
  </si>
  <si>
    <t>補單
(kg)</t>
    <phoneticPr fontId="223" type="noConversion"/>
  </si>
  <si>
    <t>實際產出
(kg)</t>
    <phoneticPr fontId="223" type="noConversion"/>
  </si>
  <si>
    <t>訂單需求
(kg)</t>
    <phoneticPr fontId="223" type="noConversion"/>
  </si>
  <si>
    <t>超用</t>
    <phoneticPr fontId="223" type="noConversion"/>
  </si>
  <si>
    <t>報廢</t>
    <phoneticPr fontId="223" type="noConversion"/>
  </si>
  <si>
    <t>產出量</t>
    <phoneticPr fontId="223" type="noConversion"/>
  </si>
  <si>
    <t>超用金額
排序</t>
    <phoneticPr fontId="223" type="noConversion"/>
  </si>
  <si>
    <t>生產資訊</t>
    <phoneticPr fontId="223" type="noConversion"/>
  </si>
  <si>
    <t>超用金額前十名半成品</t>
    <phoneticPr fontId="223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</si>
  <si>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</si>
  <si>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</si>
  <si>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</si>
  <si>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分析原因
(請填寫8大原因)</t>
    <phoneticPr fontId="223" type="noConversion"/>
  </si>
  <si>
    <t>半成品</t>
    <phoneticPr fontId="223" type="noConversion"/>
  </si>
  <si>
    <t>生產端</t>
    <phoneticPr fontId="223" type="noConversion"/>
  </si>
  <si>
    <t>產出量</t>
    <phoneticPr fontId="223" type="noConversion"/>
  </si>
  <si>
    <t>報廢</t>
    <phoneticPr fontId="223" type="noConversion"/>
  </si>
  <si>
    <t>單價
(元)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</si>
  <si>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</si>
  <si>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</si>
  <si>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</si>
  <si>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</si>
  <si>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</si>
  <si>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</si>
  <si>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炒辛口紅蘿蔔丁(112年)</t>
  </si>
  <si>
    <t>超用金額前十名半成品</t>
    <phoneticPr fontId="223" type="noConversion"/>
  </si>
  <si>
    <t>生產資訊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</si>
  <si>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</si>
  <si>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</si>
  <si>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排序</t>
    <phoneticPr fontId="240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</si>
  <si>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</si>
  <si>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</si>
  <si>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</si>
  <si>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</si>
  <si>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產出量</t>
    <phoneticPr fontId="223" type="noConversion"/>
  </si>
  <si>
    <t>超用</t>
    <phoneticPr fontId="223" type="noConversion"/>
  </si>
  <si>
    <t>補單
(kg)</t>
    <phoneticPr fontId="223" type="noConversion"/>
  </si>
  <si>
    <t>單價
(元)</t>
    <phoneticPr fontId="224" type="noConversion"/>
  </si>
  <si>
    <t>金額
(元)</t>
    <phoneticPr fontId="240" type="noConversion"/>
  </si>
  <si>
    <t>共用類報廢金額前十名半成品</t>
    <phoneticPr fontId="223" type="noConversion"/>
  </si>
  <si>
    <t>明細展開</t>
    <phoneticPr fontId="223" type="noConversion"/>
  </si>
  <si>
    <t>名稱</t>
    <phoneticPr fontId="223" type="noConversion"/>
  </si>
  <si>
    <t>報廢金額
排序</t>
    <phoneticPr fontId="223" type="noConversion"/>
  </si>
  <si>
    <t>共用類總金額
占比</t>
    <phoneticPr fontId="223" type="noConversion"/>
  </si>
  <si>
    <t>調製地瓜泥</t>
  </si>
  <si>
    <t>※炊飯類不納入半成品廢棄計算</t>
    <phoneticPr fontId="223" type="noConversion"/>
  </si>
  <si>
    <t>研發設定</t>
    <phoneticPr fontId="223" type="noConversion"/>
  </si>
  <si>
    <t>1.4i原物料規格 2.3i其他原因 3.3i抓樣不穩</t>
  </si>
  <si>
    <t>(V)電解消毒細切紅蘿蔔絲</t>
  </si>
  <si>
    <t>莎莎烤雞麵沙拉</t>
  </si>
  <si>
    <t>電解消毒紫洋蔥(去皮)切絲</t>
  </si>
  <si>
    <t>※淺黃色為工廠自填項目</t>
    <phoneticPr fontId="224" type="noConversion"/>
  </si>
  <si>
    <t>※炊飯類不納入半成品廢棄計算</t>
    <phoneticPr fontId="223" type="noConversion"/>
  </si>
  <si>
    <t>共用類總金額
占比</t>
    <phoneticPr fontId="223" type="noConversion"/>
  </si>
  <si>
    <t>報廢金額
排序</t>
    <phoneticPr fontId="223" type="noConversion"/>
  </si>
  <si>
    <t>名稱</t>
    <phoneticPr fontId="223" type="noConversion"/>
  </si>
  <si>
    <t>半成品</t>
    <phoneticPr fontId="223" type="noConversion"/>
  </si>
  <si>
    <t>排序</t>
    <phoneticPr fontId="240" type="noConversion"/>
  </si>
  <si>
    <t>明細展開</t>
    <phoneticPr fontId="223" type="noConversion"/>
  </si>
  <si>
    <t>共用類報廢金額前十名半成品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</si>
  <si>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</si>
  <si>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</si>
  <si>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</si>
  <si>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差異
(元)</t>
    <phoneticPr fontId="223" type="noConversion"/>
  </si>
  <si>
    <t>實際生產
(對比訂單需求)</t>
    <phoneticPr fontId="224" type="noConversion"/>
  </si>
  <si>
    <t>單價
(元)</t>
    <phoneticPr fontId="224" type="noConversion"/>
  </si>
  <si>
    <t>補單
(kg)</t>
    <phoneticPr fontId="223" type="noConversion"/>
  </si>
  <si>
    <t>實際產出
(kg)</t>
    <phoneticPr fontId="223" type="noConversion"/>
  </si>
  <si>
    <t>訂單需求
(kg)</t>
    <phoneticPr fontId="223" type="noConversion"/>
  </si>
  <si>
    <t>超用</t>
    <phoneticPr fontId="223" type="noConversion"/>
  </si>
  <si>
    <t>報廢</t>
    <phoneticPr fontId="223" type="noConversion"/>
  </si>
  <si>
    <t>產出量</t>
    <phoneticPr fontId="223" type="noConversion"/>
  </si>
  <si>
    <t>超用金額
排序</t>
    <phoneticPr fontId="223" type="noConversion"/>
  </si>
  <si>
    <t>組合端</t>
    <phoneticPr fontId="223" type="noConversion"/>
  </si>
  <si>
    <t>生產端</t>
    <phoneticPr fontId="223" type="noConversion"/>
  </si>
  <si>
    <t>備註-商品名稱</t>
    <phoneticPr fontId="240" type="noConversion"/>
  </si>
  <si>
    <t>其他原因說明</t>
    <phoneticPr fontId="223" type="noConversion"/>
  </si>
  <si>
    <t>分析原因
(請填寫8大原因)</t>
    <phoneticPr fontId="223" type="noConversion"/>
  </si>
  <si>
    <t>類別</t>
    <phoneticPr fontId="223" type="noConversion"/>
  </si>
  <si>
    <t>生產資訊</t>
    <phoneticPr fontId="223" type="noConversion"/>
  </si>
  <si>
    <t>超用金額前十名半成品</t>
    <phoneticPr fontId="223" type="noConversion"/>
  </si>
  <si>
    <t>單價
(元)</t>
    <phoneticPr fontId="224" type="noConversion"/>
  </si>
  <si>
    <t>組合端</t>
    <phoneticPr fontId="223" type="noConversion"/>
  </si>
  <si>
    <t>生產端</t>
    <phoneticPr fontId="223" type="noConversion"/>
  </si>
  <si>
    <t>類別</t>
    <phoneticPr fontId="223" type="noConversion"/>
  </si>
  <si>
    <t>生產資訊</t>
    <phoneticPr fontId="223" type="noConversion"/>
  </si>
  <si>
    <t>※淺黃色為工廠自填項目</t>
    <phoneticPr fontId="224" type="noConversion"/>
  </si>
  <si>
    <t>※炊飯類不納入半成品廢棄計算</t>
    <phoneticPr fontId="223" type="noConversion"/>
  </si>
  <si>
    <t>義美4吋無芝麻漢堡</t>
  </si>
  <si>
    <t>共用類總金額
占比</t>
    <phoneticPr fontId="223" type="noConversion"/>
  </si>
  <si>
    <t>報廢金額
排序</t>
    <phoneticPr fontId="223" type="noConversion"/>
  </si>
  <si>
    <t>名稱</t>
    <phoneticPr fontId="223" type="noConversion"/>
  </si>
  <si>
    <t>半成品</t>
    <phoneticPr fontId="223" type="noConversion"/>
  </si>
  <si>
    <t>排序</t>
    <phoneticPr fontId="240" type="noConversion"/>
  </si>
  <si>
    <t>明細展開</t>
    <phoneticPr fontId="223" type="noConversion"/>
  </si>
  <si>
    <t>共用類報廢金額前十名半成品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</si>
  <si>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</si>
  <si>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</si>
  <si>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</si>
  <si>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差異
(元)</t>
    <phoneticPr fontId="223" type="noConversion"/>
  </si>
  <si>
    <t>實際生產
(對比訂單需求)</t>
    <phoneticPr fontId="224" type="noConversion"/>
  </si>
  <si>
    <t>單價
(元)</t>
    <phoneticPr fontId="224" type="noConversion"/>
  </si>
  <si>
    <t>補單
(kg)</t>
    <phoneticPr fontId="223" type="noConversion"/>
  </si>
  <si>
    <t>實際產出
(kg)</t>
    <phoneticPr fontId="223" type="noConversion"/>
  </si>
  <si>
    <t>訂單需求
(kg)</t>
    <phoneticPr fontId="223" type="noConversion"/>
  </si>
  <si>
    <t>超用</t>
    <phoneticPr fontId="223" type="noConversion"/>
  </si>
  <si>
    <t>報廢</t>
    <phoneticPr fontId="223" type="noConversion"/>
  </si>
  <si>
    <t>產出量</t>
    <phoneticPr fontId="223" type="noConversion"/>
  </si>
  <si>
    <t>超用金額
排序</t>
    <phoneticPr fontId="223" type="noConversion"/>
  </si>
  <si>
    <t>組合端</t>
    <phoneticPr fontId="223" type="noConversion"/>
  </si>
  <si>
    <t>生產端</t>
    <phoneticPr fontId="223" type="noConversion"/>
  </si>
  <si>
    <t>備註-商品名稱</t>
    <phoneticPr fontId="240" type="noConversion"/>
  </si>
  <si>
    <t>其他原因說明</t>
    <phoneticPr fontId="223" type="noConversion"/>
  </si>
  <si>
    <t>分析原因
(請填寫8大原因)</t>
    <phoneticPr fontId="223" type="noConversion"/>
  </si>
  <si>
    <t>類別</t>
    <phoneticPr fontId="223" type="noConversion"/>
  </si>
  <si>
    <t>生產資訊</t>
    <phoneticPr fontId="223" type="noConversion"/>
  </si>
  <si>
    <t>超用金額前十名半成品</t>
    <phoneticPr fontId="223" type="noConversion"/>
  </si>
  <si>
    <t>金額
(元)</t>
    <phoneticPr fontId="240" type="noConversion"/>
  </si>
  <si>
    <t>差異
(元)</t>
    <phoneticPr fontId="223" type="noConversion"/>
  </si>
  <si>
    <t>單價
(元)</t>
    <phoneticPr fontId="224" type="noConversion"/>
  </si>
  <si>
    <t>補單
(kg)</t>
    <phoneticPr fontId="223" type="noConversion"/>
  </si>
  <si>
    <t>實際產出
(kg)</t>
    <phoneticPr fontId="223" type="noConversion"/>
  </si>
  <si>
    <t>訂單需求
(kg)</t>
    <phoneticPr fontId="223" type="noConversion"/>
  </si>
  <si>
    <t>超用</t>
    <phoneticPr fontId="223" type="noConversion"/>
  </si>
  <si>
    <t>報廢</t>
    <phoneticPr fontId="223" type="noConversion"/>
  </si>
  <si>
    <t>產出量</t>
    <phoneticPr fontId="223" type="noConversion"/>
  </si>
  <si>
    <t>報廢金額
排序</t>
    <phoneticPr fontId="223" type="noConversion"/>
  </si>
  <si>
    <t>名稱</t>
    <phoneticPr fontId="223" type="noConversion"/>
  </si>
  <si>
    <t>生產端</t>
    <phoneticPr fontId="223" type="noConversion"/>
  </si>
  <si>
    <t>排序</t>
    <phoneticPr fontId="240" type="noConversion"/>
  </si>
  <si>
    <t>備註-商品名稱</t>
    <phoneticPr fontId="240" type="noConversion"/>
  </si>
  <si>
    <t>其他原因說明</t>
    <phoneticPr fontId="223" type="noConversion"/>
  </si>
  <si>
    <t>分析原因
(請填寫8大原因)</t>
    <phoneticPr fontId="223" type="noConversion"/>
  </si>
  <si>
    <t>生產資訊</t>
    <phoneticPr fontId="223" type="noConversion"/>
  </si>
  <si>
    <t>報廢金額前十名半成品</t>
    <phoneticPr fontId="223" type="noConversion"/>
  </si>
  <si>
    <t>火腿蛋炒飯</t>
  </si>
  <si>
    <t>電解消毒對切整葉廣東A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</si>
  <si>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</si>
  <si>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</si>
  <si>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</si>
  <si>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</si>
  <si>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</si>
  <si>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</si>
  <si>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</si>
  <si>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</si>
  <si>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</si>
  <si>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</si>
  <si>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</si>
  <si>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</si>
  <si>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</si>
  <si>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</si>
  <si>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</si>
  <si>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</si>
  <si>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</si>
  <si>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</si>
  <si>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</si>
  <si>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</si>
  <si>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</si>
  <si>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</si>
  <si>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</si>
  <si>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</si>
  <si>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</si>
  <si>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超用金額前十名半成品</t>
    <phoneticPr fontId="223" type="noConversion"/>
  </si>
  <si>
    <t>超用金額
排序</t>
    <phoneticPr fontId="223" type="noConversion"/>
  </si>
  <si>
    <t>共用類報廢金額前十名半成品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</si>
  <si>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</si>
  <si>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</si>
  <si>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</si>
  <si>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超用金額前十名半成品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</si>
  <si>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</si>
  <si>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</si>
  <si>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</si>
  <si>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</si>
  <si>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</si>
  <si>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</si>
  <si>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</si>
  <si>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</si>
  <si>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</si>
  <si>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</si>
  <si>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</si>
  <si>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</si>
  <si>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</si>
  <si>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</si>
  <si>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</si>
  <si>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</si>
  <si>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</si>
  <si>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</si>
  <si>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</si>
  <si>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</si>
  <si>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</si>
  <si>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</si>
  <si>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</si>
  <si>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</si>
  <si>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※炊飯類不納入半成品廢棄計算</t>
    <phoneticPr fontId="223" type="noConversion"/>
  </si>
  <si>
    <t>※淺黃色為工廠自填項目</t>
    <phoneticPr fontId="224" type="noConversion"/>
  </si>
  <si>
    <t>秤重物料，秤重精準度須持續校正(過多難剝除)</t>
    <phoneticPr fontId="223" type="noConversion"/>
  </si>
  <si>
    <t>明細展開</t>
    <phoneticPr fontId="223" type="noConversion"/>
  </si>
  <si>
    <t>其他原因說明</t>
    <phoneticPr fontId="223" type="noConversion"/>
  </si>
  <si>
    <t>備註-商品名稱</t>
    <phoneticPr fontId="240" type="noConversion"/>
  </si>
  <si>
    <t>組合端</t>
    <phoneticPr fontId="223" type="noConversion"/>
  </si>
  <si>
    <t>報廢</t>
    <phoneticPr fontId="223" type="noConversion"/>
  </si>
  <si>
    <t>超用</t>
    <phoneticPr fontId="223" type="noConversion"/>
  </si>
  <si>
    <t>補單
(kg)</t>
    <phoneticPr fontId="223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</si>
  <si>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</si>
  <si>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</si>
  <si>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</si>
  <si>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</si>
  <si>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</si>
  <si>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青檸沙拉醬(113.03)</t>
  </si>
  <si>
    <t>拌經典總匯雞蛋沙拉CL</t>
  </si>
  <si>
    <t>類別</t>
    <phoneticPr fontId="223" type="noConversion"/>
  </si>
  <si>
    <t>生產端</t>
    <phoneticPr fontId="223" type="noConversion"/>
  </si>
  <si>
    <t>烤卜蜂紐奧良腿排(減鈉版)</t>
  </si>
  <si>
    <t>紐奧良風味烤雞鮮蔬三明治</t>
  </si>
  <si>
    <t>辛口咖哩豬肉(112年)</t>
  </si>
  <si>
    <t>蒸鼎泰豐香辣醬</t>
  </si>
  <si>
    <t>半成品</t>
    <phoneticPr fontId="223" type="noConversion"/>
  </si>
  <si>
    <t>名稱</t>
    <phoneticPr fontId="223" type="noConversion"/>
  </si>
  <si>
    <t>共用類總金額
占比</t>
    <phoneticPr fontId="223" type="noConversion"/>
  </si>
  <si>
    <t>拌肉鬆(114.01)</t>
  </si>
  <si>
    <t>肉鬆火腿三明治</t>
  </si>
  <si>
    <t>藍莓優格奶油霜(114.05)</t>
  </si>
  <si>
    <t>藍莓優格三明治(114年)</t>
  </si>
  <si>
    <t>電解消毒切段廣東A</t>
  </si>
  <si>
    <t>原物料廠商無過篩，大小差異大</t>
  </si>
  <si>
    <t>1.4i抓樣不穩 2.3i其他原因 3.2i原物料規格 4.1i研發設定</t>
  </si>
  <si>
    <t>1.6i抓樣不穩 2.2i其他原因 3.2i原物料規格</t>
  </si>
  <si>
    <t>1.7i抓樣不穩 2.2i原物料規格 3.1i其他原因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</si>
  <si>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</si>
  <si>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</si>
  <si>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</si>
  <si>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</si>
  <si>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</si>
  <si>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</si>
  <si>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</si>
  <si>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</si>
  <si>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</si>
  <si>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</si>
  <si>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</si>
  <si>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</si>
  <si>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</si>
  <si>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</si>
  <si>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</si>
  <si>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</si>
  <si>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</si>
  <si>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</si>
  <si>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</si>
  <si>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</si>
  <si>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</si>
  <si>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</si>
  <si>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</si>
  <si>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</si>
  <si>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</si>
  <si>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電解消毒混合蔥鹽蔬菜絲</t>
  </si>
  <si>
    <t>超用金額前十名半成品</t>
    <phoneticPr fontId="223" type="noConversion"/>
  </si>
  <si>
    <t>超用金額
排序</t>
    <phoneticPr fontId="223" type="noConversion"/>
  </si>
  <si>
    <t>炒壽喜燒牛培根</t>
  </si>
  <si>
    <t>共用類報廢金額前十名半成品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</si>
  <si>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</si>
  <si>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</si>
  <si>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</si>
  <si>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白味噌壽喜燒飯</t>
  </si>
  <si>
    <t>蔥鹽雞肉麵沙拉(114年)</t>
  </si>
  <si>
    <t>腿排過小，對切成品尾端無料，切小肉補</t>
  </si>
  <si>
    <t>秤重物料，秤重精準度須持續校正(過多難剝除)</t>
  </si>
  <si>
    <t>F-台式特級沙拉醬</t>
  </si>
  <si>
    <t>炒辛口馬鈴薯丁(112年)</t>
  </si>
  <si>
    <t>電解消毒切段甜脆</t>
  </si>
  <si>
    <t>酸黃瓜碎(新)</t>
  </si>
  <si>
    <t>1.5i抓樣不穩 2.3i其他原因 3.2i原物料規格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</si>
  <si>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</si>
  <si>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</si>
  <si>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</si>
  <si>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</si>
  <si>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</si>
  <si>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</si>
  <si>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</si>
  <si>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</si>
  <si>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</si>
  <si>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</si>
  <si>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</si>
  <si>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</si>
  <si>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</si>
  <si>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</si>
  <si>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</si>
  <si>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</si>
  <si>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</si>
  <si>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</si>
  <si>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</si>
  <si>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</si>
  <si>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</si>
  <si>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</si>
  <si>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</si>
  <si>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香炒肉鬆</t>
  </si>
  <si>
    <t>烤火腿丁</t>
  </si>
  <si>
    <t>超用金額前十名半成品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</si>
  <si>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</si>
  <si>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</si>
  <si>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</si>
  <si>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備註-商品名稱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</si>
  <si>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</si>
  <si>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</si>
  <si>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</si>
  <si>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</si>
  <si>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</si>
  <si>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</si>
  <si>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</si>
  <si>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</si>
  <si>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</si>
  <si>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</si>
  <si>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</si>
  <si>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實際生產
(對比訂單需求)</t>
    <phoneticPr fontId="224" type="noConversion"/>
  </si>
  <si>
    <t>金額
(元)</t>
    <phoneticPr fontId="240" type="noConversion"/>
  </si>
  <si>
    <t>明細展開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</si>
  <si>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</si>
  <si>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</si>
  <si>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</si>
  <si>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組合端</t>
    <phoneticPr fontId="223" type="noConversion"/>
  </si>
  <si>
    <t>煮螺旋麵(沙拉用)</t>
  </si>
  <si>
    <t>電解消毒牛蕃茄切片(中)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</si>
  <si>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</si>
  <si>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</si>
  <si>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</si>
  <si>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</si>
  <si>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</si>
  <si>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</si>
  <si>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</si>
  <si>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</si>
  <si>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</si>
  <si>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</si>
  <si>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</si>
  <si>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</si>
  <si>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</si>
  <si>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超用</t>
    <phoneticPr fontId="223" type="noConversion"/>
  </si>
  <si>
    <t>訂單需求
(kg)</t>
    <phoneticPr fontId="223" type="noConversion"/>
  </si>
  <si>
    <t>補單
(kg)</t>
    <phoneticPr fontId="223" type="noConversion"/>
  </si>
  <si>
    <t>單價
(元)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</si>
  <si>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</si>
  <si>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</si>
  <si>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</si>
  <si>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</si>
  <si>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</si>
  <si>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</si>
  <si>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</si>
  <si>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</si>
  <si>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備註-商品名稱</t>
    <phoneticPr fontId="240" type="noConversion"/>
  </si>
  <si>
    <t>組合端</t>
    <phoneticPr fontId="223" type="noConversion"/>
  </si>
  <si>
    <t>報廢</t>
    <phoneticPr fontId="223" type="noConversion"/>
  </si>
  <si>
    <t>實際產出
(kg)</t>
    <phoneticPr fontId="223" type="noConversion"/>
  </si>
  <si>
    <t>補單
(kg)</t>
    <phoneticPr fontId="223" type="noConversion"/>
  </si>
  <si>
    <t>實際生產
(對比訂單需求)</t>
    <phoneticPr fontId="224" type="noConversion"/>
  </si>
  <si>
    <t>共用類報廢金額前十名半成品</t>
    <phoneticPr fontId="223" type="noConversion"/>
  </si>
  <si>
    <t>明細展開</t>
    <phoneticPr fontId="223" type="noConversion"/>
  </si>
  <si>
    <t>排序</t>
    <phoneticPr fontId="240" type="noConversion"/>
  </si>
  <si>
    <t>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</si>
  <si>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</si>
  <si>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</si>
  <si>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</si>
  <si>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</si>
  <si>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</si>
  <si>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</si>
  <si>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</si>
  <si>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</si>
  <si>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</si>
  <si>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</si>
  <si>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</si>
  <si>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</si>
  <si>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</si>
  <si>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</si>
  <si>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</si>
  <si>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</si>
  <si>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</si>
  <si>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</si>
  <si>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</si>
  <si>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</si>
  <si>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</si>
  <si>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</si>
  <si>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</si>
  <si>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占比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</si>
  <si>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</si>
  <si>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</si>
  <si>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</si>
  <si>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超用金額前十名半成品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</si>
  <si>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</si>
  <si>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</si>
  <si>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</si>
  <si>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</si>
  <si>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</si>
  <si>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</si>
  <si>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</si>
  <si>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</si>
  <si>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</si>
  <si>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</si>
  <si>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</si>
  <si>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</si>
  <si>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</si>
  <si>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</si>
  <si>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</si>
  <si>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</si>
  <si>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</si>
  <si>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金額
(元)</t>
    <phoneticPr fontId="240" type="noConversion"/>
  </si>
  <si>
    <t>占比</t>
    <phoneticPr fontId="223" type="noConversion"/>
  </si>
  <si>
    <t>明細展開</t>
    <phoneticPr fontId="223" type="noConversion"/>
  </si>
  <si>
    <t>排序</t>
    <phoneticPr fontId="240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</si>
  <si>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</si>
  <si>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</si>
  <si>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</si>
  <si>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</si>
  <si>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</si>
  <si>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</si>
  <si>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</si>
  <si>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</si>
  <si>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</si>
  <si>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</si>
  <si>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</si>
  <si>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超用</t>
    <phoneticPr fontId="223" type="noConversion"/>
  </si>
  <si>
    <t>實際產出
(kg)</t>
    <phoneticPr fontId="223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</si>
  <si>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</si>
  <si>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</si>
  <si>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</si>
  <si>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</si>
  <si>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超用金額
排序</t>
    <phoneticPr fontId="223" type="noConversion"/>
  </si>
  <si>
    <t>訂單需求
(kg)</t>
    <phoneticPr fontId="223" type="noConversion"/>
  </si>
  <si>
    <t>共用類報廢金額前十名半成品</t>
    <phoneticPr fontId="223" type="noConversion"/>
  </si>
  <si>
    <t>排序</t>
    <phoneticPr fontId="240" type="noConversion"/>
  </si>
  <si>
    <t>半成品</t>
    <phoneticPr fontId="223" type="noConversion"/>
  </si>
  <si>
    <t>名稱</t>
    <phoneticPr fontId="223" type="noConversion"/>
  </si>
  <si>
    <t>報廢金額
排序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</si>
  <si>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</si>
  <si>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</si>
  <si>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</si>
  <si>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</si>
  <si>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</si>
  <si>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</si>
  <si>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</si>
  <si>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</si>
  <si>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</si>
  <si>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</si>
  <si>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</si>
  <si>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</si>
  <si>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</si>
  <si>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</si>
  <si>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</si>
  <si>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</si>
  <si>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</si>
  <si>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</si>
  <si>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</si>
  <si>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</si>
  <si>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</si>
  <si>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</si>
  <si>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</si>
  <si>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</si>
  <si>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</si>
  <si>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</si>
  <si>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</si>
  <si>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</si>
  <si>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超用金額前十名半成品</t>
    <phoneticPr fontId="223" type="noConversion"/>
  </si>
  <si>
    <t>超用金額
排序</t>
    <phoneticPr fontId="223" type="noConversion"/>
  </si>
  <si>
    <t>排序</t>
    <phoneticPr fontId="240" type="noConversion"/>
  </si>
  <si>
    <t>名稱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</si>
  <si>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</si>
  <si>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</si>
  <si>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</si>
  <si>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</si>
  <si>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</si>
  <si>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</si>
  <si>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</si>
  <si>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</si>
  <si>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</si>
  <si>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</si>
  <si>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</si>
  <si>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</si>
  <si>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</si>
  <si>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</si>
  <si>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</si>
  <si>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</si>
  <si>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</si>
  <si>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</si>
  <si>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</si>
  <si>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</si>
  <si>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</si>
  <si>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</si>
  <si>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</si>
  <si>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</si>
  <si>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</si>
  <si>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</si>
  <si>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</si>
  <si>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超用金額前十名半成品</t>
    <phoneticPr fontId="223" type="noConversion"/>
  </si>
  <si>
    <t>超用金額
排序</t>
    <phoneticPr fontId="223" type="noConversion"/>
  </si>
  <si>
    <t>共用類報廢金額前十名半成品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</si>
  <si>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</si>
  <si>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</si>
  <si>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</si>
  <si>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1.包材過於貼體2.堡體無完全切斷分離，人員抓破損壞</t>
    <phoneticPr fontId="223" type="noConversion"/>
  </si>
  <si>
    <t>包材過於貼體</t>
    <phoneticPr fontId="223" type="noConversion"/>
  </si>
  <si>
    <t>1.包材過於貼體2.堡體無完全切斷分離，人員抓破損壞</t>
    <phoneticPr fontId="223" type="noConversion"/>
  </si>
  <si>
    <t>包材過於貼體</t>
    <phoneticPr fontId="223" type="noConversion"/>
  </si>
  <si>
    <t>物料規格過大(商品1顆開10片)，造成重量投入過多</t>
  </si>
  <si>
    <t>物料規格過大(商品1顆開10片)，造成重量投入過多</t>
    <phoneticPr fontId="223" type="noConversion"/>
  </si>
  <si>
    <t>塊肉過畸形，MD強制尾端補肉</t>
  </si>
  <si>
    <t>人員抓樣，絲狀較長抓樣重量差異</t>
  </si>
  <si>
    <t>塊肉過畸形，MD強制尾端補肉</t>
    <phoneticPr fontId="223" type="noConversion"/>
  </si>
  <si>
    <t>打發QQ泰奶</t>
  </si>
  <si>
    <t>泰奶奶蓋QQ三明治</t>
  </si>
  <si>
    <t>類別</t>
    <phoneticPr fontId="223" type="noConversion"/>
  </si>
  <si>
    <t>其他原因說明</t>
    <phoneticPr fontId="223" type="noConversion"/>
  </si>
  <si>
    <t>排序</t>
    <phoneticPr fontId="240" type="noConversion"/>
  </si>
  <si>
    <t>組合端</t>
    <phoneticPr fontId="223" type="noConversion"/>
  </si>
  <si>
    <t>報廢金額
排序</t>
    <phoneticPr fontId="223" type="noConversion"/>
  </si>
  <si>
    <t>訂單需求
(kg)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</si>
  <si>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</si>
  <si>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</si>
  <si>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</si>
  <si>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超用金額前十名半成品</t>
    <phoneticPr fontId="223" type="noConversion"/>
  </si>
  <si>
    <t>類別</t>
    <phoneticPr fontId="223" type="noConversion"/>
  </si>
  <si>
    <t>分析原因
(請填寫8大原因)</t>
    <phoneticPr fontId="223" type="noConversion"/>
  </si>
  <si>
    <t>產出量</t>
    <phoneticPr fontId="223" type="noConversion"/>
  </si>
  <si>
    <t>補單
(kg)</t>
    <phoneticPr fontId="223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</si>
  <si>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</si>
  <si>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</si>
  <si>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</si>
  <si>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</si>
  <si>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kg</t>
    <phoneticPr fontId="223" type="noConversion"/>
  </si>
  <si>
    <t>共用類報廢金額前十名半成品</t>
    <phoneticPr fontId="223" type="noConversion"/>
  </si>
  <si>
    <t>排序</t>
    <phoneticPr fontId="240" type="noConversion"/>
  </si>
  <si>
    <t>半成品</t>
    <phoneticPr fontId="223" type="noConversion"/>
  </si>
  <si>
    <t>名稱</t>
    <phoneticPr fontId="223" type="noConversion"/>
  </si>
  <si>
    <t>報廢金額
排序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</si>
  <si>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</si>
  <si>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</si>
  <si>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</si>
  <si>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</si>
  <si>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</si>
  <si>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</si>
  <si>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</si>
  <si>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</si>
  <si>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</si>
  <si>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</si>
  <si>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</si>
  <si>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</si>
  <si>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</si>
  <si>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</si>
  <si>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</si>
  <si>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</si>
  <si>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</si>
  <si>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</si>
  <si>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</si>
  <si>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</si>
  <si>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</si>
  <si>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</si>
  <si>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</si>
  <si>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</si>
  <si>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占比</t>
    <phoneticPr fontId="223" type="noConversion"/>
  </si>
  <si>
    <t>金額
(元)</t>
    <phoneticPr fontId="240" type="noConversion"/>
  </si>
  <si>
    <t>油亮後腿肉絲</t>
  </si>
  <si>
    <t>超用金額前十名半成品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</si>
  <si>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</si>
  <si>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</si>
  <si>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</si>
  <si>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</si>
  <si>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</si>
  <si>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</si>
  <si>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</si>
  <si>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報廢</t>
    <phoneticPr fontId="223" type="noConversion"/>
  </si>
  <si>
    <t>訂單需求
(kg)</t>
    <phoneticPr fontId="223" type="noConversion"/>
  </si>
  <si>
    <t>實際生產
(對比訂單需求)</t>
    <phoneticPr fontId="224" type="noConversion"/>
  </si>
  <si>
    <t>kg</t>
    <phoneticPr fontId="223" type="noConversion"/>
  </si>
  <si>
    <t>金額
(元)</t>
    <phoneticPr fontId="240" type="noConversion"/>
  </si>
  <si>
    <t>共用類報廢金額前十名半成品</t>
    <phoneticPr fontId="223" type="noConversion"/>
  </si>
  <si>
    <t>排序</t>
    <phoneticPr fontId="240" type="noConversion"/>
  </si>
  <si>
    <t>報廢金額
排序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</si>
  <si>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</si>
  <si>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</si>
  <si>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</si>
  <si>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生產端</t>
    <phoneticPr fontId="223" type="noConversion"/>
  </si>
  <si>
    <t>名稱</t>
    <phoneticPr fontId="223" type="noConversion"/>
  </si>
  <si>
    <t>產出量</t>
    <phoneticPr fontId="223" type="noConversion"/>
  </si>
  <si>
    <t>訂單需求
(kg)</t>
    <phoneticPr fontId="223" type="noConversion"/>
  </si>
  <si>
    <t>實際產出
(kg)</t>
    <phoneticPr fontId="223" type="noConversion"/>
  </si>
  <si>
    <t>kg</t>
    <phoneticPr fontId="223" type="noConversion"/>
  </si>
  <si>
    <t>打發QQ植鮮</t>
  </si>
  <si>
    <t>自製花生奶油霜</t>
  </si>
  <si>
    <t>花生芝麻麻糬三明治</t>
  </si>
  <si>
    <t>超用金額前十名半成品</t>
    <phoneticPr fontId="223" type="noConversion"/>
  </si>
  <si>
    <t>類別</t>
    <phoneticPr fontId="223" type="noConversion"/>
  </si>
  <si>
    <t>超用金額
排序</t>
    <phoneticPr fontId="223" type="noConversion"/>
  </si>
  <si>
    <t>單價
(元)</t>
    <phoneticPr fontId="224" type="noConversion"/>
  </si>
  <si>
    <t>1.包材過於貼體2.堡體無完全切斷分離，人員抓破損壞</t>
  </si>
  <si>
    <t>1.4i其他原因 2.3i原物料規格 3.3i抓樣不穩</t>
  </si>
  <si>
    <t>1.4i原物料規格 2.4i抓樣不穩 3.2i其他原因</t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</si>
  <si>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</si>
  <si>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</si>
  <si>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</si>
  <si>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</si>
  <si>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</si>
  <si>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</si>
  <si>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</si>
  <si>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</si>
  <si>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</si>
  <si>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</si>
  <si>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</si>
  <si>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</si>
  <si>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</si>
  <si>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</si>
  <si>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</si>
  <si>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</si>
  <si>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</si>
  <si>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</si>
  <si>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</si>
  <si>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</si>
  <si>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</si>
  <si>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</si>
  <si>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</si>
  <si>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</si>
  <si>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炒紅K洋蔥片</t>
  </si>
  <si>
    <t>超用金額前十名半成品</t>
    <phoneticPr fontId="223" type="noConversion"/>
  </si>
  <si>
    <t>類別</t>
    <phoneticPr fontId="223" type="noConversion"/>
  </si>
  <si>
    <t>分析原因
(請填寫8大原因)</t>
    <phoneticPr fontId="223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</si>
  <si>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</si>
  <si>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</si>
  <si>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</si>
  <si>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超用金額
排序</t>
    <phoneticPr fontId="223" type="noConversion"/>
  </si>
  <si>
    <t>產出量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</si>
  <si>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</si>
  <si>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</si>
  <si>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</si>
  <si>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實際生產
(對比訂單需求)</t>
    <phoneticPr fontId="224" type="noConversion"/>
  </si>
  <si>
    <t>差異
(元)</t>
    <phoneticPr fontId="223" type="noConversion"/>
  </si>
  <si>
    <t>占比</t>
    <phoneticPr fontId="223" type="noConversion"/>
  </si>
  <si>
    <t>共用類報廢金額前十名半成品</t>
    <phoneticPr fontId="223" type="noConversion"/>
  </si>
  <si>
    <t>名稱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</si>
  <si>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</si>
  <si>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</si>
  <si>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</si>
  <si>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</si>
  <si>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</si>
  <si>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</si>
  <si>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</si>
  <si>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</si>
  <si>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生產端</t>
    <phoneticPr fontId="223" type="noConversion"/>
  </si>
  <si>
    <t>組合端</t>
    <phoneticPr fontId="223" type="noConversion"/>
  </si>
  <si>
    <t>報廢金額
排序</t>
    <phoneticPr fontId="223" type="noConversion"/>
  </si>
  <si>
    <t>產出量</t>
    <phoneticPr fontId="223" type="noConversion"/>
  </si>
  <si>
    <t>超用</t>
    <phoneticPr fontId="223" type="noConversion"/>
  </si>
  <si>
    <t>訂單需求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</si>
  <si>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</si>
  <si>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</si>
  <si>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</si>
  <si>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</si>
  <si>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</si>
  <si>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</si>
  <si>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</si>
  <si>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拌水果莎莎醬1.2細麵</t>
  </si>
  <si>
    <t>超用金額前十名半成品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</si>
  <si>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</si>
  <si>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</si>
  <si>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排序</t>
    <phoneticPr fontId="240" type="noConversion"/>
  </si>
  <si>
    <t>半成品</t>
    <phoneticPr fontId="223" type="noConversion"/>
  </si>
  <si>
    <t>組合端</t>
    <phoneticPr fontId="223" type="noConversion"/>
  </si>
  <si>
    <t>名稱</t>
    <phoneticPr fontId="223" type="noConversion"/>
  </si>
  <si>
    <t>超用金額
排序</t>
    <phoneticPr fontId="223" type="noConversion"/>
  </si>
  <si>
    <t>產出量</t>
    <phoneticPr fontId="223" type="noConversion"/>
  </si>
  <si>
    <t>訂單需求
(kg)</t>
    <phoneticPr fontId="223" type="noConversion"/>
  </si>
  <si>
    <t>實際產出
(kg)</t>
    <phoneticPr fontId="223" type="noConversion"/>
  </si>
  <si>
    <t>差異
(元)</t>
    <phoneticPr fontId="223" type="noConversion"/>
  </si>
  <si>
    <t>占比</t>
    <phoneticPr fontId="223" type="noConversion"/>
  </si>
  <si>
    <t>kg</t>
    <phoneticPr fontId="223" type="noConversion"/>
  </si>
  <si>
    <t>共用類報廢金額前十名半成品</t>
    <phoneticPr fontId="223" type="noConversion"/>
  </si>
  <si>
    <t>※淺黃色為工廠自填項目</t>
    <phoneticPr fontId="224" type="noConversion"/>
  </si>
  <si>
    <t>取樣不穩</t>
    <phoneticPr fontId="223" type="noConversion"/>
  </si>
  <si>
    <t>報廢金額前十名半成品</t>
    <phoneticPr fontId="223" type="noConversion"/>
  </si>
  <si>
    <t>明細展開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</si>
  <si>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</si>
  <si>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</si>
  <si>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</si>
  <si>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</si>
  <si>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</si>
  <si>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</si>
  <si>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</si>
  <si>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</si>
  <si>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</si>
  <si>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</si>
  <si>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</si>
  <si>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</si>
  <si>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</si>
  <si>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</si>
  <si>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</si>
  <si>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</si>
  <si>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</si>
  <si>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</si>
  <si>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</si>
  <si>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</si>
  <si>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</si>
  <si>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</si>
  <si>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kg</t>
    <phoneticPr fontId="223" type="noConversion"/>
  </si>
  <si>
    <t>金額
(元)</t>
    <phoneticPr fontId="240" type="noConversion"/>
  </si>
  <si>
    <t>超用金額前十名半成品</t>
    <phoneticPr fontId="223" type="noConversion"/>
  </si>
  <si>
    <t>明細展開</t>
    <phoneticPr fontId="223" type="noConversion"/>
  </si>
  <si>
    <t>類別</t>
    <phoneticPr fontId="223" type="noConversion"/>
  </si>
  <si>
    <t>其他原因說明</t>
    <phoneticPr fontId="223" type="noConversion"/>
  </si>
  <si>
    <t>備註-商品名稱</t>
    <phoneticPr fontId="240" type="noConversion"/>
  </si>
  <si>
    <t>組合端</t>
    <phoneticPr fontId="223" type="noConversion"/>
  </si>
  <si>
    <t>名稱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</si>
  <si>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</si>
  <si>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</si>
  <si>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</si>
  <si>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實際生產
(對比訂單需求)</t>
    <phoneticPr fontId="224" type="noConversion"/>
  </si>
  <si>
    <t>差異
(元)</t>
    <phoneticPr fontId="223" type="noConversion"/>
  </si>
  <si>
    <t>占比</t>
    <phoneticPr fontId="223" type="noConversion"/>
  </si>
  <si>
    <t>金額
(元)</t>
    <phoneticPr fontId="240" type="noConversion"/>
  </si>
  <si>
    <t>共用類報廢金額前十名半成品</t>
    <phoneticPr fontId="223" type="noConversion"/>
  </si>
  <si>
    <t>明細展開</t>
    <phoneticPr fontId="223" type="noConversion"/>
  </si>
  <si>
    <t>排序</t>
    <phoneticPr fontId="240" type="noConversion"/>
  </si>
  <si>
    <t>半成品</t>
    <phoneticPr fontId="223" type="noConversion"/>
  </si>
  <si>
    <t>報廢金額
排序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</si>
  <si>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</si>
  <si>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</si>
  <si>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</si>
  <si>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報廢金額前十名半成品</t>
    <phoneticPr fontId="223" type="noConversion"/>
  </si>
  <si>
    <t>生產資訊</t>
    <phoneticPr fontId="223" type="noConversion"/>
  </si>
  <si>
    <t>類別</t>
    <phoneticPr fontId="223" type="noConversion"/>
  </si>
  <si>
    <t>分析原因
(請填寫8大原因)</t>
    <phoneticPr fontId="223" type="noConversion"/>
  </si>
  <si>
    <t>其他原因說明</t>
    <phoneticPr fontId="223" type="noConversion"/>
  </si>
  <si>
    <t>備註-商品名稱</t>
    <phoneticPr fontId="240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</si>
  <si>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</si>
  <si>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</si>
  <si>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</si>
  <si>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</si>
  <si>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名稱</t>
    <phoneticPr fontId="223" type="noConversion"/>
  </si>
  <si>
    <t>報廢金額
排序</t>
    <phoneticPr fontId="223" type="noConversion"/>
  </si>
  <si>
    <t>產出量</t>
    <phoneticPr fontId="223" type="noConversion"/>
  </si>
  <si>
    <t>報廢</t>
    <phoneticPr fontId="223" type="noConversion"/>
  </si>
  <si>
    <t>超用</t>
    <phoneticPr fontId="223" type="noConversion"/>
  </si>
  <si>
    <t>訂單需求
(kg)</t>
    <phoneticPr fontId="223" type="noConversion"/>
  </si>
  <si>
    <t>實際產出
(kg)</t>
    <phoneticPr fontId="223" type="noConversion"/>
  </si>
  <si>
    <t>補單
(kg)</t>
    <phoneticPr fontId="223" type="noConversion"/>
  </si>
  <si>
    <t>單價
(元)</t>
    <phoneticPr fontId="224" type="noConversion"/>
  </si>
  <si>
    <t>實際生產
(對比訂單需求)</t>
    <phoneticPr fontId="224" type="noConversion"/>
  </si>
  <si>
    <t>差異
(元)</t>
    <phoneticPr fontId="223" type="noConversion"/>
  </si>
  <si>
    <t>kg</t>
    <phoneticPr fontId="223" type="noConversion"/>
  </si>
  <si>
    <t>占比</t>
    <phoneticPr fontId="223" type="noConversion"/>
  </si>
  <si>
    <t>金額
(元)</t>
    <phoneticPr fontId="240" type="noConversion"/>
  </si>
  <si>
    <t>超HOT沙拉醬</t>
  </si>
  <si>
    <t>超HOT雞腿堡(114年)</t>
  </si>
  <si>
    <t>煮咖哩紅蘿蔔丁(112年)</t>
  </si>
  <si>
    <t>超用金額前十名半成品</t>
    <phoneticPr fontId="223" type="noConversion"/>
  </si>
  <si>
    <t>明細展開</t>
    <phoneticPr fontId="223" type="noConversion"/>
  </si>
  <si>
    <t>排序</t>
    <phoneticPr fontId="240" type="noConversion"/>
  </si>
  <si>
    <t>半成品</t>
    <phoneticPr fontId="223" type="noConversion"/>
  </si>
  <si>
    <t>生產端</t>
    <phoneticPr fontId="223" type="noConversion"/>
  </si>
  <si>
    <t>組合端</t>
    <phoneticPr fontId="223" type="noConversion"/>
  </si>
  <si>
    <t>超用金額
排序</t>
    <phoneticPr fontId="223" type="noConversion"/>
  </si>
  <si>
    <t>報廢</t>
    <phoneticPr fontId="223" type="noConversion"/>
  </si>
  <si>
    <t>超用</t>
    <phoneticPr fontId="223" type="noConversion"/>
  </si>
  <si>
    <t>實際生產
(對比訂單需求)</t>
    <phoneticPr fontId="224" type="noConversion"/>
  </si>
  <si>
    <t>占比</t>
    <phoneticPr fontId="223" type="noConversion"/>
  </si>
  <si>
    <t>共用類報廢金額前十名半成品</t>
    <phoneticPr fontId="223" type="noConversion"/>
  </si>
  <si>
    <t>共用類總金額
占比</t>
    <phoneticPr fontId="223" type="noConversion"/>
  </si>
  <si>
    <t>※炊飯類不納入半成品廢棄計算</t>
    <phoneticPr fontId="223" type="noConversion"/>
  </si>
  <si>
    <t>※淺黃色為工廠自填項目</t>
    <phoneticPr fontId="224" type="noConversion"/>
  </si>
  <si>
    <t>取樣不穩</t>
  </si>
  <si>
    <t>1.5i取樣不穩 2.4i其他原因 3.1i原物料規格</t>
  </si>
  <si>
    <t>1.6i取樣不穩 2.3i原物料規格 3.1i其他原因</t>
  </si>
  <si>
    <t>1.5i取樣不穩 2.3i其他原因 3.2i原物料規格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</si>
</sst>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</numFmts>
  <fonts count="24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08">
    <xf numFmtId="0" fontId="0" fillId="0" borderId="0"/>
    <xf numFmtId="9" fontId="221" fillId="0" borderId="0" applyFont="0" applyFill="0" applyBorder="0" applyAlignment="0" applyProtection="0">
      <alignment vertical="center"/>
    </xf>
    <xf numFmtId="0" fontId="222" fillId="0" borderId="0"/>
    <xf numFmtId="0" fontId="220" fillId="0" borderId="0">
      <alignment vertical="center"/>
    </xf>
    <xf numFmtId="0" fontId="222" fillId="0" borderId="0"/>
    <xf numFmtId="9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21" fillId="0" borderId="0"/>
    <xf numFmtId="0" fontId="220" fillId="0" borderId="0">
      <alignment vertical="center"/>
    </xf>
    <xf numFmtId="9" fontId="222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9" fontId="231" fillId="0" borderId="0" applyFont="0" applyFill="0" applyBorder="0" applyAlignment="0" applyProtection="0">
      <alignment vertical="center"/>
    </xf>
    <xf numFmtId="9" fontId="222" fillId="0" borderId="0" applyFont="0" applyFill="0" applyBorder="0" applyAlignment="0" applyProtection="0"/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3" fontId="22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22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63">
    <xf numFmtId="0" fontId="0" fillId="0" borderId="0" xfId="0"/>
    <xf numFmtId="0" fontId="219" fillId="0" borderId="0" xfId="11">
      <alignment vertical="center"/>
    </xf>
    <xf numFmtId="177" fontId="225" fillId="0" borderId="1" xfId="7" applyNumberFormat="1" applyFont="1" applyBorder="1" applyAlignment="1">
      <alignment horizontal="center" vertical="center"/>
    </xf>
    <xf numFmtId="10" fontId="225" fillId="0" borderId="1" xfId="1" applyNumberFormat="1" applyFont="1" applyBorder="1" applyAlignment="1">
      <alignment horizontal="center" vertical="center"/>
    </xf>
    <xf numFmtId="1" fontId="219" fillId="0" borderId="0" xfId="11" applyNumberFormat="1">
      <alignment vertical="center"/>
    </xf>
    <xf numFmtId="3" fontId="219" fillId="0" borderId="0" xfId="11" applyNumberFormat="1">
      <alignment vertical="center"/>
    </xf>
    <xf numFmtId="176" fontId="219" fillId="0" borderId="0" xfId="1" applyNumberFormat="1" applyFont="1">
      <alignment vertical="center"/>
    </xf>
    <xf numFmtId="0" fontId="225" fillId="0" borderId="0" xfId="11" applyFont="1">
      <alignment vertical="center"/>
    </xf>
    <xf numFmtId="0" fontId="229" fillId="3" borderId="1" xfId="11" applyFont="1" applyFill="1" applyBorder="1" applyAlignment="1">
      <alignment horizontal="center" vertical="center" wrapText="1"/>
    </xf>
    <xf numFmtId="178" fontId="225" fillId="2" borderId="1" xfId="15" applyNumberFormat="1" applyFont="1" applyFill="1" applyBorder="1" applyAlignment="1">
      <alignment horizontal="center" vertical="center"/>
    </xf>
    <xf numFmtId="178" fontId="225" fillId="2" borderId="2" xfId="15" applyNumberFormat="1" applyFont="1" applyFill="1" applyBorder="1" applyAlignment="1">
      <alignment horizontal="center" vertical="center"/>
    </xf>
    <xf numFmtId="178" fontId="225" fillId="0" borderId="1" xfId="15" applyNumberFormat="1" applyFont="1" applyBorder="1" applyAlignment="1">
      <alignment horizontal="center" vertical="center"/>
    </xf>
    <xf numFmtId="0" fontId="225" fillId="0" borderId="1" xfId="15" applyFont="1" applyBorder="1" applyAlignment="1">
      <alignment horizontal="center" vertical="center"/>
    </xf>
    <xf numFmtId="0" fontId="210" fillId="0" borderId="0" xfId="11" applyFont="1">
      <alignment vertical="center"/>
    </xf>
    <xf numFmtId="176" fontId="225" fillId="0" borderId="1" xfId="265" applyNumberFormat="1" applyFont="1" applyBorder="1" applyAlignment="1">
      <alignment horizontal="center" vertical="center"/>
    </xf>
    <xf numFmtId="10" fontId="225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236" fillId="0" borderId="0" xfId="0" applyFont="1"/>
    <xf numFmtId="0" fontId="234" fillId="0" borderId="1" xfId="0" applyFont="1" applyBorder="1" applyAlignment="1">
      <alignment horizontal="center" vertical="center"/>
    </xf>
    <xf numFmtId="0" fontId="235" fillId="0" borderId="1" xfId="0" applyFont="1" applyBorder="1" applyAlignment="1">
      <alignment horizontal="center" vertical="center"/>
    </xf>
    <xf numFmtId="0" fontId="235" fillId="0" borderId="9" xfId="0" applyFont="1" applyBorder="1" applyAlignment="1">
      <alignment horizontal="center" vertical="center"/>
    </xf>
    <xf numFmtId="176" fontId="237" fillId="0" borderId="11" xfId="1" applyNumberFormat="1" applyFont="1" applyFill="1" applyBorder="1" applyAlignment="1">
      <alignment horizontal="center" vertical="center"/>
    </xf>
    <xf numFmtId="10" fontId="237" fillId="0" borderId="11" xfId="1" applyNumberFormat="1" applyFont="1" applyFill="1" applyBorder="1" applyAlignment="1">
      <alignment horizontal="center" vertical="center"/>
    </xf>
    <xf numFmtId="178" fontId="238" fillId="0" borderId="11" xfId="0" applyNumberFormat="1" applyFont="1" applyBorder="1" applyAlignment="1">
      <alignment horizontal="center" vertical="center"/>
    </xf>
    <xf numFmtId="10" fontId="239" fillId="7" borderId="11" xfId="9" applyNumberFormat="1" applyFont="1" applyFill="1" applyBorder="1" applyAlignment="1">
      <alignment horizontal="center" vertical="center"/>
    </xf>
    <xf numFmtId="10" fontId="238" fillId="0" borderId="11" xfId="1" applyNumberFormat="1" applyFont="1" applyFill="1" applyBorder="1" applyAlignment="1">
      <alignment horizontal="center" vertical="center"/>
    </xf>
    <xf numFmtId="178" fontId="238" fillId="2" borderId="11" xfId="708" applyNumberFormat="1" applyFont="1" applyFill="1" applyBorder="1" applyAlignment="1">
      <alignment horizontal="center" vertical="center"/>
    </xf>
    <xf numFmtId="10" fontId="238" fillId="0" borderId="12" xfId="1" applyNumberFormat="1" applyFont="1" applyBorder="1" applyAlignment="1">
      <alignment horizontal="center" vertical="center"/>
    </xf>
    <xf numFmtId="0" fontId="0" fillId="0" borderId="0" xfId="0" applyFill="1"/>
    <xf numFmtId="0" fontId="225" fillId="2" borderId="1" xfId="0" applyFont="1" applyFill="1" applyBorder="1" applyAlignment="1">
      <alignment horizontal="left" vertical="center"/>
    </xf>
    <xf numFmtId="1" fontId="225" fillId="2" borderId="1" xfId="0" applyNumberFormat="1" applyFont="1" applyFill="1" applyBorder="1" applyAlignment="1">
      <alignment horizontal="center" vertical="center"/>
    </xf>
    <xf numFmtId="0" fontId="225" fillId="2" borderId="1" xfId="0" applyNumberFormat="1" applyFont="1" applyFill="1" applyBorder="1" applyAlignment="1">
      <alignment horizontal="center" vertical="center"/>
    </xf>
    <xf numFmtId="179" fontId="225" fillId="7" borderId="1" xfId="1" applyNumberFormat="1" applyFont="1" applyFill="1" applyBorder="1" applyAlignment="1">
      <alignment horizontal="center" vertical="center"/>
    </xf>
    <xf numFmtId="10" fontId="225" fillId="0" borderId="1" xfId="1" applyNumberFormat="1" applyFont="1" applyFill="1" applyBorder="1" applyAlignment="1">
      <alignment horizontal="center" vertical="center"/>
    </xf>
    <xf numFmtId="10" fontId="242" fillId="0" borderId="1" xfId="1" applyNumberFormat="1" applyFont="1" applyFill="1" applyBorder="1" applyAlignment="1">
      <alignment horizontal="center" vertical="center"/>
    </xf>
    <xf numFmtId="0" fontId="225" fillId="2" borderId="1" xfId="7" quotePrefix="1" applyFont="1" applyFill="1" applyBorder="1" applyAlignment="1">
      <alignment horizontal="left" vertical="center" wrapText="1"/>
    </xf>
    <xf numFmtId="0" fontId="225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25" fillId="2" borderId="11" xfId="0" applyFont="1" applyFill="1" applyBorder="1" applyAlignment="1">
      <alignment horizontal="left" vertical="center"/>
    </xf>
    <xf numFmtId="1" fontId="225" fillId="2" borderId="11" xfId="0" applyNumberFormat="1" applyFont="1" applyFill="1" applyBorder="1" applyAlignment="1">
      <alignment horizontal="center" vertical="center"/>
    </xf>
    <xf numFmtId="0" fontId="225" fillId="2" borderId="11" xfId="0" applyNumberFormat="1" applyFont="1" applyFill="1" applyBorder="1" applyAlignment="1">
      <alignment horizontal="center" vertical="center"/>
    </xf>
    <xf numFmtId="179" fontId="225" fillId="7" borderId="11" xfId="1" applyNumberFormat="1" applyFont="1" applyFill="1" applyBorder="1" applyAlignment="1">
      <alignment horizontal="center" vertical="center"/>
    </xf>
    <xf numFmtId="10" fontId="225" fillId="0" borderId="11" xfId="1" applyNumberFormat="1" applyFont="1" applyFill="1" applyBorder="1" applyAlignment="1">
      <alignment horizontal="center" vertical="center"/>
    </xf>
    <xf numFmtId="10" fontId="242" fillId="0" borderId="11" xfId="1" applyNumberFormat="1" applyFont="1" applyFill="1" applyBorder="1" applyAlignment="1">
      <alignment horizontal="center" vertical="center"/>
    </xf>
    <xf numFmtId="0" fontId="225" fillId="2" borderId="11" xfId="7" quotePrefix="1" applyFont="1" applyFill="1" applyBorder="1" applyAlignment="1">
      <alignment horizontal="left" vertical="center" wrapText="1"/>
    </xf>
    <xf numFmtId="0" fontId="225" fillId="2" borderId="12" xfId="0" applyFont="1" applyFill="1" applyBorder="1" applyAlignment="1">
      <alignment horizontal="left" vertical="center"/>
    </xf>
    <xf numFmtId="0" fontId="243" fillId="0" borderId="0" xfId="0" applyFont="1" applyFill="1" applyBorder="1" applyAlignment="1">
      <alignment horizontal="left" vertical="center"/>
    </xf>
    <xf numFmtId="0" fontId="243" fillId="0" borderId="0" xfId="0" applyNumberFormat="1" applyFont="1" applyFill="1" applyBorder="1" applyAlignment="1">
      <alignment horizontal="center" vertical="center"/>
    </xf>
    <xf numFmtId="179" fontId="243" fillId="0" borderId="0" xfId="1" applyNumberFormat="1" applyFont="1" applyFill="1" applyBorder="1" applyAlignment="1">
      <alignment horizontal="center" vertical="center"/>
    </xf>
    <xf numFmtId="10" fontId="243" fillId="0" borderId="0" xfId="1" applyNumberFormat="1" applyFont="1" applyFill="1" applyBorder="1" applyAlignment="1">
      <alignment horizontal="center" vertical="center"/>
    </xf>
    <xf numFmtId="0" fontId="243" fillId="0" borderId="0" xfId="7" applyFont="1" applyFill="1" applyBorder="1" applyAlignment="1">
      <alignment horizontal="left" vertical="center" wrapText="1"/>
    </xf>
    <xf numFmtId="0" fontId="244" fillId="0" borderId="0" xfId="0" applyFont="1" applyFill="1" applyAlignment="1">
      <alignment vertical="center"/>
    </xf>
    <xf numFmtId="10" fontId="225" fillId="7" borderId="1" xfId="1" applyNumberFormat="1" applyFont="1" applyFill="1" applyBorder="1" applyAlignment="1">
      <alignment horizontal="center" vertical="center"/>
    </xf>
    <xf numFmtId="0" fontId="225" fillId="2" borderId="1" xfId="7" applyFont="1" applyFill="1" applyBorder="1" applyAlignment="1">
      <alignment horizontal="left" vertical="center" wrapText="1"/>
    </xf>
    <xf numFmtId="0" fontId="225" fillId="2" borderId="3" xfId="7" applyFont="1" applyFill="1" applyBorder="1" applyAlignment="1">
      <alignment horizontal="left" vertical="center" wrapText="1"/>
    </xf>
    <xf numFmtId="2" fontId="225" fillId="2" borderId="1" xfId="0" applyNumberFormat="1" applyFont="1" applyFill="1" applyBorder="1" applyAlignment="1">
      <alignment horizontal="center" vertical="center"/>
    </xf>
    <xf numFmtId="10" fontId="225" fillId="7" borderId="11" xfId="1" applyNumberFormat="1" applyFont="1" applyFill="1" applyBorder="1" applyAlignment="1">
      <alignment horizontal="center" vertical="center"/>
    </xf>
    <xf numFmtId="0" fontId="225" fillId="2" borderId="11" xfId="7" applyFont="1" applyFill="1" applyBorder="1" applyAlignment="1">
      <alignment horizontal="left" vertical="center" wrapText="1"/>
    </xf>
    <xf numFmtId="0" fontId="225" fillId="2" borderId="19" xfId="7" applyFont="1" applyFill="1" applyBorder="1" applyAlignment="1">
      <alignment horizontal="left" vertical="center" wrapText="1"/>
    </xf>
    <xf numFmtId="0" fontId="225" fillId="2" borderId="20" xfId="0" applyFont="1" applyFill="1" applyBorder="1" applyAlignment="1">
      <alignment horizontal="left" vertical="center"/>
    </xf>
    <xf numFmtId="0" fontId="245" fillId="0" borderId="0" xfId="0" applyFont="1"/>
    <xf numFmtId="0" fontId="246" fillId="0" borderId="0" xfId="0" applyFont="1" applyBorder="1" applyAlignment="1">
      <alignment vertical="center"/>
    </xf>
    <xf numFmtId="0" fontId="247" fillId="0" borderId="0" xfId="0" applyFont="1"/>
    <xf numFmtId="180" fontId="248" fillId="0" borderId="0" xfId="0" applyNumberFormat="1" applyFont="1"/>
    <xf numFmtId="10" fontId="225" fillId="0" borderId="9" xfId="1" applyNumberFormat="1" applyFont="1" applyBorder="1" applyAlignment="1">
      <alignment horizontal="center" vertical="center"/>
    </xf>
    <xf numFmtId="0" fontId="24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225" fillId="0" borderId="12" xfId="1" applyNumberFormat="1" applyFont="1" applyBorder="1" applyAlignment="1">
      <alignment horizontal="center" vertical="center"/>
    </xf>
    <xf numFmtId="0" fontId="233" fillId="3" borderId="1" xfId="713" applyFont="1" applyFill="1" applyBorder="1" applyAlignment="1">
      <alignment horizontal="center" vertical="center" wrapText="1"/>
    </xf>
    <xf numFmtId="178" fontId="237" fillId="2" borderId="11" xfId="715" applyNumberFormat="1" applyFont="1" applyFill="1" applyBorder="1" applyAlignment="1">
      <alignment horizontal="center" vertical="center"/>
    </xf>
    <xf numFmtId="0" fontId="228" fillId="10" borderId="1" xfId="716" applyFont="1" applyFill="1" applyBorder="1" applyAlignment="1">
      <alignment horizontal="center" vertical="center" wrapText="1"/>
    </xf>
    <xf numFmtId="0" fontId="228" fillId="11" borderId="1" xfId="716" applyFont="1" applyFill="1" applyBorder="1" applyAlignment="1">
      <alignment horizontal="center" vertical="center"/>
    </xf>
    <xf numFmtId="0" fontId="228" fillId="11" borderId="2" xfId="716" applyFont="1" applyFill="1" applyBorder="1" applyAlignment="1">
      <alignment horizontal="center" vertical="center" wrapText="1"/>
    </xf>
    <xf numFmtId="0" fontId="242" fillId="0" borderId="8" xfId="716" applyFont="1" applyFill="1" applyBorder="1" applyAlignment="1">
      <alignment horizontal="center" vertical="center"/>
    </xf>
    <xf numFmtId="180" fontId="242" fillId="0" borderId="1" xfId="716" applyNumberFormat="1" applyFont="1" applyFill="1" applyBorder="1" applyAlignment="1">
      <alignment horizontal="center" vertical="center"/>
    </xf>
    <xf numFmtId="1" fontId="242" fillId="0" borderId="1" xfId="716" applyNumberFormat="1" applyFont="1" applyFill="1" applyBorder="1" applyAlignment="1">
      <alignment horizontal="center" vertical="center"/>
    </xf>
    <xf numFmtId="0" fontId="242" fillId="7" borderId="8" xfId="716" applyFont="1" applyFill="1" applyBorder="1" applyAlignment="1">
      <alignment horizontal="center" vertical="center"/>
    </xf>
    <xf numFmtId="0" fontId="242" fillId="7" borderId="10" xfId="716" applyFont="1" applyFill="1" applyBorder="1" applyAlignment="1">
      <alignment horizontal="center" vertical="center"/>
    </xf>
    <xf numFmtId="180" fontId="242" fillId="0" borderId="11" xfId="716" applyNumberFormat="1" applyFont="1" applyFill="1" applyBorder="1" applyAlignment="1">
      <alignment horizontal="center" vertical="center"/>
    </xf>
    <xf numFmtId="1" fontId="242" fillId="0" borderId="11" xfId="716" applyNumberFormat="1" applyFont="1" applyFill="1" applyBorder="1" applyAlignment="1">
      <alignment horizontal="center" vertical="center"/>
    </xf>
    <xf numFmtId="0" fontId="243" fillId="0" borderId="0" xfId="716" applyFont="1" applyFill="1" applyBorder="1" applyAlignment="1">
      <alignment horizontal="center" vertical="center"/>
    </xf>
    <xf numFmtId="180" fontId="243" fillId="0" borderId="0" xfId="716" applyNumberFormat="1" applyFont="1" applyFill="1" applyBorder="1" applyAlignment="1">
      <alignment horizontal="center" vertical="center"/>
    </xf>
    <xf numFmtId="1" fontId="243" fillId="0" borderId="0" xfId="716" applyNumberFormat="1" applyFont="1" applyFill="1" applyBorder="1" applyAlignment="1">
      <alignment horizontal="center" vertical="center"/>
    </xf>
    <xf numFmtId="0" fontId="225" fillId="0" borderId="8" xfId="716" applyFont="1" applyFill="1" applyBorder="1" applyAlignment="1">
      <alignment horizontal="center" vertical="center"/>
    </xf>
    <xf numFmtId="0" fontId="225" fillId="7" borderId="8" xfId="716" applyFont="1" applyFill="1" applyBorder="1" applyAlignment="1">
      <alignment horizontal="center" vertical="center"/>
    </xf>
    <xf numFmtId="0" fontId="225" fillId="7" borderId="10" xfId="716" applyFont="1" applyFill="1" applyBorder="1" applyAlignment="1">
      <alignment horizontal="center" vertical="center"/>
    </xf>
    <xf numFmtId="0" fontId="225" fillId="2" borderId="18" xfId="7" quotePrefix="1" applyFont="1" applyFill="1" applyBorder="1" applyAlignment="1">
      <alignment horizontal="left" vertical="center" wrapText="1"/>
    </xf>
    <xf numFmtId="0" fontId="233" fillId="3" borderId="1" xfId="717" applyFont="1" applyFill="1" applyBorder="1" applyAlignment="1">
      <alignment horizontal="center" vertical="center" wrapText="1"/>
    </xf>
    <xf numFmtId="178" fontId="237" fillId="2" borderId="11" xfId="719" applyNumberFormat="1" applyFont="1" applyFill="1" applyBorder="1" applyAlignment="1">
      <alignment horizontal="center" vertical="center"/>
    </xf>
    <xf numFmtId="0" fontId="228" fillId="10" borderId="1" xfId="720" applyFont="1" applyFill="1" applyBorder="1" applyAlignment="1">
      <alignment horizontal="center" vertical="center" wrapText="1"/>
    </xf>
    <xf numFmtId="0" fontId="228" fillId="11" borderId="1" xfId="720" applyFont="1" applyFill="1" applyBorder="1" applyAlignment="1">
      <alignment horizontal="center" vertical="center"/>
    </xf>
    <xf numFmtId="0" fontId="228" fillId="11" borderId="2" xfId="720" applyFont="1" applyFill="1" applyBorder="1" applyAlignment="1">
      <alignment horizontal="center" vertical="center" wrapText="1"/>
    </xf>
    <xf numFmtId="0" fontId="242" fillId="0" borderId="8" xfId="720" applyFont="1" applyFill="1" applyBorder="1" applyAlignment="1">
      <alignment horizontal="center" vertical="center"/>
    </xf>
    <xf numFmtId="180" fontId="242" fillId="0" borderId="1" xfId="720" applyNumberFormat="1" applyFont="1" applyFill="1" applyBorder="1" applyAlignment="1">
      <alignment horizontal="center" vertical="center"/>
    </xf>
    <xf numFmtId="1" fontId="242" fillId="0" borderId="1" xfId="720" applyNumberFormat="1" applyFont="1" applyFill="1" applyBorder="1" applyAlignment="1">
      <alignment horizontal="center" vertical="center"/>
    </xf>
    <xf numFmtId="0" fontId="242" fillId="7" borderId="8" xfId="720" applyFont="1" applyFill="1" applyBorder="1" applyAlignment="1">
      <alignment horizontal="center" vertical="center"/>
    </xf>
    <xf numFmtId="0" fontId="242" fillId="7" borderId="10" xfId="720" applyFont="1" applyFill="1" applyBorder="1" applyAlignment="1">
      <alignment horizontal="center" vertical="center"/>
    </xf>
    <xf numFmtId="180" fontId="242" fillId="0" borderId="11" xfId="720" applyNumberFormat="1" applyFont="1" applyFill="1" applyBorder="1" applyAlignment="1">
      <alignment horizontal="center" vertical="center"/>
    </xf>
    <xf numFmtId="1" fontId="242" fillId="0" borderId="11" xfId="720" applyNumberFormat="1" applyFont="1" applyFill="1" applyBorder="1" applyAlignment="1">
      <alignment horizontal="center" vertical="center"/>
    </xf>
    <xf numFmtId="0" fontId="243" fillId="0" borderId="0" xfId="720" applyFont="1" applyFill="1" applyBorder="1" applyAlignment="1">
      <alignment horizontal="center" vertical="center"/>
    </xf>
    <xf numFmtId="180" fontId="243" fillId="0" borderId="0" xfId="720" applyNumberFormat="1" applyFont="1" applyFill="1" applyBorder="1" applyAlignment="1">
      <alignment horizontal="center" vertical="center"/>
    </xf>
    <xf numFmtId="1" fontId="243" fillId="0" borderId="0" xfId="720" applyNumberFormat="1" applyFont="1" applyFill="1" applyBorder="1" applyAlignment="1">
      <alignment horizontal="center" vertical="center"/>
    </xf>
    <xf numFmtId="0" fontId="225" fillId="0" borderId="8" xfId="720" applyFont="1" applyFill="1" applyBorder="1" applyAlignment="1">
      <alignment horizontal="center" vertical="center"/>
    </xf>
    <xf numFmtId="0" fontId="225" fillId="7" borderId="8" xfId="720" applyFont="1" applyFill="1" applyBorder="1" applyAlignment="1">
      <alignment horizontal="center" vertical="center"/>
    </xf>
    <xf numFmtId="0" fontId="225" fillId="7" borderId="10" xfId="720" applyFont="1" applyFill="1" applyBorder="1" applyAlignment="1">
      <alignment horizontal="center" vertical="center"/>
    </xf>
    <xf numFmtId="0" fontId="233" fillId="3" borderId="1" xfId="721" applyFont="1" applyFill="1" applyBorder="1" applyAlignment="1">
      <alignment horizontal="center" vertical="center" wrapText="1"/>
    </xf>
    <xf numFmtId="178" fontId="237" fillId="2" borderId="11" xfId="723" applyNumberFormat="1" applyFont="1" applyFill="1" applyBorder="1" applyAlignment="1">
      <alignment horizontal="center" vertical="center"/>
    </xf>
    <xf numFmtId="0" fontId="228" fillId="10" borderId="1" xfId="724" applyFont="1" applyFill="1" applyBorder="1" applyAlignment="1">
      <alignment horizontal="center" vertical="center" wrapText="1"/>
    </xf>
    <xf numFmtId="0" fontId="228" fillId="11" borderId="1" xfId="724" applyFont="1" applyFill="1" applyBorder="1" applyAlignment="1">
      <alignment horizontal="center" vertical="center"/>
    </xf>
    <xf numFmtId="0" fontId="228" fillId="11" borderId="2" xfId="724" applyFont="1" applyFill="1" applyBorder="1" applyAlignment="1">
      <alignment horizontal="center" vertical="center" wrapText="1"/>
    </xf>
    <xf numFmtId="0" fontId="242" fillId="0" borderId="8" xfId="724" applyFont="1" applyFill="1" applyBorder="1" applyAlignment="1">
      <alignment horizontal="center" vertical="center"/>
    </xf>
    <xf numFmtId="180" fontId="242" fillId="0" borderId="1" xfId="724" applyNumberFormat="1" applyFont="1" applyFill="1" applyBorder="1" applyAlignment="1">
      <alignment horizontal="center" vertical="center"/>
    </xf>
    <xf numFmtId="1" fontId="242" fillId="0" borderId="1" xfId="724" applyNumberFormat="1" applyFont="1" applyFill="1" applyBorder="1" applyAlignment="1">
      <alignment horizontal="center" vertical="center"/>
    </xf>
    <xf numFmtId="0" fontId="242" fillId="7" borderId="8" xfId="724" applyFont="1" applyFill="1" applyBorder="1" applyAlignment="1">
      <alignment horizontal="center" vertical="center"/>
    </xf>
    <xf numFmtId="0" fontId="242" fillId="7" borderId="10" xfId="724" applyFont="1" applyFill="1" applyBorder="1" applyAlignment="1">
      <alignment horizontal="center" vertical="center"/>
    </xf>
    <xf numFmtId="180" fontId="242" fillId="0" borderId="11" xfId="724" applyNumberFormat="1" applyFont="1" applyFill="1" applyBorder="1" applyAlignment="1">
      <alignment horizontal="center" vertical="center"/>
    </xf>
    <xf numFmtId="1" fontId="242" fillId="0" borderId="11" xfId="724" applyNumberFormat="1" applyFont="1" applyFill="1" applyBorder="1" applyAlignment="1">
      <alignment horizontal="center" vertical="center"/>
    </xf>
    <xf numFmtId="0" fontId="243" fillId="0" borderId="0" xfId="724" applyFont="1" applyFill="1" applyBorder="1" applyAlignment="1">
      <alignment horizontal="center" vertical="center"/>
    </xf>
    <xf numFmtId="180" fontId="243" fillId="0" borderId="0" xfId="724" applyNumberFormat="1" applyFont="1" applyFill="1" applyBorder="1" applyAlignment="1">
      <alignment horizontal="center" vertical="center"/>
    </xf>
    <xf numFmtId="1" fontId="243" fillId="0" borderId="0" xfId="724" applyNumberFormat="1" applyFont="1" applyFill="1" applyBorder="1" applyAlignment="1">
      <alignment horizontal="center" vertical="center"/>
    </xf>
    <xf numFmtId="0" fontId="225" fillId="0" borderId="8" xfId="724" applyFont="1" applyFill="1" applyBorder="1" applyAlignment="1">
      <alignment horizontal="center" vertical="center"/>
    </xf>
    <xf numFmtId="0" fontId="225" fillId="7" borderId="8" xfId="724" applyFont="1" applyFill="1" applyBorder="1" applyAlignment="1">
      <alignment horizontal="center" vertical="center"/>
    </xf>
    <xf numFmtId="0" fontId="225" fillId="7" borderId="10" xfId="724" applyFont="1" applyFill="1" applyBorder="1" applyAlignment="1">
      <alignment horizontal="center" vertical="center"/>
    </xf>
    <xf numFmtId="0" fontId="233" fillId="3" borderId="1" xfId="725" applyFont="1" applyFill="1" applyBorder="1" applyAlignment="1">
      <alignment horizontal="center" vertical="center" wrapText="1"/>
    </xf>
    <xf numFmtId="178" fontId="237" fillId="2" borderId="11" xfId="727" applyNumberFormat="1" applyFont="1" applyFill="1" applyBorder="1" applyAlignment="1">
      <alignment horizontal="center" vertical="center"/>
    </xf>
    <xf numFmtId="0" fontId="228" fillId="10" borderId="1" xfId="728" applyFont="1" applyFill="1" applyBorder="1" applyAlignment="1">
      <alignment horizontal="center" vertical="center" wrapText="1"/>
    </xf>
    <xf numFmtId="0" fontId="228" fillId="11" borderId="1" xfId="728" applyFont="1" applyFill="1" applyBorder="1" applyAlignment="1">
      <alignment horizontal="center" vertical="center"/>
    </xf>
    <xf numFmtId="0" fontId="228" fillId="11" borderId="2" xfId="728" applyFont="1" applyFill="1" applyBorder="1" applyAlignment="1">
      <alignment horizontal="center" vertical="center" wrapText="1"/>
    </xf>
    <xf numFmtId="0" fontId="242" fillId="0" borderId="8" xfId="728" applyFont="1" applyFill="1" applyBorder="1" applyAlignment="1">
      <alignment horizontal="center" vertical="center"/>
    </xf>
    <xf numFmtId="180" fontId="242" fillId="0" borderId="1" xfId="728" applyNumberFormat="1" applyFont="1" applyFill="1" applyBorder="1" applyAlignment="1">
      <alignment horizontal="center" vertical="center"/>
    </xf>
    <xf numFmtId="1" fontId="242" fillId="0" borderId="1" xfId="728" applyNumberFormat="1" applyFont="1" applyFill="1" applyBorder="1" applyAlignment="1">
      <alignment horizontal="center" vertical="center"/>
    </xf>
    <xf numFmtId="0" fontId="242" fillId="7" borderId="8" xfId="728" applyFont="1" applyFill="1" applyBorder="1" applyAlignment="1">
      <alignment horizontal="center" vertical="center"/>
    </xf>
    <xf numFmtId="0" fontId="242" fillId="7" borderId="10" xfId="728" applyFont="1" applyFill="1" applyBorder="1" applyAlignment="1">
      <alignment horizontal="center" vertical="center"/>
    </xf>
    <xf numFmtId="180" fontId="242" fillId="0" borderId="11" xfId="728" applyNumberFormat="1" applyFont="1" applyFill="1" applyBorder="1" applyAlignment="1">
      <alignment horizontal="center" vertical="center"/>
    </xf>
    <xf numFmtId="1" fontId="242" fillId="0" borderId="11" xfId="728" applyNumberFormat="1" applyFont="1" applyFill="1" applyBorder="1" applyAlignment="1">
      <alignment horizontal="center" vertical="center"/>
    </xf>
    <xf numFmtId="0" fontId="243" fillId="0" borderId="0" xfId="728" applyFont="1" applyFill="1" applyBorder="1" applyAlignment="1">
      <alignment horizontal="center" vertical="center"/>
    </xf>
    <xf numFmtId="180" fontId="243" fillId="0" borderId="0" xfId="728" applyNumberFormat="1" applyFont="1" applyFill="1" applyBorder="1" applyAlignment="1">
      <alignment horizontal="center" vertical="center"/>
    </xf>
    <xf numFmtId="1" fontId="243" fillId="0" borderId="0" xfId="728" applyNumberFormat="1" applyFont="1" applyFill="1" applyBorder="1" applyAlignment="1">
      <alignment horizontal="center" vertical="center"/>
    </xf>
    <xf numFmtId="0" fontId="225" fillId="0" borderId="8" xfId="728" applyFont="1" applyFill="1" applyBorder="1" applyAlignment="1">
      <alignment horizontal="center" vertical="center"/>
    </xf>
    <xf numFmtId="0" fontId="225" fillId="7" borderId="8" xfId="728" applyFont="1" applyFill="1" applyBorder="1" applyAlignment="1">
      <alignment horizontal="center" vertical="center"/>
    </xf>
    <xf numFmtId="0" fontId="225" fillId="7" borderId="10" xfId="728" applyFont="1" applyFill="1" applyBorder="1" applyAlignment="1">
      <alignment horizontal="center" vertical="center"/>
    </xf>
    <xf numFmtId="0" fontId="233" fillId="3" borderId="1" xfId="729" applyFont="1" applyFill="1" applyBorder="1" applyAlignment="1">
      <alignment horizontal="center" vertical="center" wrapText="1"/>
    </xf>
    <xf numFmtId="178" fontId="237" fillId="2" borderId="11" xfId="731" applyNumberFormat="1" applyFont="1" applyFill="1" applyBorder="1" applyAlignment="1">
      <alignment horizontal="center" vertical="center"/>
    </xf>
    <xf numFmtId="0" fontId="228" fillId="10" borderId="1" xfId="732" applyFont="1" applyFill="1" applyBorder="1" applyAlignment="1">
      <alignment horizontal="center" vertical="center" wrapText="1"/>
    </xf>
    <xf numFmtId="0" fontId="228" fillId="11" borderId="1" xfId="732" applyFont="1" applyFill="1" applyBorder="1" applyAlignment="1">
      <alignment horizontal="center" vertical="center"/>
    </xf>
    <xf numFmtId="0" fontId="228" fillId="11" borderId="2" xfId="732" applyFont="1" applyFill="1" applyBorder="1" applyAlignment="1">
      <alignment horizontal="center" vertical="center" wrapText="1"/>
    </xf>
    <xf numFmtId="0" fontId="242" fillId="0" borderId="8" xfId="732" applyFont="1" applyFill="1" applyBorder="1" applyAlignment="1">
      <alignment horizontal="center" vertical="center"/>
    </xf>
    <xf numFmtId="180" fontId="242" fillId="0" borderId="1" xfId="732" applyNumberFormat="1" applyFont="1" applyFill="1" applyBorder="1" applyAlignment="1">
      <alignment horizontal="center" vertical="center"/>
    </xf>
    <xf numFmtId="1" fontId="242" fillId="0" borderId="1" xfId="732" applyNumberFormat="1" applyFont="1" applyFill="1" applyBorder="1" applyAlignment="1">
      <alignment horizontal="center" vertical="center"/>
    </xf>
    <xf numFmtId="0" fontId="242" fillId="7" borderId="8" xfId="732" applyFont="1" applyFill="1" applyBorder="1" applyAlignment="1">
      <alignment horizontal="center" vertical="center"/>
    </xf>
    <xf numFmtId="0" fontId="242" fillId="7" borderId="10" xfId="732" applyFont="1" applyFill="1" applyBorder="1" applyAlignment="1">
      <alignment horizontal="center" vertical="center"/>
    </xf>
    <xf numFmtId="180" fontId="242" fillId="0" borderId="11" xfId="732" applyNumberFormat="1" applyFont="1" applyFill="1" applyBorder="1" applyAlignment="1">
      <alignment horizontal="center" vertical="center"/>
    </xf>
    <xf numFmtId="1" fontId="242" fillId="0" borderId="11" xfId="732" applyNumberFormat="1" applyFont="1" applyFill="1" applyBorder="1" applyAlignment="1">
      <alignment horizontal="center" vertical="center"/>
    </xf>
    <xf numFmtId="0" fontId="243" fillId="0" borderId="0" xfId="732" applyFont="1" applyFill="1" applyBorder="1" applyAlignment="1">
      <alignment horizontal="center" vertical="center"/>
    </xf>
    <xf numFmtId="180" fontId="243" fillId="0" borderId="0" xfId="732" applyNumberFormat="1" applyFont="1" applyFill="1" applyBorder="1" applyAlignment="1">
      <alignment horizontal="center" vertical="center"/>
    </xf>
    <xf numFmtId="1" fontId="243" fillId="0" borderId="0" xfId="732" applyNumberFormat="1" applyFont="1" applyFill="1" applyBorder="1" applyAlignment="1">
      <alignment horizontal="center" vertical="center"/>
    </xf>
    <xf numFmtId="0" fontId="225" fillId="0" borderId="8" xfId="732" applyFont="1" applyFill="1" applyBorder="1" applyAlignment="1">
      <alignment horizontal="center" vertical="center"/>
    </xf>
    <xf numFmtId="0" fontId="225" fillId="7" borderId="8" xfId="732" applyFont="1" applyFill="1" applyBorder="1" applyAlignment="1">
      <alignment horizontal="center" vertical="center"/>
    </xf>
    <xf numFmtId="0" fontId="225" fillId="7" borderId="10" xfId="732" applyFont="1" applyFill="1" applyBorder="1" applyAlignment="1">
      <alignment horizontal="center" vertical="center"/>
    </xf>
    <xf numFmtId="0" fontId="233" fillId="3" borderId="1" xfId="733" applyFont="1" applyFill="1" applyBorder="1" applyAlignment="1">
      <alignment horizontal="center" vertical="center" wrapText="1"/>
    </xf>
    <xf numFmtId="178" fontId="237" fillId="2" borderId="11" xfId="735" applyNumberFormat="1" applyFont="1" applyFill="1" applyBorder="1" applyAlignment="1">
      <alignment horizontal="center" vertical="center"/>
    </xf>
    <xf numFmtId="0" fontId="228" fillId="10" borderId="1" xfId="736" applyFont="1" applyFill="1" applyBorder="1" applyAlignment="1">
      <alignment horizontal="center" vertical="center" wrapText="1"/>
    </xf>
    <xf numFmtId="0" fontId="228" fillId="11" borderId="1" xfId="736" applyFont="1" applyFill="1" applyBorder="1" applyAlignment="1">
      <alignment horizontal="center" vertical="center"/>
    </xf>
    <xf numFmtId="0" fontId="228" fillId="11" borderId="2" xfId="736" applyFont="1" applyFill="1" applyBorder="1" applyAlignment="1">
      <alignment horizontal="center" vertical="center" wrapText="1"/>
    </xf>
    <xf numFmtId="0" fontId="242" fillId="0" borderId="8" xfId="736" applyFont="1" applyFill="1" applyBorder="1" applyAlignment="1">
      <alignment horizontal="center" vertical="center"/>
    </xf>
    <xf numFmtId="180" fontId="242" fillId="0" borderId="1" xfId="736" applyNumberFormat="1" applyFont="1" applyFill="1" applyBorder="1" applyAlignment="1">
      <alignment horizontal="center" vertical="center"/>
    </xf>
    <xf numFmtId="1" fontId="242" fillId="0" borderId="1" xfId="736" applyNumberFormat="1" applyFont="1" applyFill="1" applyBorder="1" applyAlignment="1">
      <alignment horizontal="center" vertical="center"/>
    </xf>
    <xf numFmtId="0" fontId="242" fillId="7" borderId="8" xfId="736" applyFont="1" applyFill="1" applyBorder="1" applyAlignment="1">
      <alignment horizontal="center" vertical="center"/>
    </xf>
    <xf numFmtId="0" fontId="242" fillId="7" borderId="10" xfId="736" applyFont="1" applyFill="1" applyBorder="1" applyAlignment="1">
      <alignment horizontal="center" vertical="center"/>
    </xf>
    <xf numFmtId="180" fontId="242" fillId="0" borderId="11" xfId="736" applyNumberFormat="1" applyFont="1" applyFill="1" applyBorder="1" applyAlignment="1">
      <alignment horizontal="center" vertical="center"/>
    </xf>
    <xf numFmtId="1" fontId="242" fillId="0" borderId="11" xfId="736" applyNumberFormat="1" applyFont="1" applyFill="1" applyBorder="1" applyAlignment="1">
      <alignment horizontal="center" vertical="center"/>
    </xf>
    <xf numFmtId="0" fontId="243" fillId="0" borderId="0" xfId="736" applyFont="1" applyFill="1" applyBorder="1" applyAlignment="1">
      <alignment horizontal="center" vertical="center"/>
    </xf>
    <xf numFmtId="180" fontId="243" fillId="0" borderId="0" xfId="736" applyNumberFormat="1" applyFont="1" applyFill="1" applyBorder="1" applyAlignment="1">
      <alignment horizontal="center" vertical="center"/>
    </xf>
    <xf numFmtId="1" fontId="243" fillId="0" borderId="0" xfId="736" applyNumberFormat="1" applyFont="1" applyFill="1" applyBorder="1" applyAlignment="1">
      <alignment horizontal="center" vertical="center"/>
    </xf>
    <xf numFmtId="0" fontId="225" fillId="0" borderId="8" xfId="736" applyFont="1" applyFill="1" applyBorder="1" applyAlignment="1">
      <alignment horizontal="center" vertical="center"/>
    </xf>
    <xf numFmtId="0" fontId="225" fillId="7" borderId="8" xfId="736" applyFont="1" applyFill="1" applyBorder="1" applyAlignment="1">
      <alignment horizontal="center" vertical="center"/>
    </xf>
    <xf numFmtId="0" fontId="225" fillId="7" borderId="10" xfId="736" applyFont="1" applyFill="1" applyBorder="1" applyAlignment="1">
      <alignment horizontal="center" vertical="center"/>
    </xf>
    <xf numFmtId="0" fontId="233" fillId="3" borderId="1" xfId="737" applyFont="1" applyFill="1" applyBorder="1" applyAlignment="1">
      <alignment horizontal="center" vertical="center" wrapText="1"/>
    </xf>
    <xf numFmtId="178" fontId="237" fillId="2" borderId="11" xfId="739" applyNumberFormat="1" applyFont="1" applyFill="1" applyBorder="1" applyAlignment="1">
      <alignment horizontal="center" vertical="center"/>
    </xf>
    <xf numFmtId="0" fontId="228" fillId="10" borderId="1" xfId="740" applyFont="1" applyFill="1" applyBorder="1" applyAlignment="1">
      <alignment horizontal="center" vertical="center" wrapText="1"/>
    </xf>
    <xf numFmtId="0" fontId="228" fillId="11" borderId="1" xfId="740" applyFont="1" applyFill="1" applyBorder="1" applyAlignment="1">
      <alignment horizontal="center" vertical="center"/>
    </xf>
    <xf numFmtId="0" fontId="228" fillId="11" borderId="2" xfId="740" applyFont="1" applyFill="1" applyBorder="1" applyAlignment="1">
      <alignment horizontal="center" vertical="center" wrapText="1"/>
    </xf>
    <xf numFmtId="0" fontId="242" fillId="0" borderId="8" xfId="740" applyFont="1" applyFill="1" applyBorder="1" applyAlignment="1">
      <alignment horizontal="center" vertical="center"/>
    </xf>
    <xf numFmtId="180" fontId="242" fillId="0" borderId="1" xfId="740" applyNumberFormat="1" applyFont="1" applyFill="1" applyBorder="1" applyAlignment="1">
      <alignment horizontal="center" vertical="center"/>
    </xf>
    <xf numFmtId="1" fontId="242" fillId="0" borderId="1" xfId="740" applyNumberFormat="1" applyFont="1" applyFill="1" applyBorder="1" applyAlignment="1">
      <alignment horizontal="center" vertical="center"/>
    </xf>
    <xf numFmtId="0" fontId="242" fillId="7" borderId="8" xfId="740" applyFont="1" applyFill="1" applyBorder="1" applyAlignment="1">
      <alignment horizontal="center" vertical="center"/>
    </xf>
    <xf numFmtId="0" fontId="242" fillId="7" borderId="10" xfId="740" applyFont="1" applyFill="1" applyBorder="1" applyAlignment="1">
      <alignment horizontal="center" vertical="center"/>
    </xf>
    <xf numFmtId="180" fontId="242" fillId="0" borderId="11" xfId="740" applyNumberFormat="1" applyFont="1" applyFill="1" applyBorder="1" applyAlignment="1">
      <alignment horizontal="center" vertical="center"/>
    </xf>
    <xf numFmtId="1" fontId="242" fillId="0" borderId="11" xfId="740" applyNumberFormat="1" applyFont="1" applyFill="1" applyBorder="1" applyAlignment="1">
      <alignment horizontal="center" vertical="center"/>
    </xf>
    <xf numFmtId="0" fontId="243" fillId="0" borderId="0" xfId="740" applyFont="1" applyFill="1" applyBorder="1" applyAlignment="1">
      <alignment horizontal="center" vertical="center"/>
    </xf>
    <xf numFmtId="180" fontId="243" fillId="0" borderId="0" xfId="740" applyNumberFormat="1" applyFont="1" applyFill="1" applyBorder="1" applyAlignment="1">
      <alignment horizontal="center" vertical="center"/>
    </xf>
    <xf numFmtId="1" fontId="243" fillId="0" borderId="0" xfId="740" applyNumberFormat="1" applyFont="1" applyFill="1" applyBorder="1" applyAlignment="1">
      <alignment horizontal="center" vertical="center"/>
    </xf>
    <xf numFmtId="0" fontId="225" fillId="0" borderId="8" xfId="740" applyFont="1" applyFill="1" applyBorder="1" applyAlignment="1">
      <alignment horizontal="center" vertical="center"/>
    </xf>
    <xf numFmtId="0" fontId="225" fillId="7" borderId="8" xfId="740" applyFont="1" applyFill="1" applyBorder="1" applyAlignment="1">
      <alignment horizontal="center" vertical="center"/>
    </xf>
    <xf numFmtId="0" fontId="225" fillId="7" borderId="10" xfId="740" applyFont="1" applyFill="1" applyBorder="1" applyAlignment="1">
      <alignment horizontal="center" vertical="center"/>
    </xf>
    <xf numFmtId="0" fontId="225" fillId="7" borderId="10" xfId="741" applyFont="1" applyFill="1" applyBorder="1" applyAlignment="1">
      <alignment horizontal="center" vertical="center"/>
    </xf>
    <xf numFmtId="0" fontId="225" fillId="7" borderId="8" xfId="741" applyFont="1" applyFill="1" applyBorder="1" applyAlignment="1">
      <alignment horizontal="center" vertical="center"/>
    </xf>
    <xf numFmtId="0" fontId="225" fillId="0" borderId="8" xfId="741" applyFont="1" applyFill="1" applyBorder="1" applyAlignment="1">
      <alignment horizontal="center" vertical="center"/>
    </xf>
    <xf numFmtId="180" fontId="242" fillId="0" borderId="11" xfId="741" applyNumberFormat="1" applyFont="1" applyFill="1" applyBorder="1" applyAlignment="1">
      <alignment horizontal="center" vertical="center"/>
    </xf>
    <xf numFmtId="1" fontId="242" fillId="0" borderId="11" xfId="741" applyNumberFormat="1" applyFont="1" applyFill="1" applyBorder="1" applyAlignment="1">
      <alignment horizontal="center" vertical="center"/>
    </xf>
    <xf numFmtId="0" fontId="242" fillId="7" borderId="10" xfId="741" applyFont="1" applyFill="1" applyBorder="1" applyAlignment="1">
      <alignment horizontal="center" vertical="center"/>
    </xf>
    <xf numFmtId="180" fontId="242" fillId="0" borderId="1" xfId="741" applyNumberFormat="1" applyFont="1" applyFill="1" applyBorder="1" applyAlignment="1">
      <alignment horizontal="center" vertical="center"/>
    </xf>
    <xf numFmtId="1" fontId="242" fillId="0" borderId="1" xfId="741" applyNumberFormat="1" applyFont="1" applyFill="1" applyBorder="1" applyAlignment="1">
      <alignment horizontal="center" vertical="center"/>
    </xf>
    <xf numFmtId="0" fontId="242" fillId="7" borderId="8" xfId="741" applyFont="1" applyFill="1" applyBorder="1" applyAlignment="1">
      <alignment horizontal="center" vertical="center"/>
    </xf>
    <xf numFmtId="0" fontId="242" fillId="0" borderId="8" xfId="741" applyFont="1" applyFill="1" applyBorder="1" applyAlignment="1">
      <alignment horizontal="center" vertical="center"/>
    </xf>
    <xf numFmtId="0" fontId="228" fillId="11" borderId="1" xfId="741" applyFont="1" applyFill="1" applyBorder="1" applyAlignment="1">
      <alignment horizontal="center" vertical="center"/>
    </xf>
    <xf numFmtId="0" fontId="228" fillId="11" borderId="2" xfId="741" applyFont="1" applyFill="1" applyBorder="1" applyAlignment="1">
      <alignment horizontal="center" vertical="center" wrapText="1"/>
    </xf>
    <xf numFmtId="0" fontId="228" fillId="10" borderId="1" xfId="741" applyFont="1" applyFill="1" applyBorder="1" applyAlignment="1">
      <alignment horizontal="center" vertical="center" wrapText="1"/>
    </xf>
    <xf numFmtId="1" fontId="243" fillId="0" borderId="0" xfId="741" applyNumberFormat="1" applyFont="1" applyFill="1" applyBorder="1" applyAlignment="1">
      <alignment horizontal="center" vertical="center"/>
    </xf>
    <xf numFmtId="180" fontId="243" fillId="0" borderId="0" xfId="741" applyNumberFormat="1" applyFont="1" applyFill="1" applyBorder="1" applyAlignment="1">
      <alignment horizontal="center" vertical="center"/>
    </xf>
    <xf numFmtId="0" fontId="243" fillId="0" borderId="0" xfId="741" applyFont="1" applyFill="1" applyBorder="1" applyAlignment="1">
      <alignment horizontal="center" vertical="center"/>
    </xf>
    <xf numFmtId="178" fontId="237" fillId="2" borderId="11" xfId="742" applyNumberFormat="1" applyFont="1" applyFill="1" applyBorder="1" applyAlignment="1">
      <alignment horizontal="center" vertical="center"/>
    </xf>
    <xf numFmtId="0" fontId="233" fillId="3" borderId="1" xfId="743" applyFont="1" applyFill="1" applyBorder="1" applyAlignment="1">
      <alignment horizontal="center" vertical="center" wrapText="1"/>
    </xf>
    <xf numFmtId="0" fontId="233" fillId="3" borderId="1" xfId="745" applyFont="1" applyFill="1" applyBorder="1" applyAlignment="1">
      <alignment horizontal="center" vertical="center" wrapText="1"/>
    </xf>
    <xf numFmtId="178" fontId="237" fillId="2" borderId="11" xfId="747" applyNumberFormat="1" applyFont="1" applyFill="1" applyBorder="1" applyAlignment="1">
      <alignment horizontal="center" vertical="center"/>
    </xf>
    <xf numFmtId="0" fontId="228" fillId="10" borderId="1" xfId="748" applyFont="1" applyFill="1" applyBorder="1" applyAlignment="1">
      <alignment horizontal="center" vertical="center" wrapText="1"/>
    </xf>
    <xf numFmtId="0" fontId="228" fillId="11" borderId="1" xfId="748" applyFont="1" applyFill="1" applyBorder="1" applyAlignment="1">
      <alignment horizontal="center" vertical="center"/>
    </xf>
    <xf numFmtId="0" fontId="228" fillId="11" borderId="2" xfId="748" applyFont="1" applyFill="1" applyBorder="1" applyAlignment="1">
      <alignment horizontal="center" vertical="center" wrapText="1"/>
    </xf>
    <xf numFmtId="0" fontId="242" fillId="0" borderId="8" xfId="748" applyFont="1" applyFill="1" applyBorder="1" applyAlignment="1">
      <alignment horizontal="center" vertical="center"/>
    </xf>
    <xf numFmtId="180" fontId="242" fillId="0" borderId="1" xfId="748" applyNumberFormat="1" applyFont="1" applyFill="1" applyBorder="1" applyAlignment="1">
      <alignment horizontal="center" vertical="center"/>
    </xf>
    <xf numFmtId="1" fontId="242" fillId="0" borderId="1" xfId="748" applyNumberFormat="1" applyFont="1" applyFill="1" applyBorder="1" applyAlignment="1">
      <alignment horizontal="center" vertical="center"/>
    </xf>
    <xf numFmtId="0" fontId="242" fillId="7" borderId="8" xfId="748" applyFont="1" applyFill="1" applyBorder="1" applyAlignment="1">
      <alignment horizontal="center" vertical="center"/>
    </xf>
    <xf numFmtId="0" fontId="242" fillId="7" borderId="10" xfId="748" applyFont="1" applyFill="1" applyBorder="1" applyAlignment="1">
      <alignment horizontal="center" vertical="center"/>
    </xf>
    <xf numFmtId="180" fontId="242" fillId="0" borderId="11" xfId="748" applyNumberFormat="1" applyFont="1" applyFill="1" applyBorder="1" applyAlignment="1">
      <alignment horizontal="center" vertical="center"/>
    </xf>
    <xf numFmtId="1" fontId="242" fillId="0" borderId="11" xfId="748" applyNumberFormat="1" applyFont="1" applyFill="1" applyBorder="1" applyAlignment="1">
      <alignment horizontal="center" vertical="center"/>
    </xf>
    <xf numFmtId="0" fontId="243" fillId="0" borderId="0" xfId="748" applyFont="1" applyFill="1" applyBorder="1" applyAlignment="1">
      <alignment horizontal="center" vertical="center"/>
    </xf>
    <xf numFmtId="180" fontId="243" fillId="0" borderId="0" xfId="748" applyNumberFormat="1" applyFont="1" applyFill="1" applyBorder="1" applyAlignment="1">
      <alignment horizontal="center" vertical="center"/>
    </xf>
    <xf numFmtId="1" fontId="243" fillId="0" borderId="0" xfId="748" applyNumberFormat="1" applyFont="1" applyFill="1" applyBorder="1" applyAlignment="1">
      <alignment horizontal="center" vertical="center"/>
    </xf>
    <xf numFmtId="0" fontId="225" fillId="0" borderId="8" xfId="748" applyFont="1" applyFill="1" applyBorder="1" applyAlignment="1">
      <alignment horizontal="center" vertical="center"/>
    </xf>
    <xf numFmtId="0" fontId="225" fillId="7" borderId="8" xfId="748" applyFont="1" applyFill="1" applyBorder="1" applyAlignment="1">
      <alignment horizontal="center" vertical="center"/>
    </xf>
    <xf numFmtId="0" fontId="225" fillId="7" borderId="10" xfId="748" applyFont="1" applyFill="1" applyBorder="1" applyAlignment="1">
      <alignment horizontal="center" vertical="center"/>
    </xf>
    <xf numFmtId="0" fontId="225" fillId="7" borderId="10" xfId="757" applyFont="1" applyFill="1" applyBorder="1" applyAlignment="1">
      <alignment horizontal="center" vertical="center"/>
    </xf>
    <xf numFmtId="0" fontId="225" fillId="7" borderId="8" xfId="757" applyFont="1" applyFill="1" applyBorder="1" applyAlignment="1">
      <alignment horizontal="center" vertical="center"/>
    </xf>
    <xf numFmtId="0" fontId="225" fillId="0" borderId="8" xfId="757" applyFont="1" applyFill="1" applyBorder="1" applyAlignment="1">
      <alignment horizontal="center" vertical="center"/>
    </xf>
    <xf numFmtId="180" fontId="242" fillId="0" borderId="11" xfId="757" applyNumberFormat="1" applyFont="1" applyFill="1" applyBorder="1" applyAlignment="1">
      <alignment horizontal="center" vertical="center"/>
    </xf>
    <xf numFmtId="1" fontId="242" fillId="0" borderId="11" xfId="757" applyNumberFormat="1" applyFont="1" applyFill="1" applyBorder="1" applyAlignment="1">
      <alignment horizontal="center" vertical="center"/>
    </xf>
    <xf numFmtId="0" fontId="242" fillId="7" borderId="10" xfId="757" applyFont="1" applyFill="1" applyBorder="1" applyAlignment="1">
      <alignment horizontal="center" vertical="center"/>
    </xf>
    <xf numFmtId="180" fontId="242" fillId="0" borderId="1" xfId="757" applyNumberFormat="1" applyFont="1" applyFill="1" applyBorder="1" applyAlignment="1">
      <alignment horizontal="center" vertical="center"/>
    </xf>
    <xf numFmtId="1" fontId="242" fillId="0" borderId="1" xfId="757" applyNumberFormat="1" applyFont="1" applyFill="1" applyBorder="1" applyAlignment="1">
      <alignment horizontal="center" vertical="center"/>
    </xf>
    <xf numFmtId="0" fontId="242" fillId="7" borderId="8" xfId="757" applyFont="1" applyFill="1" applyBorder="1" applyAlignment="1">
      <alignment horizontal="center" vertical="center"/>
    </xf>
    <xf numFmtId="0" fontId="242" fillId="0" borderId="8" xfId="757" applyFont="1" applyFill="1" applyBorder="1" applyAlignment="1">
      <alignment horizontal="center" vertical="center"/>
    </xf>
    <xf numFmtId="0" fontId="228" fillId="11" borderId="1" xfId="757" applyFont="1" applyFill="1" applyBorder="1" applyAlignment="1">
      <alignment horizontal="center" vertical="center"/>
    </xf>
    <xf numFmtId="0" fontId="228" fillId="11" borderId="2" xfId="757" applyFont="1" applyFill="1" applyBorder="1" applyAlignment="1">
      <alignment horizontal="center" vertical="center" wrapText="1"/>
    </xf>
    <xf numFmtId="0" fontId="228" fillId="10" borderId="1" xfId="757" applyFont="1" applyFill="1" applyBorder="1" applyAlignment="1">
      <alignment horizontal="center" vertical="center" wrapText="1"/>
    </xf>
    <xf numFmtId="1" fontId="243" fillId="0" borderId="0" xfId="757" applyNumberFormat="1" applyFont="1" applyFill="1" applyBorder="1" applyAlignment="1">
      <alignment horizontal="center" vertical="center"/>
    </xf>
    <xf numFmtId="180" fontId="243" fillId="0" borderId="0" xfId="757" applyNumberFormat="1" applyFont="1" applyFill="1" applyBorder="1" applyAlignment="1">
      <alignment horizontal="center" vertical="center"/>
    </xf>
    <xf numFmtId="0" fontId="243" fillId="0" borderId="0" xfId="757" applyFont="1" applyFill="1" applyBorder="1" applyAlignment="1">
      <alignment horizontal="center" vertical="center"/>
    </xf>
    <xf numFmtId="178" fontId="237" fillId="2" borderId="11" xfId="758" applyNumberFormat="1" applyFont="1" applyFill="1" applyBorder="1" applyAlignment="1">
      <alignment horizontal="center" vertical="center"/>
    </xf>
    <xf numFmtId="0" fontId="233" fillId="3" borderId="1" xfId="759" applyFont="1" applyFill="1" applyBorder="1" applyAlignment="1">
      <alignment horizontal="center" vertical="center" wrapText="1"/>
    </xf>
    <xf numFmtId="0" fontId="225" fillId="7" borderId="10" xfId="761" applyFont="1" applyFill="1" applyBorder="1" applyAlignment="1">
      <alignment horizontal="center" vertical="center"/>
    </xf>
    <xf numFmtId="0" fontId="225" fillId="7" borderId="8" xfId="761" applyFont="1" applyFill="1" applyBorder="1" applyAlignment="1">
      <alignment horizontal="center" vertical="center"/>
    </xf>
    <xf numFmtId="0" fontId="225" fillId="0" borderId="8" xfId="761" applyFont="1" applyFill="1" applyBorder="1" applyAlignment="1">
      <alignment horizontal="center" vertical="center"/>
    </xf>
    <xf numFmtId="180" fontId="242" fillId="0" borderId="11" xfId="761" applyNumberFormat="1" applyFont="1" applyFill="1" applyBorder="1" applyAlignment="1">
      <alignment horizontal="center" vertical="center"/>
    </xf>
    <xf numFmtId="1" fontId="242" fillId="0" borderId="11" xfId="761" applyNumberFormat="1" applyFont="1" applyFill="1" applyBorder="1" applyAlignment="1">
      <alignment horizontal="center" vertical="center"/>
    </xf>
    <xf numFmtId="0" fontId="242" fillId="7" borderId="10" xfId="761" applyFont="1" applyFill="1" applyBorder="1" applyAlignment="1">
      <alignment horizontal="center" vertical="center"/>
    </xf>
    <xf numFmtId="180" fontId="242" fillId="0" borderId="1" xfId="761" applyNumberFormat="1" applyFont="1" applyFill="1" applyBorder="1" applyAlignment="1">
      <alignment horizontal="center" vertical="center"/>
    </xf>
    <xf numFmtId="1" fontId="242" fillId="0" borderId="1" xfId="761" applyNumberFormat="1" applyFont="1" applyFill="1" applyBorder="1" applyAlignment="1">
      <alignment horizontal="center" vertical="center"/>
    </xf>
    <xf numFmtId="0" fontId="242" fillId="7" borderId="8" xfId="761" applyFont="1" applyFill="1" applyBorder="1" applyAlignment="1">
      <alignment horizontal="center" vertical="center"/>
    </xf>
    <xf numFmtId="0" fontId="242" fillId="0" borderId="8" xfId="761" applyFont="1" applyFill="1" applyBorder="1" applyAlignment="1">
      <alignment horizontal="center" vertical="center"/>
    </xf>
    <xf numFmtId="0" fontId="228" fillId="11" borderId="1" xfId="761" applyFont="1" applyFill="1" applyBorder="1" applyAlignment="1">
      <alignment horizontal="center" vertical="center"/>
    </xf>
    <xf numFmtId="0" fontId="228" fillId="11" borderId="2" xfId="761" applyFont="1" applyFill="1" applyBorder="1" applyAlignment="1">
      <alignment horizontal="center" vertical="center" wrapText="1"/>
    </xf>
    <xf numFmtId="0" fontId="228" fillId="10" borderId="1" xfId="761" applyFont="1" applyFill="1" applyBorder="1" applyAlignment="1">
      <alignment horizontal="center" vertical="center" wrapText="1"/>
    </xf>
    <xf numFmtId="1" fontId="243" fillId="0" borderId="0" xfId="761" applyNumberFormat="1" applyFont="1" applyFill="1" applyBorder="1" applyAlignment="1">
      <alignment horizontal="center" vertical="center"/>
    </xf>
    <xf numFmtId="180" fontId="243" fillId="0" borderId="0" xfId="761" applyNumberFormat="1" applyFont="1" applyFill="1" applyBorder="1" applyAlignment="1">
      <alignment horizontal="center" vertical="center"/>
    </xf>
    <xf numFmtId="0" fontId="243" fillId="0" borderId="0" xfId="761" applyFont="1" applyFill="1" applyBorder="1" applyAlignment="1">
      <alignment horizontal="center" vertical="center"/>
    </xf>
    <xf numFmtId="178" fontId="237" fillId="2" borderId="11" xfId="762" applyNumberFormat="1" applyFont="1" applyFill="1" applyBorder="1" applyAlignment="1">
      <alignment horizontal="center" vertical="center"/>
    </xf>
    <xf numFmtId="0" fontId="233" fillId="3" borderId="1" xfId="763" applyFont="1" applyFill="1" applyBorder="1" applyAlignment="1">
      <alignment horizontal="center" vertical="center" wrapText="1"/>
    </xf>
    <xf numFmtId="0" fontId="233" fillId="3" borderId="1" xfId="769" applyFont="1" applyFill="1" applyBorder="1" applyAlignment="1">
      <alignment horizontal="center" vertical="center" wrapText="1"/>
    </xf>
    <xf numFmtId="178" fontId="237" fillId="2" borderId="11" xfId="771" applyNumberFormat="1" applyFont="1" applyFill="1" applyBorder="1" applyAlignment="1">
      <alignment horizontal="center" vertical="center"/>
    </xf>
    <xf numFmtId="0" fontId="228" fillId="10" borderId="1" xfId="772" applyFont="1" applyFill="1" applyBorder="1" applyAlignment="1">
      <alignment horizontal="center" vertical="center" wrapText="1"/>
    </xf>
    <xf numFmtId="0" fontId="228" fillId="11" borderId="1" xfId="772" applyFont="1" applyFill="1" applyBorder="1" applyAlignment="1">
      <alignment horizontal="center" vertical="center"/>
    </xf>
    <xf numFmtId="0" fontId="228" fillId="11" borderId="2" xfId="772" applyFont="1" applyFill="1" applyBorder="1" applyAlignment="1">
      <alignment horizontal="center" vertical="center" wrapText="1"/>
    </xf>
    <xf numFmtId="0" fontId="242" fillId="0" borderId="8" xfId="772" applyFont="1" applyFill="1" applyBorder="1" applyAlignment="1">
      <alignment horizontal="center" vertical="center"/>
    </xf>
    <xf numFmtId="180" fontId="242" fillId="0" borderId="1" xfId="772" applyNumberFormat="1" applyFont="1" applyFill="1" applyBorder="1" applyAlignment="1">
      <alignment horizontal="center" vertical="center"/>
    </xf>
    <xf numFmtId="1" fontId="242" fillId="0" borderId="1" xfId="772" applyNumberFormat="1" applyFont="1" applyFill="1" applyBorder="1" applyAlignment="1">
      <alignment horizontal="center" vertical="center"/>
    </xf>
    <xf numFmtId="0" fontId="242" fillId="7" borderId="8" xfId="772" applyFont="1" applyFill="1" applyBorder="1" applyAlignment="1">
      <alignment horizontal="center" vertical="center"/>
    </xf>
    <xf numFmtId="0" fontId="242" fillId="7" borderId="10" xfId="772" applyFont="1" applyFill="1" applyBorder="1" applyAlignment="1">
      <alignment horizontal="center" vertical="center"/>
    </xf>
    <xf numFmtId="180" fontId="242" fillId="0" borderId="11" xfId="772" applyNumberFormat="1" applyFont="1" applyFill="1" applyBorder="1" applyAlignment="1">
      <alignment horizontal="center" vertical="center"/>
    </xf>
    <xf numFmtId="1" fontId="242" fillId="0" borderId="11" xfId="772" applyNumberFormat="1" applyFont="1" applyFill="1" applyBorder="1" applyAlignment="1">
      <alignment horizontal="center" vertical="center"/>
    </xf>
    <xf numFmtId="0" fontId="243" fillId="0" borderId="0" xfId="772" applyFont="1" applyFill="1" applyBorder="1" applyAlignment="1">
      <alignment horizontal="center" vertical="center"/>
    </xf>
    <xf numFmtId="180" fontId="243" fillId="0" borderId="0" xfId="772" applyNumberFormat="1" applyFont="1" applyFill="1" applyBorder="1" applyAlignment="1">
      <alignment horizontal="center" vertical="center"/>
    </xf>
    <xf numFmtId="1" fontId="243" fillId="0" borderId="0" xfId="772" applyNumberFormat="1" applyFont="1" applyFill="1" applyBorder="1" applyAlignment="1">
      <alignment horizontal="center" vertical="center"/>
    </xf>
    <xf numFmtId="0" fontId="225" fillId="0" borderId="8" xfId="772" applyFont="1" applyFill="1" applyBorder="1" applyAlignment="1">
      <alignment horizontal="center" vertical="center"/>
    </xf>
    <xf numFmtId="0" fontId="225" fillId="7" borderId="8" xfId="772" applyFont="1" applyFill="1" applyBorder="1" applyAlignment="1">
      <alignment horizontal="center" vertical="center"/>
    </xf>
    <xf numFmtId="0" fontId="225" fillId="7" borderId="10" xfId="772" applyFont="1" applyFill="1" applyBorder="1" applyAlignment="1">
      <alignment horizontal="center" vertical="center"/>
    </xf>
    <xf numFmtId="0" fontId="233" fillId="3" borderId="1" xfId="773" applyFont="1" applyFill="1" applyBorder="1" applyAlignment="1">
      <alignment horizontal="center" vertical="center" wrapText="1"/>
    </xf>
    <xf numFmtId="178" fontId="237" fillId="2" borderId="11" xfId="775" applyNumberFormat="1" applyFont="1" applyFill="1" applyBorder="1" applyAlignment="1">
      <alignment horizontal="center" vertical="center"/>
    </xf>
    <xf numFmtId="0" fontId="228" fillId="10" borderId="1" xfId="776" applyFont="1" applyFill="1" applyBorder="1" applyAlignment="1">
      <alignment horizontal="center" vertical="center" wrapText="1"/>
    </xf>
    <xf numFmtId="0" fontId="228" fillId="11" borderId="1" xfId="776" applyFont="1" applyFill="1" applyBorder="1" applyAlignment="1">
      <alignment horizontal="center" vertical="center"/>
    </xf>
    <xf numFmtId="0" fontId="228" fillId="11" borderId="2" xfId="776" applyFont="1" applyFill="1" applyBorder="1" applyAlignment="1">
      <alignment horizontal="center" vertical="center" wrapText="1"/>
    </xf>
    <xf numFmtId="0" fontId="242" fillId="0" borderId="8" xfId="776" applyFont="1" applyFill="1" applyBorder="1" applyAlignment="1">
      <alignment horizontal="center" vertical="center"/>
    </xf>
    <xf numFmtId="180" fontId="242" fillId="0" borderId="1" xfId="776" applyNumberFormat="1" applyFont="1" applyFill="1" applyBorder="1" applyAlignment="1">
      <alignment horizontal="center" vertical="center"/>
    </xf>
    <xf numFmtId="1" fontId="242" fillId="0" borderId="1" xfId="776" applyNumberFormat="1" applyFont="1" applyFill="1" applyBorder="1" applyAlignment="1">
      <alignment horizontal="center" vertical="center"/>
    </xf>
    <xf numFmtId="0" fontId="242" fillId="7" borderId="8" xfId="776" applyFont="1" applyFill="1" applyBorder="1" applyAlignment="1">
      <alignment horizontal="center" vertical="center"/>
    </xf>
    <xf numFmtId="0" fontId="242" fillId="7" borderId="10" xfId="776" applyFont="1" applyFill="1" applyBorder="1" applyAlignment="1">
      <alignment horizontal="center" vertical="center"/>
    </xf>
    <xf numFmtId="180" fontId="242" fillId="0" borderId="11" xfId="776" applyNumberFormat="1" applyFont="1" applyFill="1" applyBorder="1" applyAlignment="1">
      <alignment horizontal="center" vertical="center"/>
    </xf>
    <xf numFmtId="1" fontId="242" fillId="0" borderId="11" xfId="776" applyNumberFormat="1" applyFont="1" applyFill="1" applyBorder="1" applyAlignment="1">
      <alignment horizontal="center" vertical="center"/>
    </xf>
    <xf numFmtId="0" fontId="243" fillId="0" borderId="0" xfId="776" applyFont="1" applyFill="1" applyBorder="1" applyAlignment="1">
      <alignment horizontal="center" vertical="center"/>
    </xf>
    <xf numFmtId="180" fontId="243" fillId="0" borderId="0" xfId="776" applyNumberFormat="1" applyFont="1" applyFill="1" applyBorder="1" applyAlignment="1">
      <alignment horizontal="center" vertical="center"/>
    </xf>
    <xf numFmtId="1" fontId="243" fillId="0" borderId="0" xfId="776" applyNumberFormat="1" applyFont="1" applyFill="1" applyBorder="1" applyAlignment="1">
      <alignment horizontal="center" vertical="center"/>
    </xf>
    <xf numFmtId="0" fontId="225" fillId="0" borderId="8" xfId="776" applyFont="1" applyFill="1" applyBorder="1" applyAlignment="1">
      <alignment horizontal="center" vertical="center"/>
    </xf>
    <xf numFmtId="0" fontId="225" fillId="7" borderId="8" xfId="776" applyFont="1" applyFill="1" applyBorder="1" applyAlignment="1">
      <alignment horizontal="center" vertical="center"/>
    </xf>
    <xf numFmtId="0" fontId="225" fillId="7" borderId="10" xfId="776" applyFont="1" applyFill="1" applyBorder="1" applyAlignment="1">
      <alignment horizontal="center" vertical="center"/>
    </xf>
    <xf numFmtId="0" fontId="233" fillId="3" borderId="1" xfId="777" applyFont="1" applyFill="1" applyBorder="1" applyAlignment="1">
      <alignment horizontal="center" vertical="center" wrapText="1"/>
    </xf>
    <xf numFmtId="178" fontId="237" fillId="2" borderId="11" xfId="779" applyNumberFormat="1" applyFont="1" applyFill="1" applyBorder="1" applyAlignment="1">
      <alignment horizontal="center" vertical="center"/>
    </xf>
    <xf numFmtId="0" fontId="228" fillId="10" borderId="1" xfId="780" applyFont="1" applyFill="1" applyBorder="1" applyAlignment="1">
      <alignment horizontal="center" vertical="center" wrapText="1"/>
    </xf>
    <xf numFmtId="0" fontId="228" fillId="11" borderId="1" xfId="780" applyFont="1" applyFill="1" applyBorder="1" applyAlignment="1">
      <alignment horizontal="center" vertical="center"/>
    </xf>
    <xf numFmtId="0" fontId="228" fillId="11" borderId="2" xfId="780" applyFont="1" applyFill="1" applyBorder="1" applyAlignment="1">
      <alignment horizontal="center" vertical="center" wrapText="1"/>
    </xf>
    <xf numFmtId="0" fontId="242" fillId="0" borderId="8" xfId="780" applyFont="1" applyFill="1" applyBorder="1" applyAlignment="1">
      <alignment horizontal="center" vertical="center"/>
    </xf>
    <xf numFmtId="180" fontId="242" fillId="0" borderId="1" xfId="780" applyNumberFormat="1" applyFont="1" applyFill="1" applyBorder="1" applyAlignment="1">
      <alignment horizontal="center" vertical="center"/>
    </xf>
    <xf numFmtId="1" fontId="242" fillId="0" borderId="1" xfId="780" applyNumberFormat="1" applyFont="1" applyFill="1" applyBorder="1" applyAlignment="1">
      <alignment horizontal="center" vertical="center"/>
    </xf>
    <xf numFmtId="0" fontId="242" fillId="7" borderId="8" xfId="780" applyFont="1" applyFill="1" applyBorder="1" applyAlignment="1">
      <alignment horizontal="center" vertical="center"/>
    </xf>
    <xf numFmtId="0" fontId="242" fillId="7" borderId="10" xfId="780" applyFont="1" applyFill="1" applyBorder="1" applyAlignment="1">
      <alignment horizontal="center" vertical="center"/>
    </xf>
    <xf numFmtId="180" fontId="242" fillId="0" borderId="11" xfId="780" applyNumberFormat="1" applyFont="1" applyFill="1" applyBorder="1" applyAlignment="1">
      <alignment horizontal="center" vertical="center"/>
    </xf>
    <xf numFmtId="1" fontId="242" fillId="0" borderId="11" xfId="780" applyNumberFormat="1" applyFont="1" applyFill="1" applyBorder="1" applyAlignment="1">
      <alignment horizontal="center" vertical="center"/>
    </xf>
    <xf numFmtId="0" fontId="243" fillId="0" borderId="0" xfId="780" applyFont="1" applyFill="1" applyBorder="1" applyAlignment="1">
      <alignment horizontal="center" vertical="center"/>
    </xf>
    <xf numFmtId="180" fontId="243" fillId="0" borderId="0" xfId="780" applyNumberFormat="1" applyFont="1" applyFill="1" applyBorder="1" applyAlignment="1">
      <alignment horizontal="center" vertical="center"/>
    </xf>
    <xf numFmtId="1" fontId="243" fillId="0" borderId="0" xfId="780" applyNumberFormat="1" applyFont="1" applyFill="1" applyBorder="1" applyAlignment="1">
      <alignment horizontal="center" vertical="center"/>
    </xf>
    <xf numFmtId="0" fontId="225" fillId="0" borderId="8" xfId="780" applyFont="1" applyFill="1" applyBorder="1" applyAlignment="1">
      <alignment horizontal="center" vertical="center"/>
    </xf>
    <xf numFmtId="0" fontId="225" fillId="7" borderId="8" xfId="780" applyFont="1" applyFill="1" applyBorder="1" applyAlignment="1">
      <alignment horizontal="center" vertical="center"/>
    </xf>
    <xf numFmtId="0" fontId="225" fillId="7" borderId="10" xfId="780" applyFont="1" applyFill="1" applyBorder="1" applyAlignment="1">
      <alignment horizontal="center" vertical="center"/>
    </xf>
    <xf numFmtId="0" fontId="233" fillId="3" borderId="1" xfId="781" applyFont="1" applyFill="1" applyBorder="1" applyAlignment="1">
      <alignment horizontal="center" vertical="center" wrapText="1"/>
    </xf>
    <xf numFmtId="178" fontId="237" fillId="2" borderId="11" xfId="783" applyNumberFormat="1" applyFont="1" applyFill="1" applyBorder="1" applyAlignment="1">
      <alignment horizontal="center" vertical="center"/>
    </xf>
    <xf numFmtId="0" fontId="228" fillId="10" borderId="1" xfId="784" applyFont="1" applyFill="1" applyBorder="1" applyAlignment="1">
      <alignment horizontal="center" vertical="center" wrapText="1"/>
    </xf>
    <xf numFmtId="0" fontId="228" fillId="11" borderId="1" xfId="784" applyFont="1" applyFill="1" applyBorder="1" applyAlignment="1">
      <alignment horizontal="center" vertical="center"/>
    </xf>
    <xf numFmtId="0" fontId="228" fillId="11" borderId="2" xfId="784" applyFont="1" applyFill="1" applyBorder="1" applyAlignment="1">
      <alignment horizontal="center" vertical="center" wrapText="1"/>
    </xf>
    <xf numFmtId="0" fontId="242" fillId="0" borderId="8" xfId="784" applyFont="1" applyFill="1" applyBorder="1" applyAlignment="1">
      <alignment horizontal="center" vertical="center"/>
    </xf>
    <xf numFmtId="180" fontId="242" fillId="0" borderId="1" xfId="784" applyNumberFormat="1" applyFont="1" applyFill="1" applyBorder="1" applyAlignment="1">
      <alignment horizontal="center" vertical="center"/>
    </xf>
    <xf numFmtId="1" fontId="242" fillId="0" borderId="1" xfId="784" applyNumberFormat="1" applyFont="1" applyFill="1" applyBorder="1" applyAlignment="1">
      <alignment horizontal="center" vertical="center"/>
    </xf>
    <xf numFmtId="0" fontId="242" fillId="7" borderId="8" xfId="784" applyFont="1" applyFill="1" applyBorder="1" applyAlignment="1">
      <alignment horizontal="center" vertical="center"/>
    </xf>
    <xf numFmtId="0" fontId="242" fillId="7" borderId="10" xfId="784" applyFont="1" applyFill="1" applyBorder="1" applyAlignment="1">
      <alignment horizontal="center" vertical="center"/>
    </xf>
    <xf numFmtId="180" fontId="242" fillId="0" borderId="11" xfId="784" applyNumberFormat="1" applyFont="1" applyFill="1" applyBorder="1" applyAlignment="1">
      <alignment horizontal="center" vertical="center"/>
    </xf>
    <xf numFmtId="1" fontId="242" fillId="0" borderId="11" xfId="784" applyNumberFormat="1" applyFont="1" applyFill="1" applyBorder="1" applyAlignment="1">
      <alignment horizontal="center" vertical="center"/>
    </xf>
    <xf numFmtId="0" fontId="243" fillId="0" borderId="0" xfId="784" applyFont="1" applyFill="1" applyBorder="1" applyAlignment="1">
      <alignment horizontal="center" vertical="center"/>
    </xf>
    <xf numFmtId="180" fontId="243" fillId="0" borderId="0" xfId="784" applyNumberFormat="1" applyFont="1" applyFill="1" applyBorder="1" applyAlignment="1">
      <alignment horizontal="center" vertical="center"/>
    </xf>
    <xf numFmtId="1" fontId="243" fillId="0" borderId="0" xfId="784" applyNumberFormat="1" applyFont="1" applyFill="1" applyBorder="1" applyAlignment="1">
      <alignment horizontal="center" vertical="center"/>
    </xf>
    <xf numFmtId="0" fontId="225" fillId="0" borderId="8" xfId="784" applyFont="1" applyFill="1" applyBorder="1" applyAlignment="1">
      <alignment horizontal="center" vertical="center"/>
    </xf>
    <xf numFmtId="0" fontId="225" fillId="7" borderId="8" xfId="784" applyFont="1" applyFill="1" applyBorder="1" applyAlignment="1">
      <alignment horizontal="center" vertical="center"/>
    </xf>
    <xf numFmtId="0" fontId="225" fillId="7" borderId="10" xfId="784" applyFont="1" applyFill="1" applyBorder="1" applyAlignment="1">
      <alignment horizontal="center" vertical="center"/>
    </xf>
    <xf numFmtId="0" fontId="233" fillId="3" borderId="1" xfId="801" applyFont="1" applyFill="1" applyBorder="1" applyAlignment="1">
      <alignment horizontal="center" vertical="center" wrapText="1"/>
    </xf>
    <xf numFmtId="178" fontId="237" fillId="2" borderId="11" xfId="803" applyNumberFormat="1" applyFont="1" applyFill="1" applyBorder="1" applyAlignment="1">
      <alignment horizontal="center" vertical="center"/>
    </xf>
    <xf numFmtId="0" fontId="228" fillId="10" borderId="1" xfId="804" applyFont="1" applyFill="1" applyBorder="1" applyAlignment="1">
      <alignment horizontal="center" vertical="center" wrapText="1"/>
    </xf>
    <xf numFmtId="0" fontId="228" fillId="11" borderId="1" xfId="804" applyFont="1" applyFill="1" applyBorder="1" applyAlignment="1">
      <alignment horizontal="center" vertical="center"/>
    </xf>
    <xf numFmtId="0" fontId="228" fillId="11" borderId="2" xfId="804" applyFont="1" applyFill="1" applyBorder="1" applyAlignment="1">
      <alignment horizontal="center" vertical="center" wrapText="1"/>
    </xf>
    <xf numFmtId="0" fontId="242" fillId="0" borderId="8" xfId="804" applyFont="1" applyFill="1" applyBorder="1" applyAlignment="1">
      <alignment horizontal="center" vertical="center"/>
    </xf>
    <xf numFmtId="180" fontId="242" fillId="0" borderId="1" xfId="804" applyNumberFormat="1" applyFont="1" applyFill="1" applyBorder="1" applyAlignment="1">
      <alignment horizontal="center" vertical="center"/>
    </xf>
    <xf numFmtId="1" fontId="242" fillId="0" borderId="1" xfId="804" applyNumberFormat="1" applyFont="1" applyFill="1" applyBorder="1" applyAlignment="1">
      <alignment horizontal="center" vertical="center"/>
    </xf>
    <xf numFmtId="0" fontId="242" fillId="7" borderId="8" xfId="804" applyFont="1" applyFill="1" applyBorder="1" applyAlignment="1">
      <alignment horizontal="center" vertical="center"/>
    </xf>
    <xf numFmtId="0" fontId="242" fillId="7" borderId="10" xfId="804" applyFont="1" applyFill="1" applyBorder="1" applyAlignment="1">
      <alignment horizontal="center" vertical="center"/>
    </xf>
    <xf numFmtId="180" fontId="242" fillId="0" borderId="11" xfId="804" applyNumberFormat="1" applyFont="1" applyFill="1" applyBorder="1" applyAlignment="1">
      <alignment horizontal="center" vertical="center"/>
    </xf>
    <xf numFmtId="1" fontId="242" fillId="0" borderId="11" xfId="804" applyNumberFormat="1" applyFont="1" applyFill="1" applyBorder="1" applyAlignment="1">
      <alignment horizontal="center" vertical="center"/>
    </xf>
    <xf numFmtId="0" fontId="243" fillId="0" borderId="0" xfId="804" applyFont="1" applyFill="1" applyBorder="1" applyAlignment="1">
      <alignment horizontal="center" vertical="center"/>
    </xf>
    <xf numFmtId="180" fontId="243" fillId="0" borderId="0" xfId="804" applyNumberFormat="1" applyFont="1" applyFill="1" applyBorder="1" applyAlignment="1">
      <alignment horizontal="center" vertical="center"/>
    </xf>
    <xf numFmtId="1" fontId="243" fillId="0" borderId="0" xfId="804" applyNumberFormat="1" applyFont="1" applyFill="1" applyBorder="1" applyAlignment="1">
      <alignment horizontal="center" vertical="center"/>
    </xf>
    <xf numFmtId="0" fontId="225" fillId="0" borderId="8" xfId="804" applyFont="1" applyFill="1" applyBorder="1" applyAlignment="1">
      <alignment horizontal="center" vertical="center"/>
    </xf>
    <xf numFmtId="0" fontId="225" fillId="7" borderId="8" xfId="804" applyFont="1" applyFill="1" applyBorder="1" applyAlignment="1">
      <alignment horizontal="center" vertical="center"/>
    </xf>
    <xf numFmtId="0" fontId="225" fillId="7" borderId="10" xfId="804" applyFont="1" applyFill="1" applyBorder="1" applyAlignment="1">
      <alignment horizontal="center" vertical="center"/>
    </xf>
    <xf numFmtId="0" fontId="233" fillId="3" borderId="1" xfId="809" applyFont="1" applyFill="1" applyBorder="1" applyAlignment="1">
      <alignment horizontal="center" vertical="center" wrapText="1"/>
    </xf>
    <xf numFmtId="178" fontId="237" fillId="2" borderId="11" xfId="811" applyNumberFormat="1" applyFont="1" applyFill="1" applyBorder="1" applyAlignment="1">
      <alignment horizontal="center" vertical="center"/>
    </xf>
    <xf numFmtId="0" fontId="228" fillId="10" borderId="1" xfId="812" applyFont="1" applyFill="1" applyBorder="1" applyAlignment="1">
      <alignment horizontal="center" vertical="center" wrapText="1"/>
    </xf>
    <xf numFmtId="0" fontId="228" fillId="11" borderId="1" xfId="812" applyFont="1" applyFill="1" applyBorder="1" applyAlignment="1">
      <alignment horizontal="center" vertical="center"/>
    </xf>
    <xf numFmtId="0" fontId="228" fillId="11" borderId="2" xfId="812" applyFont="1" applyFill="1" applyBorder="1" applyAlignment="1">
      <alignment horizontal="center" vertical="center" wrapText="1"/>
    </xf>
    <xf numFmtId="0" fontId="242" fillId="0" borderId="8" xfId="812" applyFont="1" applyFill="1" applyBorder="1" applyAlignment="1">
      <alignment horizontal="center" vertical="center"/>
    </xf>
    <xf numFmtId="180" fontId="242" fillId="0" borderId="1" xfId="812" applyNumberFormat="1" applyFont="1" applyFill="1" applyBorder="1" applyAlignment="1">
      <alignment horizontal="center" vertical="center"/>
    </xf>
    <xf numFmtId="1" fontId="242" fillId="0" borderId="1" xfId="812" applyNumberFormat="1" applyFont="1" applyFill="1" applyBorder="1" applyAlignment="1">
      <alignment horizontal="center" vertical="center"/>
    </xf>
    <xf numFmtId="0" fontId="242" fillId="7" borderId="8" xfId="812" applyFont="1" applyFill="1" applyBorder="1" applyAlignment="1">
      <alignment horizontal="center" vertical="center"/>
    </xf>
    <xf numFmtId="0" fontId="242" fillId="7" borderId="10" xfId="812" applyFont="1" applyFill="1" applyBorder="1" applyAlignment="1">
      <alignment horizontal="center" vertical="center"/>
    </xf>
    <xf numFmtId="180" fontId="242" fillId="0" borderId="11" xfId="812" applyNumberFormat="1" applyFont="1" applyFill="1" applyBorder="1" applyAlignment="1">
      <alignment horizontal="center" vertical="center"/>
    </xf>
    <xf numFmtId="1" fontId="242" fillId="0" borderId="11" xfId="812" applyNumberFormat="1" applyFont="1" applyFill="1" applyBorder="1" applyAlignment="1">
      <alignment horizontal="center" vertical="center"/>
    </xf>
    <xf numFmtId="0" fontId="243" fillId="0" borderId="0" xfId="812" applyFont="1" applyFill="1" applyBorder="1" applyAlignment="1">
      <alignment horizontal="center" vertical="center"/>
    </xf>
    <xf numFmtId="180" fontId="243" fillId="0" borderId="0" xfId="812" applyNumberFormat="1" applyFont="1" applyFill="1" applyBorder="1" applyAlignment="1">
      <alignment horizontal="center" vertical="center"/>
    </xf>
    <xf numFmtId="1" fontId="243" fillId="0" borderId="0" xfId="812" applyNumberFormat="1" applyFont="1" applyFill="1" applyBorder="1" applyAlignment="1">
      <alignment horizontal="center" vertical="center"/>
    </xf>
    <xf numFmtId="0" fontId="225" fillId="0" borderId="8" xfId="812" applyFont="1" applyFill="1" applyBorder="1" applyAlignment="1">
      <alignment horizontal="center" vertical="center"/>
    </xf>
    <xf numFmtId="0" fontId="225" fillId="7" borderId="8" xfId="812" applyFont="1" applyFill="1" applyBorder="1" applyAlignment="1">
      <alignment horizontal="center" vertical="center"/>
    </xf>
    <xf numFmtId="0" fontId="225" fillId="7" borderId="10" xfId="812" applyFont="1" applyFill="1" applyBorder="1" applyAlignment="1">
      <alignment horizontal="center" vertical="center"/>
    </xf>
    <xf numFmtId="0" fontId="233" fillId="3" borderId="1" xfId="821" applyFont="1" applyFill="1" applyBorder="1" applyAlignment="1">
      <alignment horizontal="center" vertical="center" wrapText="1"/>
    </xf>
    <xf numFmtId="178" fontId="237" fillId="2" borderId="11" xfId="823" applyNumberFormat="1" applyFont="1" applyFill="1" applyBorder="1" applyAlignment="1">
      <alignment horizontal="center" vertical="center"/>
    </xf>
    <xf numFmtId="0" fontId="228" fillId="10" borderId="1" xfId="824" applyFont="1" applyFill="1" applyBorder="1" applyAlignment="1">
      <alignment horizontal="center" vertical="center" wrapText="1"/>
    </xf>
    <xf numFmtId="0" fontId="228" fillId="11" borderId="1" xfId="824" applyFont="1" applyFill="1" applyBorder="1" applyAlignment="1">
      <alignment horizontal="center" vertical="center"/>
    </xf>
    <xf numFmtId="0" fontId="228" fillId="11" borderId="2" xfId="824" applyFont="1" applyFill="1" applyBorder="1" applyAlignment="1">
      <alignment horizontal="center" vertical="center" wrapText="1"/>
    </xf>
    <xf numFmtId="0" fontId="242" fillId="0" borderId="8" xfId="824" applyFont="1" applyFill="1" applyBorder="1" applyAlignment="1">
      <alignment horizontal="center" vertical="center"/>
    </xf>
    <xf numFmtId="180" fontId="242" fillId="0" borderId="1" xfId="824" applyNumberFormat="1" applyFont="1" applyFill="1" applyBorder="1" applyAlignment="1">
      <alignment horizontal="center" vertical="center"/>
    </xf>
    <xf numFmtId="1" fontId="242" fillId="0" borderId="1" xfId="824" applyNumberFormat="1" applyFont="1" applyFill="1" applyBorder="1" applyAlignment="1">
      <alignment horizontal="center" vertical="center"/>
    </xf>
    <xf numFmtId="0" fontId="242" fillId="7" borderId="8" xfId="824" applyFont="1" applyFill="1" applyBorder="1" applyAlignment="1">
      <alignment horizontal="center" vertical="center"/>
    </xf>
    <xf numFmtId="0" fontId="242" fillId="7" borderId="10" xfId="824" applyFont="1" applyFill="1" applyBorder="1" applyAlignment="1">
      <alignment horizontal="center" vertical="center"/>
    </xf>
    <xf numFmtId="180" fontId="242" fillId="0" borderId="11" xfId="824" applyNumberFormat="1" applyFont="1" applyFill="1" applyBorder="1" applyAlignment="1">
      <alignment horizontal="center" vertical="center"/>
    </xf>
    <xf numFmtId="1" fontId="242" fillId="0" borderId="11" xfId="824" applyNumberFormat="1" applyFont="1" applyFill="1" applyBorder="1" applyAlignment="1">
      <alignment horizontal="center" vertical="center"/>
    </xf>
    <xf numFmtId="0" fontId="243" fillId="0" borderId="0" xfId="824" applyFont="1" applyFill="1" applyBorder="1" applyAlignment="1">
      <alignment horizontal="center" vertical="center"/>
    </xf>
    <xf numFmtId="180" fontId="243" fillId="0" borderId="0" xfId="824" applyNumberFormat="1" applyFont="1" applyFill="1" applyBorder="1" applyAlignment="1">
      <alignment horizontal="center" vertical="center"/>
    </xf>
    <xf numFmtId="1" fontId="243" fillId="0" borderId="0" xfId="824" applyNumberFormat="1" applyFont="1" applyFill="1" applyBorder="1" applyAlignment="1">
      <alignment horizontal="center" vertical="center"/>
    </xf>
    <xf numFmtId="0" fontId="225" fillId="0" borderId="8" xfId="824" applyFont="1" applyFill="1" applyBorder="1" applyAlignment="1">
      <alignment horizontal="center" vertical="center"/>
    </xf>
    <xf numFmtId="0" fontId="225" fillId="7" borderId="8" xfId="824" applyFont="1" applyFill="1" applyBorder="1" applyAlignment="1">
      <alignment horizontal="center" vertical="center"/>
    </xf>
    <xf numFmtId="0" fontId="225" fillId="7" borderId="10" xfId="824" applyFont="1" applyFill="1" applyBorder="1" applyAlignment="1">
      <alignment horizontal="center" vertical="center"/>
    </xf>
    <xf numFmtId="0" fontId="233" fillId="3" borderId="1" xfId="825" applyFont="1" applyFill="1" applyBorder="1" applyAlignment="1">
      <alignment horizontal="center" vertical="center" wrapText="1"/>
    </xf>
    <xf numFmtId="178" fontId="237" fillId="2" borderId="11" xfId="827" applyNumberFormat="1" applyFont="1" applyFill="1" applyBorder="1" applyAlignment="1">
      <alignment horizontal="center" vertical="center"/>
    </xf>
    <xf numFmtId="0" fontId="228" fillId="10" borderId="1" xfId="828" applyFont="1" applyFill="1" applyBorder="1" applyAlignment="1">
      <alignment horizontal="center" vertical="center" wrapText="1"/>
    </xf>
    <xf numFmtId="0" fontId="228" fillId="11" borderId="1" xfId="828" applyFont="1" applyFill="1" applyBorder="1" applyAlignment="1">
      <alignment horizontal="center" vertical="center"/>
    </xf>
    <xf numFmtId="0" fontId="228" fillId="11" borderId="2" xfId="828" applyFont="1" applyFill="1" applyBorder="1" applyAlignment="1">
      <alignment horizontal="center" vertical="center" wrapText="1"/>
    </xf>
    <xf numFmtId="0" fontId="242" fillId="0" borderId="8" xfId="828" applyFont="1" applyFill="1" applyBorder="1" applyAlignment="1">
      <alignment horizontal="center" vertical="center"/>
    </xf>
    <xf numFmtId="180" fontId="242" fillId="0" borderId="1" xfId="828" applyNumberFormat="1" applyFont="1" applyFill="1" applyBorder="1" applyAlignment="1">
      <alignment horizontal="center" vertical="center"/>
    </xf>
    <xf numFmtId="1" fontId="242" fillId="0" borderId="1" xfId="828" applyNumberFormat="1" applyFont="1" applyFill="1" applyBorder="1" applyAlignment="1">
      <alignment horizontal="center" vertical="center"/>
    </xf>
    <xf numFmtId="0" fontId="242" fillId="7" borderId="8" xfId="828" applyFont="1" applyFill="1" applyBorder="1" applyAlignment="1">
      <alignment horizontal="center" vertical="center"/>
    </xf>
    <xf numFmtId="0" fontId="242" fillId="7" borderId="10" xfId="828" applyFont="1" applyFill="1" applyBorder="1" applyAlignment="1">
      <alignment horizontal="center" vertical="center"/>
    </xf>
    <xf numFmtId="180" fontId="242" fillId="0" borderId="11" xfId="828" applyNumberFormat="1" applyFont="1" applyFill="1" applyBorder="1" applyAlignment="1">
      <alignment horizontal="center" vertical="center"/>
    </xf>
    <xf numFmtId="1" fontId="242" fillId="0" borderId="11" xfId="828" applyNumberFormat="1" applyFont="1" applyFill="1" applyBorder="1" applyAlignment="1">
      <alignment horizontal="center" vertical="center"/>
    </xf>
    <xf numFmtId="0" fontId="243" fillId="0" borderId="0" xfId="828" applyFont="1" applyFill="1" applyBorder="1" applyAlignment="1">
      <alignment horizontal="center" vertical="center"/>
    </xf>
    <xf numFmtId="180" fontId="243" fillId="0" borderId="0" xfId="828" applyNumberFormat="1" applyFont="1" applyFill="1" applyBorder="1" applyAlignment="1">
      <alignment horizontal="center" vertical="center"/>
    </xf>
    <xf numFmtId="1" fontId="243" fillId="0" borderId="0" xfId="828" applyNumberFormat="1" applyFont="1" applyFill="1" applyBorder="1" applyAlignment="1">
      <alignment horizontal="center" vertical="center"/>
    </xf>
    <xf numFmtId="0" fontId="225" fillId="0" borderId="8" xfId="828" applyFont="1" applyFill="1" applyBorder="1" applyAlignment="1">
      <alignment horizontal="center" vertical="center"/>
    </xf>
    <xf numFmtId="0" fontId="225" fillId="7" borderId="8" xfId="828" applyFont="1" applyFill="1" applyBorder="1" applyAlignment="1">
      <alignment horizontal="center" vertical="center"/>
    </xf>
    <xf numFmtId="0" fontId="225" fillId="7" borderId="10" xfId="828" applyFont="1" applyFill="1" applyBorder="1" applyAlignment="1">
      <alignment horizontal="center" vertical="center"/>
    </xf>
    <xf numFmtId="0" fontId="233" fillId="3" borderId="1" xfId="829" applyFont="1" applyFill="1" applyBorder="1" applyAlignment="1">
      <alignment horizontal="center" vertical="center" wrapText="1"/>
    </xf>
    <xf numFmtId="178" fontId="237" fillId="2" borderId="11" xfId="831" applyNumberFormat="1" applyFont="1" applyFill="1" applyBorder="1" applyAlignment="1">
      <alignment horizontal="center" vertical="center"/>
    </xf>
    <xf numFmtId="0" fontId="228" fillId="10" borderId="1" xfId="832" applyFont="1" applyFill="1" applyBorder="1" applyAlignment="1">
      <alignment horizontal="center" vertical="center" wrapText="1"/>
    </xf>
    <xf numFmtId="0" fontId="228" fillId="11" borderId="1" xfId="832" applyFont="1" applyFill="1" applyBorder="1" applyAlignment="1">
      <alignment horizontal="center" vertical="center"/>
    </xf>
    <xf numFmtId="0" fontId="228" fillId="11" borderId="2" xfId="832" applyFont="1" applyFill="1" applyBorder="1" applyAlignment="1">
      <alignment horizontal="center" vertical="center" wrapText="1"/>
    </xf>
    <xf numFmtId="0" fontId="242" fillId="0" borderId="8" xfId="832" applyFont="1" applyFill="1" applyBorder="1" applyAlignment="1">
      <alignment horizontal="center" vertical="center"/>
    </xf>
    <xf numFmtId="180" fontId="242" fillId="0" borderId="1" xfId="832" applyNumberFormat="1" applyFont="1" applyFill="1" applyBorder="1" applyAlignment="1">
      <alignment horizontal="center" vertical="center"/>
    </xf>
    <xf numFmtId="1" fontId="242" fillId="0" borderId="1" xfId="832" applyNumberFormat="1" applyFont="1" applyFill="1" applyBorder="1" applyAlignment="1">
      <alignment horizontal="center" vertical="center"/>
    </xf>
    <xf numFmtId="0" fontId="242" fillId="7" borderId="8" xfId="832" applyFont="1" applyFill="1" applyBorder="1" applyAlignment="1">
      <alignment horizontal="center" vertical="center"/>
    </xf>
    <xf numFmtId="0" fontId="242" fillId="7" borderId="10" xfId="832" applyFont="1" applyFill="1" applyBorder="1" applyAlignment="1">
      <alignment horizontal="center" vertical="center"/>
    </xf>
    <xf numFmtId="180" fontId="242" fillId="0" borderId="11" xfId="832" applyNumberFormat="1" applyFont="1" applyFill="1" applyBorder="1" applyAlignment="1">
      <alignment horizontal="center" vertical="center"/>
    </xf>
    <xf numFmtId="1" fontId="242" fillId="0" borderId="11" xfId="832" applyNumberFormat="1" applyFont="1" applyFill="1" applyBorder="1" applyAlignment="1">
      <alignment horizontal="center" vertical="center"/>
    </xf>
    <xf numFmtId="0" fontId="243" fillId="0" borderId="0" xfId="832" applyFont="1" applyFill="1" applyBorder="1" applyAlignment="1">
      <alignment horizontal="center" vertical="center"/>
    </xf>
    <xf numFmtId="180" fontId="243" fillId="0" borderId="0" xfId="832" applyNumberFormat="1" applyFont="1" applyFill="1" applyBorder="1" applyAlignment="1">
      <alignment horizontal="center" vertical="center"/>
    </xf>
    <xf numFmtId="1" fontId="243" fillId="0" borderId="0" xfId="832" applyNumberFormat="1" applyFont="1" applyFill="1" applyBorder="1" applyAlignment="1">
      <alignment horizontal="center" vertical="center"/>
    </xf>
    <xf numFmtId="0" fontId="225" fillId="0" borderId="8" xfId="832" applyFont="1" applyFill="1" applyBorder="1" applyAlignment="1">
      <alignment horizontal="center" vertical="center"/>
    </xf>
    <xf numFmtId="0" fontId="225" fillId="7" borderId="8" xfId="832" applyFont="1" applyFill="1" applyBorder="1" applyAlignment="1">
      <alignment horizontal="center" vertical="center"/>
    </xf>
    <xf numFmtId="0" fontId="225" fillId="7" borderId="10" xfId="832" applyFont="1" applyFill="1" applyBorder="1" applyAlignment="1">
      <alignment horizontal="center" vertical="center"/>
    </xf>
    <xf numFmtId="0" fontId="233" fillId="3" borderId="1" xfId="833" applyFont="1" applyFill="1" applyBorder="1" applyAlignment="1">
      <alignment horizontal="center" vertical="center" wrapText="1"/>
    </xf>
    <xf numFmtId="178" fontId="237" fillId="2" borderId="11" xfId="835" applyNumberFormat="1" applyFont="1" applyFill="1" applyBorder="1" applyAlignment="1">
      <alignment horizontal="center" vertical="center"/>
    </xf>
    <xf numFmtId="0" fontId="228" fillId="10" borderId="1" xfId="836" applyFont="1" applyFill="1" applyBorder="1" applyAlignment="1">
      <alignment horizontal="center" vertical="center" wrapText="1"/>
    </xf>
    <xf numFmtId="0" fontId="228" fillId="11" borderId="1" xfId="836" applyFont="1" applyFill="1" applyBorder="1" applyAlignment="1">
      <alignment horizontal="center" vertical="center"/>
    </xf>
    <xf numFmtId="0" fontId="228" fillId="11" borderId="2" xfId="836" applyFont="1" applyFill="1" applyBorder="1" applyAlignment="1">
      <alignment horizontal="center" vertical="center" wrapText="1"/>
    </xf>
    <xf numFmtId="0" fontId="242" fillId="0" borderId="8" xfId="836" applyFont="1" applyFill="1" applyBorder="1" applyAlignment="1">
      <alignment horizontal="center" vertical="center"/>
    </xf>
    <xf numFmtId="180" fontId="242" fillId="0" borderId="1" xfId="836" applyNumberFormat="1" applyFont="1" applyFill="1" applyBorder="1" applyAlignment="1">
      <alignment horizontal="center" vertical="center"/>
    </xf>
    <xf numFmtId="1" fontId="242" fillId="0" borderId="1" xfId="836" applyNumberFormat="1" applyFont="1" applyFill="1" applyBorder="1" applyAlignment="1">
      <alignment horizontal="center" vertical="center"/>
    </xf>
    <xf numFmtId="0" fontId="242" fillId="7" borderId="8" xfId="836" applyFont="1" applyFill="1" applyBorder="1" applyAlignment="1">
      <alignment horizontal="center" vertical="center"/>
    </xf>
    <xf numFmtId="0" fontId="242" fillId="7" borderId="10" xfId="836" applyFont="1" applyFill="1" applyBorder="1" applyAlignment="1">
      <alignment horizontal="center" vertical="center"/>
    </xf>
    <xf numFmtId="180" fontId="242" fillId="0" borderId="11" xfId="836" applyNumberFormat="1" applyFont="1" applyFill="1" applyBorder="1" applyAlignment="1">
      <alignment horizontal="center" vertical="center"/>
    </xf>
    <xf numFmtId="1" fontId="242" fillId="0" borderId="11" xfId="836" applyNumberFormat="1" applyFont="1" applyFill="1" applyBorder="1" applyAlignment="1">
      <alignment horizontal="center" vertical="center"/>
    </xf>
    <xf numFmtId="0" fontId="243" fillId="0" borderId="0" xfId="836" applyFont="1" applyFill="1" applyBorder="1" applyAlignment="1">
      <alignment horizontal="center" vertical="center"/>
    </xf>
    <xf numFmtId="180" fontId="243" fillId="0" borderId="0" xfId="836" applyNumberFormat="1" applyFont="1" applyFill="1" applyBorder="1" applyAlignment="1">
      <alignment horizontal="center" vertical="center"/>
    </xf>
    <xf numFmtId="1" fontId="243" fillId="0" borderId="0" xfId="836" applyNumberFormat="1" applyFont="1" applyFill="1" applyBorder="1" applyAlignment="1">
      <alignment horizontal="center" vertical="center"/>
    </xf>
    <xf numFmtId="0" fontId="225" fillId="0" borderId="8" xfId="836" applyFont="1" applyFill="1" applyBorder="1" applyAlignment="1">
      <alignment horizontal="center" vertical="center"/>
    </xf>
    <xf numFmtId="0" fontId="225" fillId="7" borderId="8" xfId="836" applyFont="1" applyFill="1" applyBorder="1" applyAlignment="1">
      <alignment horizontal="center" vertical="center"/>
    </xf>
    <xf numFmtId="0" fontId="225" fillId="7" borderId="10" xfId="836" applyFont="1" applyFill="1" applyBorder="1" applyAlignment="1">
      <alignment horizontal="center" vertical="center"/>
    </xf>
    <xf numFmtId="0" fontId="225" fillId="2" borderId="1" xfId="7" quotePrefix="1" applyFont="1" applyFill="1" applyBorder="1" applyAlignment="1">
      <alignment horizontal="left" vertical="center" wrapText="1"/>
    </xf>
    <xf numFmtId="0" fontId="225" fillId="2" borderId="11" xfId="7" quotePrefix="1" applyFont="1" applyFill="1" applyBorder="1" applyAlignment="1">
      <alignment horizontal="left" vertical="center" wrapText="1"/>
    </xf>
    <xf numFmtId="0" fontId="225" fillId="2" borderId="1" xfId="7" applyFont="1" applyFill="1" applyBorder="1" applyAlignment="1">
      <alignment horizontal="left" vertical="center" wrapText="1"/>
    </xf>
    <xf numFmtId="0" fontId="225" fillId="2" borderId="3" xfId="7" applyFont="1" applyFill="1" applyBorder="1" applyAlignment="1">
      <alignment horizontal="left" vertical="center" wrapText="1"/>
    </xf>
    <xf numFmtId="0" fontId="225" fillId="2" borderId="1" xfId="7" quotePrefix="1" applyFont="1" applyFill="1" applyBorder="1" applyAlignment="1">
      <alignment horizontal="left" vertical="center" wrapText="1"/>
    </xf>
    <xf numFmtId="0" fontId="225" fillId="2" borderId="11" xfId="7" quotePrefix="1" applyFont="1" applyFill="1" applyBorder="1" applyAlignment="1">
      <alignment horizontal="left" vertical="center" wrapText="1"/>
    </xf>
    <xf numFmtId="0" fontId="225" fillId="2" borderId="3" xfId="7" applyFont="1" applyFill="1" applyBorder="1" applyAlignment="1">
      <alignment horizontal="left" vertical="center" wrapText="1"/>
    </xf>
    <xf numFmtId="0" fontId="225" fillId="2" borderId="1" xfId="7" quotePrefix="1" applyFont="1" applyFill="1" applyBorder="1" applyAlignment="1">
      <alignment horizontal="left" vertical="center" wrapText="1"/>
    </xf>
    <xf numFmtId="0" fontId="225" fillId="2" borderId="11" xfId="7" quotePrefix="1" applyFont="1" applyFill="1" applyBorder="1" applyAlignment="1">
      <alignment horizontal="left" vertical="center" wrapText="1"/>
    </xf>
    <xf numFmtId="0" fontId="225" fillId="2" borderId="3" xfId="7" applyFont="1" applyFill="1" applyBorder="1" applyAlignment="1">
      <alignment horizontal="left" vertical="center" wrapText="1"/>
    </xf>
    <xf numFmtId="0" fontId="233" fillId="3" borderId="1" xfId="1646" applyFont="1" applyFill="1" applyBorder="1" applyAlignment="1">
      <alignment horizontal="center" vertical="center" wrapText="1"/>
    </xf>
    <xf numFmtId="178" fontId="237" fillId="2" borderId="11" xfId="1648" applyNumberFormat="1" applyFont="1" applyFill="1" applyBorder="1" applyAlignment="1">
      <alignment horizontal="center" vertical="center"/>
    </xf>
    <xf numFmtId="0" fontId="228" fillId="10" borderId="1" xfId="1649" applyFont="1" applyFill="1" applyBorder="1" applyAlignment="1">
      <alignment horizontal="center" vertical="center" wrapText="1"/>
    </xf>
    <xf numFmtId="0" fontId="228" fillId="11" borderId="1" xfId="1649" applyFont="1" applyFill="1" applyBorder="1" applyAlignment="1">
      <alignment horizontal="center" vertical="center"/>
    </xf>
    <xf numFmtId="0" fontId="228" fillId="11" borderId="2" xfId="1649" applyFont="1" applyFill="1" applyBorder="1" applyAlignment="1">
      <alignment horizontal="center" vertical="center" wrapText="1"/>
    </xf>
    <xf numFmtId="0" fontId="242" fillId="0" borderId="8" xfId="1649" applyFont="1" applyFill="1" applyBorder="1" applyAlignment="1">
      <alignment horizontal="center" vertical="center"/>
    </xf>
    <xf numFmtId="180" fontId="242" fillId="0" borderId="1" xfId="1649" applyNumberFormat="1" applyFont="1" applyFill="1" applyBorder="1" applyAlignment="1">
      <alignment horizontal="center" vertical="center"/>
    </xf>
    <xf numFmtId="1" fontId="242" fillId="0" borderId="1" xfId="1649" applyNumberFormat="1" applyFont="1" applyFill="1" applyBorder="1" applyAlignment="1">
      <alignment horizontal="center" vertical="center"/>
    </xf>
    <xf numFmtId="0" fontId="242" fillId="7" borderId="8" xfId="1649" applyFont="1" applyFill="1" applyBorder="1" applyAlignment="1">
      <alignment horizontal="center" vertical="center"/>
    </xf>
    <xf numFmtId="0" fontId="242" fillId="7" borderId="10" xfId="1649" applyFont="1" applyFill="1" applyBorder="1" applyAlignment="1">
      <alignment horizontal="center" vertical="center"/>
    </xf>
    <xf numFmtId="180" fontId="242" fillId="0" borderId="11" xfId="1649" applyNumberFormat="1" applyFont="1" applyFill="1" applyBorder="1" applyAlignment="1">
      <alignment horizontal="center" vertical="center"/>
    </xf>
    <xf numFmtId="1" fontId="242" fillId="0" borderId="11" xfId="1649" applyNumberFormat="1" applyFont="1" applyFill="1" applyBorder="1" applyAlignment="1">
      <alignment horizontal="center" vertical="center"/>
    </xf>
    <xf numFmtId="0" fontId="243" fillId="0" borderId="0" xfId="1649" applyFont="1" applyFill="1" applyBorder="1" applyAlignment="1">
      <alignment horizontal="center" vertical="center"/>
    </xf>
    <xf numFmtId="180" fontId="243" fillId="0" borderId="0" xfId="1649" applyNumberFormat="1" applyFont="1" applyFill="1" applyBorder="1" applyAlignment="1">
      <alignment horizontal="center" vertical="center"/>
    </xf>
    <xf numFmtId="1" fontId="243" fillId="0" borderId="0" xfId="1649" applyNumberFormat="1" applyFont="1" applyFill="1" applyBorder="1" applyAlignment="1">
      <alignment horizontal="center" vertical="center"/>
    </xf>
    <xf numFmtId="0" fontId="225" fillId="0" borderId="8" xfId="1649" applyFont="1" applyFill="1" applyBorder="1" applyAlignment="1">
      <alignment horizontal="center" vertical="center"/>
    </xf>
    <xf numFmtId="0" fontId="225" fillId="7" borderId="8" xfId="1649" applyFont="1" applyFill="1" applyBorder="1" applyAlignment="1">
      <alignment horizontal="center" vertical="center"/>
    </xf>
    <xf numFmtId="0" fontId="225" fillId="7" borderId="10" xfId="1649" applyFont="1" applyFill="1" applyBorder="1" applyAlignment="1">
      <alignment horizontal="center" vertical="center"/>
    </xf>
    <xf numFmtId="0" fontId="233" fillId="3" borderId="1" xfId="1654" applyFont="1" applyFill="1" applyBorder="1" applyAlignment="1">
      <alignment horizontal="center" vertical="center" wrapText="1"/>
    </xf>
    <xf numFmtId="178" fontId="237" fillId="2" borderId="11" xfId="1656" applyNumberFormat="1" applyFont="1" applyFill="1" applyBorder="1" applyAlignment="1">
      <alignment horizontal="center" vertical="center"/>
    </xf>
    <xf numFmtId="0" fontId="228" fillId="10" borderId="1" xfId="1657" applyFont="1" applyFill="1" applyBorder="1" applyAlignment="1">
      <alignment horizontal="center" vertical="center" wrapText="1"/>
    </xf>
    <xf numFmtId="0" fontId="228" fillId="11" borderId="1" xfId="1657" applyFont="1" applyFill="1" applyBorder="1" applyAlignment="1">
      <alignment horizontal="center" vertical="center"/>
    </xf>
    <xf numFmtId="0" fontId="228" fillId="11" borderId="2" xfId="1657" applyFont="1" applyFill="1" applyBorder="1" applyAlignment="1">
      <alignment horizontal="center" vertical="center" wrapText="1"/>
    </xf>
    <xf numFmtId="0" fontId="242" fillId="0" borderId="8" xfId="1657" applyFont="1" applyFill="1" applyBorder="1" applyAlignment="1">
      <alignment horizontal="center" vertical="center"/>
    </xf>
    <xf numFmtId="180" fontId="242" fillId="0" borderId="1" xfId="1657" applyNumberFormat="1" applyFont="1" applyFill="1" applyBorder="1" applyAlignment="1">
      <alignment horizontal="center" vertical="center"/>
    </xf>
    <xf numFmtId="1" fontId="242" fillId="0" borderId="1" xfId="1657" applyNumberFormat="1" applyFont="1" applyFill="1" applyBorder="1" applyAlignment="1">
      <alignment horizontal="center" vertical="center"/>
    </xf>
    <xf numFmtId="0" fontId="242" fillId="7" borderId="8" xfId="1657" applyFont="1" applyFill="1" applyBorder="1" applyAlignment="1">
      <alignment horizontal="center" vertical="center"/>
    </xf>
    <xf numFmtId="0" fontId="242" fillId="7" borderId="10" xfId="1657" applyFont="1" applyFill="1" applyBorder="1" applyAlignment="1">
      <alignment horizontal="center" vertical="center"/>
    </xf>
    <xf numFmtId="180" fontId="242" fillId="0" borderId="11" xfId="1657" applyNumberFormat="1" applyFont="1" applyFill="1" applyBorder="1" applyAlignment="1">
      <alignment horizontal="center" vertical="center"/>
    </xf>
    <xf numFmtId="1" fontId="242" fillId="0" borderId="11" xfId="1657" applyNumberFormat="1" applyFont="1" applyFill="1" applyBorder="1" applyAlignment="1">
      <alignment horizontal="center" vertical="center"/>
    </xf>
    <xf numFmtId="0" fontId="243" fillId="0" borderId="0" xfId="1657" applyFont="1" applyFill="1" applyBorder="1" applyAlignment="1">
      <alignment horizontal="center" vertical="center"/>
    </xf>
    <xf numFmtId="180" fontId="243" fillId="0" borderId="0" xfId="1657" applyNumberFormat="1" applyFont="1" applyFill="1" applyBorder="1" applyAlignment="1">
      <alignment horizontal="center" vertical="center"/>
    </xf>
    <xf numFmtId="1" fontId="243" fillId="0" borderId="0" xfId="1657" applyNumberFormat="1" applyFont="1" applyFill="1" applyBorder="1" applyAlignment="1">
      <alignment horizontal="center" vertical="center"/>
    </xf>
    <xf numFmtId="0" fontId="225" fillId="0" borderId="8" xfId="1657" applyFont="1" applyFill="1" applyBorder="1" applyAlignment="1">
      <alignment horizontal="center" vertical="center"/>
    </xf>
    <xf numFmtId="0" fontId="225" fillId="7" borderId="8" xfId="1657" applyFont="1" applyFill="1" applyBorder="1" applyAlignment="1">
      <alignment horizontal="center" vertical="center"/>
    </xf>
    <xf numFmtId="0" fontId="225" fillId="7" borderId="10" xfId="1657" applyFont="1" applyFill="1" applyBorder="1" applyAlignment="1">
      <alignment horizontal="center" vertical="center"/>
    </xf>
    <xf numFmtId="0" fontId="233" fillId="3" borderId="1" xfId="1658" applyFont="1" applyFill="1" applyBorder="1" applyAlignment="1">
      <alignment horizontal="center" vertical="center" wrapText="1"/>
    </xf>
    <xf numFmtId="178" fontId="237" fillId="2" borderId="11" xfId="1660" applyNumberFormat="1" applyFont="1" applyFill="1" applyBorder="1" applyAlignment="1">
      <alignment horizontal="center" vertical="center"/>
    </xf>
    <xf numFmtId="0" fontId="228" fillId="10" borderId="1" xfId="1661" applyFont="1" applyFill="1" applyBorder="1" applyAlignment="1">
      <alignment horizontal="center" vertical="center" wrapText="1"/>
    </xf>
    <xf numFmtId="0" fontId="228" fillId="11" borderId="1" xfId="1661" applyFont="1" applyFill="1" applyBorder="1" applyAlignment="1">
      <alignment horizontal="center" vertical="center"/>
    </xf>
    <xf numFmtId="0" fontId="228" fillId="11" borderId="2" xfId="1661" applyFont="1" applyFill="1" applyBorder="1" applyAlignment="1">
      <alignment horizontal="center" vertical="center" wrapText="1"/>
    </xf>
    <xf numFmtId="0" fontId="242" fillId="0" borderId="8" xfId="1661" applyFont="1" applyFill="1" applyBorder="1" applyAlignment="1">
      <alignment horizontal="center" vertical="center"/>
    </xf>
    <xf numFmtId="180" fontId="242" fillId="0" borderId="1" xfId="1661" applyNumberFormat="1" applyFont="1" applyFill="1" applyBorder="1" applyAlignment="1">
      <alignment horizontal="center" vertical="center"/>
    </xf>
    <xf numFmtId="1" fontId="242" fillId="0" borderId="1" xfId="1661" applyNumberFormat="1" applyFont="1" applyFill="1" applyBorder="1" applyAlignment="1">
      <alignment horizontal="center" vertical="center"/>
    </xf>
    <xf numFmtId="0" fontId="242" fillId="7" borderId="8" xfId="1661" applyFont="1" applyFill="1" applyBorder="1" applyAlignment="1">
      <alignment horizontal="center" vertical="center"/>
    </xf>
    <xf numFmtId="0" fontId="242" fillId="7" borderId="10" xfId="1661" applyFont="1" applyFill="1" applyBorder="1" applyAlignment="1">
      <alignment horizontal="center" vertical="center"/>
    </xf>
    <xf numFmtId="180" fontId="242" fillId="0" borderId="11" xfId="1661" applyNumberFormat="1" applyFont="1" applyFill="1" applyBorder="1" applyAlignment="1">
      <alignment horizontal="center" vertical="center"/>
    </xf>
    <xf numFmtId="1" fontId="242" fillId="0" borderId="11" xfId="1661" applyNumberFormat="1" applyFont="1" applyFill="1" applyBorder="1" applyAlignment="1">
      <alignment horizontal="center" vertical="center"/>
    </xf>
    <xf numFmtId="0" fontId="243" fillId="0" borderId="0" xfId="1661" applyFont="1" applyFill="1" applyBorder="1" applyAlignment="1">
      <alignment horizontal="center" vertical="center"/>
    </xf>
    <xf numFmtId="180" fontId="243" fillId="0" borderId="0" xfId="1661" applyNumberFormat="1" applyFont="1" applyFill="1" applyBorder="1" applyAlignment="1">
      <alignment horizontal="center" vertical="center"/>
    </xf>
    <xf numFmtId="1" fontId="243" fillId="0" borderId="0" xfId="1661" applyNumberFormat="1" applyFont="1" applyFill="1" applyBorder="1" applyAlignment="1">
      <alignment horizontal="center" vertical="center"/>
    </xf>
    <xf numFmtId="0" fontId="225" fillId="0" borderId="8" xfId="1661" applyFont="1" applyFill="1" applyBorder="1" applyAlignment="1">
      <alignment horizontal="center" vertical="center"/>
    </xf>
    <xf numFmtId="0" fontId="225" fillId="7" borderId="8" xfId="1661" applyFont="1" applyFill="1" applyBorder="1" applyAlignment="1">
      <alignment horizontal="center" vertical="center"/>
    </xf>
    <xf numFmtId="0" fontId="225" fillId="7" borderId="10" xfId="1661" applyFont="1" applyFill="1" applyBorder="1" applyAlignment="1">
      <alignment horizontal="center" vertical="center"/>
    </xf>
    <xf numFmtId="0" fontId="233" fillId="3" borderId="1" xfId="1662" applyFont="1" applyFill="1" applyBorder="1" applyAlignment="1">
      <alignment horizontal="center" vertical="center" wrapText="1"/>
    </xf>
    <xf numFmtId="178" fontId="237" fillId="2" borderId="11" xfId="1664" applyNumberFormat="1" applyFont="1" applyFill="1" applyBorder="1" applyAlignment="1">
      <alignment horizontal="center" vertical="center"/>
    </xf>
    <xf numFmtId="0" fontId="228" fillId="10" borderId="1" xfId="1665" applyFont="1" applyFill="1" applyBorder="1" applyAlignment="1">
      <alignment horizontal="center" vertical="center" wrapText="1"/>
    </xf>
    <xf numFmtId="0" fontId="228" fillId="11" borderId="1" xfId="1665" applyFont="1" applyFill="1" applyBorder="1" applyAlignment="1">
      <alignment horizontal="center" vertical="center"/>
    </xf>
    <xf numFmtId="0" fontId="228" fillId="11" borderId="2" xfId="1665" applyFont="1" applyFill="1" applyBorder="1" applyAlignment="1">
      <alignment horizontal="center" vertical="center" wrapText="1"/>
    </xf>
    <xf numFmtId="0" fontId="242" fillId="0" borderId="8" xfId="1665" applyFont="1" applyFill="1" applyBorder="1" applyAlignment="1">
      <alignment horizontal="center" vertical="center"/>
    </xf>
    <xf numFmtId="180" fontId="242" fillId="0" borderId="1" xfId="1665" applyNumberFormat="1" applyFont="1" applyFill="1" applyBorder="1" applyAlignment="1">
      <alignment horizontal="center" vertical="center"/>
    </xf>
    <xf numFmtId="1" fontId="242" fillId="0" borderId="1" xfId="1665" applyNumberFormat="1" applyFont="1" applyFill="1" applyBorder="1" applyAlignment="1">
      <alignment horizontal="center" vertical="center"/>
    </xf>
    <xf numFmtId="0" fontId="242" fillId="7" borderId="8" xfId="1665" applyFont="1" applyFill="1" applyBorder="1" applyAlignment="1">
      <alignment horizontal="center" vertical="center"/>
    </xf>
    <xf numFmtId="0" fontId="242" fillId="7" borderId="10" xfId="1665" applyFont="1" applyFill="1" applyBorder="1" applyAlignment="1">
      <alignment horizontal="center" vertical="center"/>
    </xf>
    <xf numFmtId="180" fontId="242" fillId="0" borderId="11" xfId="1665" applyNumberFormat="1" applyFont="1" applyFill="1" applyBorder="1" applyAlignment="1">
      <alignment horizontal="center" vertical="center"/>
    </xf>
    <xf numFmtId="1" fontId="242" fillId="0" borderId="11" xfId="1665" applyNumberFormat="1" applyFont="1" applyFill="1" applyBorder="1" applyAlignment="1">
      <alignment horizontal="center" vertical="center"/>
    </xf>
    <xf numFmtId="0" fontId="243" fillId="0" borderId="0" xfId="1665" applyFont="1" applyFill="1" applyBorder="1" applyAlignment="1">
      <alignment horizontal="center" vertical="center"/>
    </xf>
    <xf numFmtId="180" fontId="243" fillId="0" borderId="0" xfId="1665" applyNumberFormat="1" applyFont="1" applyFill="1" applyBorder="1" applyAlignment="1">
      <alignment horizontal="center" vertical="center"/>
    </xf>
    <xf numFmtId="1" fontId="243" fillId="0" borderId="0" xfId="1665" applyNumberFormat="1" applyFont="1" applyFill="1" applyBorder="1" applyAlignment="1">
      <alignment horizontal="center" vertical="center"/>
    </xf>
    <xf numFmtId="0" fontId="225" fillId="0" borderId="8" xfId="1665" applyFont="1" applyFill="1" applyBorder="1" applyAlignment="1">
      <alignment horizontal="center" vertical="center"/>
    </xf>
    <xf numFmtId="0" fontId="225" fillId="7" borderId="8" xfId="1665" applyFont="1" applyFill="1" applyBorder="1" applyAlignment="1">
      <alignment horizontal="center" vertical="center"/>
    </xf>
    <xf numFmtId="0" fontId="225" fillId="7" borderId="10" xfId="1665" applyFont="1" applyFill="1" applyBorder="1" applyAlignment="1">
      <alignment horizontal="center" vertical="center"/>
    </xf>
    <xf numFmtId="0" fontId="233" fillId="3" borderId="1" xfId="1666" applyFont="1" applyFill="1" applyBorder="1" applyAlignment="1">
      <alignment horizontal="center" vertical="center" wrapText="1"/>
    </xf>
    <xf numFmtId="178" fontId="237" fillId="2" borderId="11" xfId="1668" applyNumberFormat="1" applyFont="1" applyFill="1" applyBorder="1" applyAlignment="1">
      <alignment horizontal="center" vertical="center"/>
    </xf>
    <xf numFmtId="0" fontId="228" fillId="10" borderId="1" xfId="1669" applyFont="1" applyFill="1" applyBorder="1" applyAlignment="1">
      <alignment horizontal="center" vertical="center" wrapText="1"/>
    </xf>
    <xf numFmtId="0" fontId="228" fillId="11" borderId="1" xfId="1669" applyFont="1" applyFill="1" applyBorder="1" applyAlignment="1">
      <alignment horizontal="center" vertical="center"/>
    </xf>
    <xf numFmtId="0" fontId="228" fillId="11" borderId="2" xfId="1669" applyFont="1" applyFill="1" applyBorder="1" applyAlignment="1">
      <alignment horizontal="center" vertical="center" wrapText="1"/>
    </xf>
    <xf numFmtId="0" fontId="242" fillId="0" borderId="8" xfId="1669" applyFont="1" applyFill="1" applyBorder="1" applyAlignment="1">
      <alignment horizontal="center" vertical="center"/>
    </xf>
    <xf numFmtId="180" fontId="242" fillId="0" borderId="1" xfId="1669" applyNumberFormat="1" applyFont="1" applyFill="1" applyBorder="1" applyAlignment="1">
      <alignment horizontal="center" vertical="center"/>
    </xf>
    <xf numFmtId="1" fontId="242" fillId="0" borderId="1" xfId="1669" applyNumberFormat="1" applyFont="1" applyFill="1" applyBorder="1" applyAlignment="1">
      <alignment horizontal="center" vertical="center"/>
    </xf>
    <xf numFmtId="0" fontId="242" fillId="7" borderId="8" xfId="1669" applyFont="1" applyFill="1" applyBorder="1" applyAlignment="1">
      <alignment horizontal="center" vertical="center"/>
    </xf>
    <xf numFmtId="0" fontId="242" fillId="7" borderId="10" xfId="1669" applyFont="1" applyFill="1" applyBorder="1" applyAlignment="1">
      <alignment horizontal="center" vertical="center"/>
    </xf>
    <xf numFmtId="180" fontId="242" fillId="0" borderId="11" xfId="1669" applyNumberFormat="1" applyFont="1" applyFill="1" applyBorder="1" applyAlignment="1">
      <alignment horizontal="center" vertical="center"/>
    </xf>
    <xf numFmtId="1" fontId="242" fillId="0" borderId="11" xfId="1669" applyNumberFormat="1" applyFont="1" applyFill="1" applyBorder="1" applyAlignment="1">
      <alignment horizontal="center" vertical="center"/>
    </xf>
    <xf numFmtId="0" fontId="243" fillId="0" borderId="0" xfId="1669" applyFont="1" applyFill="1" applyBorder="1" applyAlignment="1">
      <alignment horizontal="center" vertical="center"/>
    </xf>
    <xf numFmtId="180" fontId="243" fillId="0" borderId="0" xfId="1669" applyNumberFormat="1" applyFont="1" applyFill="1" applyBorder="1" applyAlignment="1">
      <alignment horizontal="center" vertical="center"/>
    </xf>
    <xf numFmtId="1" fontId="243" fillId="0" borderId="0" xfId="1669" applyNumberFormat="1" applyFont="1" applyFill="1" applyBorder="1" applyAlignment="1">
      <alignment horizontal="center" vertical="center"/>
    </xf>
    <xf numFmtId="0" fontId="225" fillId="0" borderId="8" xfId="1669" applyFont="1" applyFill="1" applyBorder="1" applyAlignment="1">
      <alignment horizontal="center" vertical="center"/>
    </xf>
    <xf numFmtId="0" fontId="225" fillId="7" borderId="8" xfId="1669" applyFont="1" applyFill="1" applyBorder="1" applyAlignment="1">
      <alignment horizontal="center" vertical="center"/>
    </xf>
    <xf numFmtId="0" fontId="225" fillId="7" borderId="10" xfId="1669" applyFont="1" applyFill="1" applyBorder="1" applyAlignment="1">
      <alignment horizontal="center" vertical="center"/>
    </xf>
    <xf numFmtId="0" fontId="233" fillId="3" borderId="1" xfId="1670" applyFont="1" applyFill="1" applyBorder="1" applyAlignment="1">
      <alignment horizontal="center" vertical="center" wrapText="1"/>
    </xf>
    <xf numFmtId="178" fontId="237" fillId="2" borderId="11" xfId="1672" applyNumberFormat="1" applyFont="1" applyFill="1" applyBorder="1" applyAlignment="1">
      <alignment horizontal="center" vertical="center"/>
    </xf>
    <xf numFmtId="0" fontId="228" fillId="10" borderId="1" xfId="1673" applyFont="1" applyFill="1" applyBorder="1" applyAlignment="1">
      <alignment horizontal="center" vertical="center" wrapText="1"/>
    </xf>
    <xf numFmtId="0" fontId="228" fillId="11" borderId="1" xfId="1673" applyFont="1" applyFill="1" applyBorder="1" applyAlignment="1">
      <alignment horizontal="center" vertical="center"/>
    </xf>
    <xf numFmtId="0" fontId="228" fillId="11" borderId="2" xfId="1673" applyFont="1" applyFill="1" applyBorder="1" applyAlignment="1">
      <alignment horizontal="center" vertical="center" wrapText="1"/>
    </xf>
    <xf numFmtId="0" fontId="242" fillId="0" borderId="8" xfId="1673" applyFont="1" applyFill="1" applyBorder="1" applyAlignment="1">
      <alignment horizontal="center" vertical="center"/>
    </xf>
    <xf numFmtId="180" fontId="242" fillId="0" borderId="1" xfId="1673" applyNumberFormat="1" applyFont="1" applyFill="1" applyBorder="1" applyAlignment="1">
      <alignment horizontal="center" vertical="center"/>
    </xf>
    <xf numFmtId="1" fontId="242" fillId="0" borderId="1" xfId="1673" applyNumberFormat="1" applyFont="1" applyFill="1" applyBorder="1" applyAlignment="1">
      <alignment horizontal="center" vertical="center"/>
    </xf>
    <xf numFmtId="0" fontId="242" fillId="7" borderId="8" xfId="1673" applyFont="1" applyFill="1" applyBorder="1" applyAlignment="1">
      <alignment horizontal="center" vertical="center"/>
    </xf>
    <xf numFmtId="0" fontId="242" fillId="7" borderId="10" xfId="1673" applyFont="1" applyFill="1" applyBorder="1" applyAlignment="1">
      <alignment horizontal="center" vertical="center"/>
    </xf>
    <xf numFmtId="180" fontId="242" fillId="0" borderId="11" xfId="1673" applyNumberFormat="1" applyFont="1" applyFill="1" applyBorder="1" applyAlignment="1">
      <alignment horizontal="center" vertical="center"/>
    </xf>
    <xf numFmtId="1" fontId="242" fillId="0" borderId="11" xfId="1673" applyNumberFormat="1" applyFont="1" applyFill="1" applyBorder="1" applyAlignment="1">
      <alignment horizontal="center" vertical="center"/>
    </xf>
    <xf numFmtId="0" fontId="243" fillId="0" borderId="0" xfId="1673" applyFont="1" applyFill="1" applyBorder="1" applyAlignment="1">
      <alignment horizontal="center" vertical="center"/>
    </xf>
    <xf numFmtId="180" fontId="243" fillId="0" borderId="0" xfId="1673" applyNumberFormat="1" applyFont="1" applyFill="1" applyBorder="1" applyAlignment="1">
      <alignment horizontal="center" vertical="center"/>
    </xf>
    <xf numFmtId="1" fontId="243" fillId="0" borderId="0" xfId="1673" applyNumberFormat="1" applyFont="1" applyFill="1" applyBorder="1" applyAlignment="1">
      <alignment horizontal="center" vertical="center"/>
    </xf>
    <xf numFmtId="0" fontId="225" fillId="0" borderId="8" xfId="1673" applyFont="1" applyFill="1" applyBorder="1" applyAlignment="1">
      <alignment horizontal="center" vertical="center"/>
    </xf>
    <xf numFmtId="0" fontId="225" fillId="7" borderId="8" xfId="1673" applyFont="1" applyFill="1" applyBorder="1" applyAlignment="1">
      <alignment horizontal="center" vertical="center"/>
    </xf>
    <xf numFmtId="0" fontId="225" fillId="7" borderId="10" xfId="1673" applyFont="1" applyFill="1" applyBorder="1" applyAlignment="1">
      <alignment horizontal="center" vertical="center"/>
    </xf>
    <xf numFmtId="0" fontId="233" fillId="3" borderId="1" xfId="1674" applyFont="1" applyFill="1" applyBorder="1" applyAlignment="1">
      <alignment horizontal="center" vertical="center" wrapText="1"/>
    </xf>
    <xf numFmtId="178" fontId="237" fillId="2" borderId="11" xfId="1676" applyNumberFormat="1" applyFont="1" applyFill="1" applyBorder="1" applyAlignment="1">
      <alignment horizontal="center" vertical="center"/>
    </xf>
    <xf numFmtId="0" fontId="228" fillId="10" borderId="1" xfId="1677" applyFont="1" applyFill="1" applyBorder="1" applyAlignment="1">
      <alignment horizontal="center" vertical="center" wrapText="1"/>
    </xf>
    <xf numFmtId="0" fontId="228" fillId="11" borderId="1" xfId="1677" applyFont="1" applyFill="1" applyBorder="1" applyAlignment="1">
      <alignment horizontal="center" vertical="center"/>
    </xf>
    <xf numFmtId="0" fontId="228" fillId="11" borderId="2" xfId="1677" applyFont="1" applyFill="1" applyBorder="1" applyAlignment="1">
      <alignment horizontal="center" vertical="center" wrapText="1"/>
    </xf>
    <xf numFmtId="0" fontId="242" fillId="0" borderId="8" xfId="1677" applyFont="1" applyFill="1" applyBorder="1" applyAlignment="1">
      <alignment horizontal="center" vertical="center"/>
    </xf>
    <xf numFmtId="180" fontId="242" fillId="0" borderId="1" xfId="1677" applyNumberFormat="1" applyFont="1" applyFill="1" applyBorder="1" applyAlignment="1">
      <alignment horizontal="center" vertical="center"/>
    </xf>
    <xf numFmtId="1" fontId="242" fillId="0" borderId="1" xfId="1677" applyNumberFormat="1" applyFont="1" applyFill="1" applyBorder="1" applyAlignment="1">
      <alignment horizontal="center" vertical="center"/>
    </xf>
    <xf numFmtId="0" fontId="242" fillId="7" borderId="8" xfId="1677" applyFont="1" applyFill="1" applyBorder="1" applyAlignment="1">
      <alignment horizontal="center" vertical="center"/>
    </xf>
    <xf numFmtId="0" fontId="242" fillId="7" borderId="10" xfId="1677" applyFont="1" applyFill="1" applyBorder="1" applyAlignment="1">
      <alignment horizontal="center" vertical="center"/>
    </xf>
    <xf numFmtId="180" fontId="242" fillId="0" borderId="11" xfId="1677" applyNumberFormat="1" applyFont="1" applyFill="1" applyBorder="1" applyAlignment="1">
      <alignment horizontal="center" vertical="center"/>
    </xf>
    <xf numFmtId="1" fontId="242" fillId="0" borderId="11" xfId="1677" applyNumberFormat="1" applyFont="1" applyFill="1" applyBorder="1" applyAlignment="1">
      <alignment horizontal="center" vertical="center"/>
    </xf>
    <xf numFmtId="0" fontId="243" fillId="0" borderId="0" xfId="1677" applyFont="1" applyFill="1" applyBorder="1" applyAlignment="1">
      <alignment horizontal="center" vertical="center"/>
    </xf>
    <xf numFmtId="180" fontId="243" fillId="0" borderId="0" xfId="1677" applyNumberFormat="1" applyFont="1" applyFill="1" applyBorder="1" applyAlignment="1">
      <alignment horizontal="center" vertical="center"/>
    </xf>
    <xf numFmtId="1" fontId="243" fillId="0" borderId="0" xfId="1677" applyNumberFormat="1" applyFont="1" applyFill="1" applyBorder="1" applyAlignment="1">
      <alignment horizontal="center" vertical="center"/>
    </xf>
    <xf numFmtId="0" fontId="225" fillId="0" borderId="8" xfId="1677" applyFont="1" applyFill="1" applyBorder="1" applyAlignment="1">
      <alignment horizontal="center" vertical="center"/>
    </xf>
    <xf numFmtId="0" fontId="225" fillId="7" borderId="8" xfId="1677" applyFont="1" applyFill="1" applyBorder="1" applyAlignment="1">
      <alignment horizontal="center" vertical="center"/>
    </xf>
    <xf numFmtId="0" fontId="225" fillId="7" borderId="10" xfId="1677" applyFont="1" applyFill="1" applyBorder="1" applyAlignment="1">
      <alignment horizontal="center" vertical="center"/>
    </xf>
    <xf numFmtId="0" fontId="228" fillId="10" borderId="1" xfId="1681" applyFont="1" applyFill="1" applyBorder="1" applyAlignment="1">
      <alignment horizontal="center" vertical="center" wrapText="1"/>
    </xf>
    <xf numFmtId="0" fontId="228" fillId="11" borderId="1" xfId="1681" applyFont="1" applyFill="1" applyBorder="1" applyAlignment="1">
      <alignment horizontal="center" vertical="center"/>
    </xf>
    <xf numFmtId="0" fontId="228" fillId="11" borderId="2" xfId="1681" applyFont="1" applyFill="1" applyBorder="1" applyAlignment="1">
      <alignment horizontal="center" vertical="center" wrapText="1"/>
    </xf>
    <xf numFmtId="0" fontId="242" fillId="0" borderId="8" xfId="1681" applyFont="1" applyFill="1" applyBorder="1" applyAlignment="1">
      <alignment horizontal="center" vertical="center"/>
    </xf>
    <xf numFmtId="180" fontId="242" fillId="0" borderId="1" xfId="1681" applyNumberFormat="1" applyFont="1" applyFill="1" applyBorder="1" applyAlignment="1">
      <alignment horizontal="center" vertical="center"/>
    </xf>
    <xf numFmtId="1" fontId="242" fillId="0" borderId="1" xfId="1681" applyNumberFormat="1" applyFont="1" applyFill="1" applyBorder="1" applyAlignment="1">
      <alignment horizontal="center" vertical="center"/>
    </xf>
    <xf numFmtId="0" fontId="242" fillId="7" borderId="8" xfId="1681" applyFont="1" applyFill="1" applyBorder="1" applyAlignment="1">
      <alignment horizontal="center" vertical="center"/>
    </xf>
    <xf numFmtId="0" fontId="242" fillId="7" borderId="10" xfId="1681" applyFont="1" applyFill="1" applyBorder="1" applyAlignment="1">
      <alignment horizontal="center" vertical="center"/>
    </xf>
    <xf numFmtId="180" fontId="242" fillId="0" borderId="11" xfId="1681" applyNumberFormat="1" applyFont="1" applyFill="1" applyBorder="1" applyAlignment="1">
      <alignment horizontal="center" vertical="center"/>
    </xf>
    <xf numFmtId="1" fontId="242" fillId="0" borderId="11" xfId="1681" applyNumberFormat="1" applyFont="1" applyFill="1" applyBorder="1" applyAlignment="1">
      <alignment horizontal="center" vertical="center"/>
    </xf>
    <xf numFmtId="0" fontId="243" fillId="0" borderId="0" xfId="1681" applyFont="1" applyFill="1" applyBorder="1" applyAlignment="1">
      <alignment horizontal="center" vertical="center"/>
    </xf>
    <xf numFmtId="180" fontId="243" fillId="0" borderId="0" xfId="1681" applyNumberFormat="1" applyFont="1" applyFill="1" applyBorder="1" applyAlignment="1">
      <alignment horizontal="center" vertical="center"/>
    </xf>
    <xf numFmtId="1" fontId="243" fillId="0" borderId="0" xfId="1681" applyNumberFormat="1" applyFont="1" applyFill="1" applyBorder="1" applyAlignment="1">
      <alignment horizontal="center" vertical="center"/>
    </xf>
    <xf numFmtId="0" fontId="225" fillId="0" borderId="8" xfId="1681" applyFont="1" applyFill="1" applyBorder="1" applyAlignment="1">
      <alignment horizontal="center" vertical="center"/>
    </xf>
    <xf numFmtId="0" fontId="225" fillId="7" borderId="8" xfId="1681" applyFont="1" applyFill="1" applyBorder="1" applyAlignment="1">
      <alignment horizontal="center" vertical="center"/>
    </xf>
    <xf numFmtId="0" fontId="225" fillId="7" borderId="10" xfId="1681" applyFont="1" applyFill="1" applyBorder="1" applyAlignment="1">
      <alignment horizontal="center" vertical="center"/>
    </xf>
    <xf numFmtId="10" fontId="238" fillId="0" borderId="12" xfId="1" applyNumberFormat="1" applyFont="1" applyBorder="1" applyAlignment="1">
      <alignment horizontal="center" vertical="center"/>
    </xf>
    <xf numFmtId="0" fontId="233" fillId="3" borderId="1" xfId="586" applyFont="1" applyFill="1" applyBorder="1" applyAlignment="1">
      <alignment horizontal="center" vertical="center" wrapText="1"/>
    </xf>
    <xf numFmtId="178" fontId="237" fillId="2" borderId="11" xfId="585" applyNumberFormat="1" applyFont="1" applyFill="1" applyBorder="1" applyAlignment="1">
      <alignment horizontal="center" vertical="center"/>
    </xf>
    <xf numFmtId="0" fontId="225" fillId="0" borderId="1" xfId="11" applyFont="1" applyBorder="1" applyAlignment="1">
      <alignment horizontal="left" vertical="center"/>
    </xf>
    <xf numFmtId="0" fontId="227" fillId="4" borderId="1" xfId="11" applyFont="1" applyFill="1" applyBorder="1" applyAlignment="1">
      <alignment horizontal="center" vertical="center"/>
    </xf>
    <xf numFmtId="0" fontId="228" fillId="3" borderId="1" xfId="11" applyFont="1" applyFill="1" applyBorder="1" applyAlignment="1">
      <alignment horizontal="center" vertical="center" wrapText="1"/>
    </xf>
    <xf numFmtId="0" fontId="228" fillId="3" borderId="1" xfId="11" applyFont="1" applyFill="1" applyBorder="1" applyAlignment="1">
      <alignment horizontal="center" vertical="center"/>
    </xf>
    <xf numFmtId="0" fontId="225" fillId="3" borderId="1" xfId="11" applyFont="1" applyFill="1" applyBorder="1" applyAlignment="1">
      <alignment horizontal="center" vertical="center"/>
    </xf>
    <xf numFmtId="0" fontId="229" fillId="3" borderId="1" xfId="11" applyFont="1" applyFill="1" applyBorder="1" applyAlignment="1">
      <alignment horizontal="center" vertical="center" wrapText="1"/>
    </xf>
    <xf numFmtId="0" fontId="225" fillId="0" borderId="2" xfId="11" applyFont="1" applyBorder="1" applyAlignment="1">
      <alignment horizontal="left" vertical="center"/>
    </xf>
    <xf numFmtId="0" fontId="225" fillId="0" borderId="4" xfId="11" applyFont="1" applyBorder="1" applyAlignment="1">
      <alignment horizontal="left" vertical="center"/>
    </xf>
    <xf numFmtId="0" fontId="225" fillId="0" borderId="3" xfId="11" applyFont="1" applyBorder="1" applyAlignment="1">
      <alignment horizontal="left" vertical="center"/>
    </xf>
    <xf numFmtId="0" fontId="226" fillId="2" borderId="0" xfId="7" applyFont="1" applyFill="1" applyAlignment="1">
      <alignment horizontal="left" vertical="center"/>
    </xf>
    <xf numFmtId="0" fontId="227" fillId="3" borderId="0" xfId="0" applyFont="1" applyFill="1" applyBorder="1" applyAlignment="1">
      <alignment horizontal="left" vertical="center"/>
    </xf>
    <xf numFmtId="0" fontId="226" fillId="2" borderId="0" xfId="0" applyFont="1" applyFill="1" applyBorder="1" applyAlignment="1">
      <alignment horizontal="left" vertical="center"/>
    </xf>
    <xf numFmtId="0" fontId="232" fillId="5" borderId="5" xfId="0" applyFont="1" applyFill="1" applyBorder="1" applyAlignment="1">
      <alignment horizontal="center" vertical="center"/>
    </xf>
    <xf numFmtId="0" fontId="232" fillId="5" borderId="6" xfId="0" applyFont="1" applyFill="1" applyBorder="1" applyAlignment="1">
      <alignment horizontal="center" vertical="center"/>
    </xf>
    <xf numFmtId="0" fontId="232" fillId="5" borderId="7" xfId="0" applyFont="1" applyFill="1" applyBorder="1" applyAlignment="1">
      <alignment horizontal="center" vertical="center"/>
    </xf>
    <xf numFmtId="0" fontId="227" fillId="0" borderId="8" xfId="0" applyFont="1" applyFill="1" applyBorder="1" applyAlignment="1">
      <alignment horizontal="center" vertical="center"/>
    </xf>
    <xf numFmtId="0" fontId="227" fillId="0" borderId="1" xfId="0" applyFont="1" applyFill="1" applyBorder="1" applyAlignment="1">
      <alignment horizontal="center" vertical="center"/>
    </xf>
    <xf numFmtId="0" fontId="227" fillId="0" borderId="9" xfId="0" applyFont="1" applyFill="1" applyBorder="1" applyAlignment="1">
      <alignment horizontal="center" vertical="center"/>
    </xf>
    <xf numFmtId="0" fontId="228" fillId="8" borderId="8" xfId="1681" applyFont="1" applyFill="1" applyBorder="1" applyAlignment="1">
      <alignment horizontal="center" vertical="center"/>
    </xf>
    <xf numFmtId="0" fontId="228" fillId="3" borderId="1" xfId="0" applyFont="1" applyFill="1" applyBorder="1" applyAlignment="1">
      <alignment horizontal="center" vertical="center"/>
    </xf>
    <xf numFmtId="0" fontId="228" fillId="3" borderId="9" xfId="0" applyFont="1" applyFill="1" applyBorder="1" applyAlignment="1">
      <alignment horizontal="center" vertical="center"/>
    </xf>
    <xf numFmtId="0" fontId="228" fillId="8" borderId="1" xfId="1681" applyFont="1" applyFill="1" applyBorder="1" applyAlignment="1">
      <alignment horizontal="center" vertical="center"/>
    </xf>
    <xf numFmtId="0" fontId="228" fillId="8" borderId="1" xfId="1681" applyFont="1" applyFill="1" applyBorder="1" applyAlignment="1">
      <alignment horizontal="center" vertical="center" wrapText="1"/>
    </xf>
    <xf numFmtId="0" fontId="228" fillId="8" borderId="9" xfId="1681" applyFont="1" applyFill="1" applyBorder="1" applyAlignment="1">
      <alignment horizontal="center" vertical="center" wrapText="1"/>
    </xf>
    <xf numFmtId="0" fontId="232" fillId="5" borderId="13" xfId="0" applyFont="1" applyFill="1" applyBorder="1" applyAlignment="1">
      <alignment horizontal="center" vertical="center"/>
    </xf>
    <xf numFmtId="0" fontId="228" fillId="3" borderId="1" xfId="7" applyFont="1" applyFill="1" applyBorder="1" applyAlignment="1">
      <alignment horizontal="center" vertical="center"/>
    </xf>
    <xf numFmtId="0" fontId="228" fillId="3" borderId="1" xfId="7" applyFont="1" applyFill="1" applyBorder="1" applyAlignment="1">
      <alignment horizontal="center" vertical="center" wrapText="1"/>
    </xf>
    <xf numFmtId="0" fontId="228" fillId="8" borderId="14" xfId="1681" applyFont="1" applyFill="1" applyBorder="1" applyAlignment="1">
      <alignment horizontal="center" vertical="center"/>
    </xf>
    <xf numFmtId="0" fontId="228" fillId="8" borderId="15" xfId="1681" applyFont="1" applyFill="1" applyBorder="1" applyAlignment="1">
      <alignment horizontal="center" vertical="center"/>
    </xf>
    <xf numFmtId="0" fontId="228" fillId="8" borderId="17" xfId="1681" applyFont="1" applyFill="1" applyBorder="1" applyAlignment="1">
      <alignment horizontal="center" vertical="center"/>
    </xf>
    <xf numFmtId="0" fontId="228" fillId="3" borderId="2" xfId="0" applyFont="1" applyFill="1" applyBorder="1" applyAlignment="1">
      <alignment horizontal="center" vertical="center"/>
    </xf>
    <xf numFmtId="0" fontId="228" fillId="3" borderId="3" xfId="0" applyFont="1" applyFill="1" applyBorder="1" applyAlignment="1">
      <alignment horizontal="center" vertical="center"/>
    </xf>
    <xf numFmtId="0" fontId="228" fillId="4" borderId="1" xfId="0" applyFont="1" applyFill="1" applyBorder="1" applyAlignment="1">
      <alignment horizontal="center" vertical="center"/>
    </xf>
    <xf numFmtId="0" fontId="228" fillId="9" borderId="1" xfId="0" applyFont="1" applyFill="1" applyBorder="1" applyAlignment="1">
      <alignment horizontal="center" vertical="center"/>
    </xf>
    <xf numFmtId="0" fontId="228" fillId="9" borderId="2" xfId="0" applyFont="1" applyFill="1" applyBorder="1" applyAlignment="1">
      <alignment horizontal="center" vertical="center"/>
    </xf>
    <xf numFmtId="0" fontId="228" fillId="8" borderId="16" xfId="1681" applyFont="1" applyFill="1" applyBorder="1" applyAlignment="1">
      <alignment horizontal="center" vertical="center"/>
    </xf>
    <xf numFmtId="0" fontId="228" fillId="8" borderId="18" xfId="1681" applyFont="1" applyFill="1" applyBorder="1" applyAlignment="1">
      <alignment horizontal="center" vertical="center"/>
    </xf>
    <xf numFmtId="0" fontId="228" fillId="8" borderId="16" xfId="1681" applyFont="1" applyFill="1" applyBorder="1" applyAlignment="1">
      <alignment horizontal="center" vertical="center" wrapText="1"/>
    </xf>
    <xf numFmtId="0" fontId="228" fillId="8" borderId="18" xfId="1681" applyFont="1" applyFill="1" applyBorder="1" applyAlignment="1">
      <alignment horizontal="center" vertical="center" wrapText="1"/>
    </xf>
    <xf numFmtId="0" fontId="241" fillId="4" borderId="1" xfId="1681" applyFont="1" applyFill="1" applyBorder="1" applyAlignment="1">
      <alignment horizontal="center"/>
    </xf>
    <xf numFmtId="0" fontId="241" fillId="9" borderId="2" xfId="1681" applyFont="1" applyFill="1" applyBorder="1" applyAlignment="1">
      <alignment horizontal="center"/>
    </xf>
    <xf numFmtId="0" fontId="241" fillId="9" borderId="4" xfId="1681" applyFont="1" applyFill="1" applyBorder="1" applyAlignment="1">
      <alignment horizontal="center"/>
    </xf>
    <xf numFmtId="0" fontId="241" fillId="9" borderId="3" xfId="1681" applyFont="1" applyFill="1" applyBorder="1" applyAlignment="1">
      <alignment horizontal="center"/>
    </xf>
    <xf numFmtId="0" fontId="241" fillId="9" borderId="1" xfId="1681" applyFont="1" applyFill="1" applyBorder="1" applyAlignment="1">
      <alignment horizontal="center"/>
    </xf>
    <xf numFmtId="0" fontId="235" fillId="3" borderId="1" xfId="0" applyFont="1" applyFill="1" applyBorder="1" applyAlignment="1">
      <alignment horizontal="center"/>
    </xf>
    <xf numFmtId="0" fontId="235" fillId="3" borderId="9" xfId="0" applyFont="1" applyFill="1" applyBorder="1" applyAlignment="1">
      <alignment horizontal="center"/>
    </xf>
    <xf numFmtId="177" fontId="226" fillId="6" borderId="10" xfId="586" applyNumberFormat="1" applyFont="1" applyFill="1" applyBorder="1" applyAlignment="1">
      <alignment horizontal="center" vertical="center"/>
    </xf>
    <xf numFmtId="177" fontId="226" fillId="6" borderId="11" xfId="586" applyNumberFormat="1" applyFont="1" applyFill="1" applyBorder="1" applyAlignment="1">
      <alignment horizontal="center" vertical="center"/>
    </xf>
    <xf numFmtId="177" fontId="233" fillId="2" borderId="8" xfId="587" applyNumberFormat="1" applyFont="1" applyFill="1" applyBorder="1" applyAlignment="1">
      <alignment horizontal="center" vertical="center"/>
    </xf>
    <xf numFmtId="177" fontId="233" fillId="2" borderId="1" xfId="587" applyNumberFormat="1" applyFont="1" applyFill="1" applyBorder="1" applyAlignment="1">
      <alignment horizontal="center" vertical="center"/>
    </xf>
    <xf numFmtId="178" fontId="233" fillId="2" borderId="1" xfId="586" applyNumberFormat="1" applyFont="1" applyFill="1" applyBorder="1" applyAlignment="1">
      <alignment horizontal="center" vertical="center"/>
    </xf>
    <xf numFmtId="0" fontId="234" fillId="3" borderId="1" xfId="0" applyFont="1" applyFill="1" applyBorder="1" applyAlignment="1">
      <alignment horizontal="center"/>
    </xf>
    <xf numFmtId="0" fontId="232" fillId="5" borderId="5" xfId="7" applyFont="1" applyFill="1" applyBorder="1" applyAlignment="1">
      <alignment horizontal="center" vertical="center"/>
    </xf>
    <xf numFmtId="0" fontId="232" fillId="5" borderId="6" xfId="7" applyFont="1" applyFill="1" applyBorder="1" applyAlignment="1">
      <alignment horizontal="center" vertical="center"/>
    </xf>
    <xf numFmtId="0" fontId="232" fillId="5" borderId="7" xfId="7" applyFont="1" applyFill="1" applyBorder="1" applyAlignment="1">
      <alignment horizontal="center" vertical="center"/>
    </xf>
    <xf numFmtId="0" fontId="233" fillId="3" borderId="8" xfId="586" applyFont="1" applyFill="1" applyBorder="1" applyAlignment="1">
      <alignment horizontal="center" vertical="center"/>
    </xf>
    <xf numFmtId="0" fontId="233" fillId="3" borderId="1" xfId="586" applyFont="1" applyFill="1" applyBorder="1" applyAlignment="1">
      <alignment horizontal="center" vertical="center"/>
    </xf>
    <xf numFmtId="0" fontId="233" fillId="3" borderId="1" xfId="586" applyFont="1" applyFill="1" applyBorder="1" applyAlignment="1">
      <alignment horizontal="center" vertical="center" wrapText="1"/>
    </xf>
    <xf numFmtId="0" fontId="233" fillId="3" borderId="9" xfId="586" applyFont="1" applyFill="1" applyBorder="1" applyAlignment="1">
      <alignment horizontal="center" vertical="center" wrapText="1"/>
    </xf>
    <xf numFmtId="0" fontId="228" fillId="8" borderId="8" xfId="1677" applyFont="1" applyFill="1" applyBorder="1" applyAlignment="1">
      <alignment horizontal="center" vertical="center"/>
    </xf>
    <xf numFmtId="0" fontId="228" fillId="8" borderId="1" xfId="1677" applyFont="1" applyFill="1" applyBorder="1" applyAlignment="1">
      <alignment horizontal="center" vertical="center"/>
    </xf>
    <xf numFmtId="0" fontId="228" fillId="8" borderId="1" xfId="1677" applyFont="1" applyFill="1" applyBorder="1" applyAlignment="1">
      <alignment horizontal="center" vertical="center" wrapText="1"/>
    </xf>
    <xf numFmtId="0" fontId="228" fillId="8" borderId="9" xfId="1677" applyFont="1" applyFill="1" applyBorder="1" applyAlignment="1">
      <alignment horizontal="center" vertical="center" wrapText="1"/>
    </xf>
    <xf numFmtId="0" fontId="228" fillId="8" borderId="14" xfId="1677" applyFont="1" applyFill="1" applyBorder="1" applyAlignment="1">
      <alignment horizontal="center" vertical="center"/>
    </xf>
    <xf numFmtId="0" fontId="228" fillId="8" borderId="15" xfId="1677" applyFont="1" applyFill="1" applyBorder="1" applyAlignment="1">
      <alignment horizontal="center" vertical="center"/>
    </xf>
    <xf numFmtId="0" fontId="228" fillId="8" borderId="17" xfId="1677" applyFont="1" applyFill="1" applyBorder="1" applyAlignment="1">
      <alignment horizontal="center" vertical="center"/>
    </xf>
    <xf numFmtId="0" fontId="228" fillId="8" borderId="16" xfId="1677" applyFont="1" applyFill="1" applyBorder="1" applyAlignment="1">
      <alignment horizontal="center" vertical="center"/>
    </xf>
    <xf numFmtId="0" fontId="228" fillId="8" borderId="18" xfId="1677" applyFont="1" applyFill="1" applyBorder="1" applyAlignment="1">
      <alignment horizontal="center" vertical="center"/>
    </xf>
    <xf numFmtId="0" fontId="228" fillId="8" borderId="16" xfId="1677" applyFont="1" applyFill="1" applyBorder="1" applyAlignment="1">
      <alignment horizontal="center" vertical="center" wrapText="1"/>
    </xf>
    <xf numFmtId="0" fontId="228" fillId="8" borderId="18" xfId="1677" applyFont="1" applyFill="1" applyBorder="1" applyAlignment="1">
      <alignment horizontal="center" vertical="center" wrapText="1"/>
    </xf>
    <xf numFmtId="0" fontId="241" fillId="4" borderId="1" xfId="1677" applyFont="1" applyFill="1" applyBorder="1" applyAlignment="1">
      <alignment horizontal="center"/>
    </xf>
    <xf numFmtId="0" fontId="241" fillId="9" borderId="2" xfId="1677" applyFont="1" applyFill="1" applyBorder="1" applyAlignment="1">
      <alignment horizontal="center"/>
    </xf>
    <xf numFmtId="0" fontId="241" fillId="9" borderId="4" xfId="1677" applyFont="1" applyFill="1" applyBorder="1" applyAlignment="1">
      <alignment horizontal="center"/>
    </xf>
    <xf numFmtId="0" fontId="241" fillId="9" borderId="3" xfId="1677" applyFont="1" applyFill="1" applyBorder="1" applyAlignment="1">
      <alignment horizontal="center"/>
    </xf>
    <xf numFmtId="0" fontId="241" fillId="9" borderId="1" xfId="1677" applyFont="1" applyFill="1" applyBorder="1" applyAlignment="1">
      <alignment horizontal="center"/>
    </xf>
    <xf numFmtId="177" fontId="226" fillId="6" borderId="10" xfId="1674" applyNumberFormat="1" applyFont="1" applyFill="1" applyBorder="1" applyAlignment="1">
      <alignment horizontal="center" vertical="center"/>
    </xf>
    <xf numFmtId="177" fontId="226" fillId="6" borderId="11" xfId="1674" applyNumberFormat="1" applyFont="1" applyFill="1" applyBorder="1" applyAlignment="1">
      <alignment horizontal="center" vertical="center"/>
    </xf>
    <xf numFmtId="177" fontId="233" fillId="2" borderId="8" xfId="1675" applyNumberFormat="1" applyFont="1" applyFill="1" applyBorder="1" applyAlignment="1">
      <alignment horizontal="center" vertical="center"/>
    </xf>
    <xf numFmtId="177" fontId="233" fillId="2" borderId="1" xfId="1675" applyNumberFormat="1" applyFont="1" applyFill="1" applyBorder="1" applyAlignment="1">
      <alignment horizontal="center" vertical="center"/>
    </xf>
    <xf numFmtId="178" fontId="233" fillId="2" borderId="1" xfId="1674" applyNumberFormat="1" applyFont="1" applyFill="1" applyBorder="1" applyAlignment="1">
      <alignment horizontal="center" vertical="center"/>
    </xf>
    <xf numFmtId="0" fontId="233" fillId="3" borderId="8" xfId="1674" applyFont="1" applyFill="1" applyBorder="1" applyAlignment="1">
      <alignment horizontal="center" vertical="center"/>
    </xf>
    <xf numFmtId="0" fontId="233" fillId="3" borderId="1" xfId="1674" applyFont="1" applyFill="1" applyBorder="1" applyAlignment="1">
      <alignment horizontal="center" vertical="center"/>
    </xf>
    <xf numFmtId="0" fontId="233" fillId="3" borderId="1" xfId="1674" applyFont="1" applyFill="1" applyBorder="1" applyAlignment="1">
      <alignment horizontal="center" vertical="center" wrapText="1"/>
    </xf>
    <xf numFmtId="0" fontId="233" fillId="3" borderId="9" xfId="1674" applyFont="1" applyFill="1" applyBorder="1" applyAlignment="1">
      <alignment horizontal="center" vertical="center" wrapText="1"/>
    </xf>
    <xf numFmtId="0" fontId="228" fillId="8" borderId="8" xfId="1673" applyFont="1" applyFill="1" applyBorder="1" applyAlignment="1">
      <alignment horizontal="center" vertical="center"/>
    </xf>
    <xf numFmtId="0" fontId="228" fillId="8" borderId="1" xfId="1673" applyFont="1" applyFill="1" applyBorder="1" applyAlignment="1">
      <alignment horizontal="center" vertical="center"/>
    </xf>
    <xf numFmtId="0" fontId="228" fillId="8" borderId="1" xfId="1673" applyFont="1" applyFill="1" applyBorder="1" applyAlignment="1">
      <alignment horizontal="center" vertical="center" wrapText="1"/>
    </xf>
    <xf numFmtId="0" fontId="228" fillId="8" borderId="9" xfId="1673" applyFont="1" applyFill="1" applyBorder="1" applyAlignment="1">
      <alignment horizontal="center" vertical="center" wrapText="1"/>
    </xf>
    <xf numFmtId="0" fontId="228" fillId="8" borderId="14" xfId="1673" applyFont="1" applyFill="1" applyBorder="1" applyAlignment="1">
      <alignment horizontal="center" vertical="center"/>
    </xf>
    <xf numFmtId="0" fontId="228" fillId="8" borderId="15" xfId="1673" applyFont="1" applyFill="1" applyBorder="1" applyAlignment="1">
      <alignment horizontal="center" vertical="center"/>
    </xf>
    <xf numFmtId="0" fontId="228" fillId="8" borderId="17" xfId="1673" applyFont="1" applyFill="1" applyBorder="1" applyAlignment="1">
      <alignment horizontal="center" vertical="center"/>
    </xf>
    <xf numFmtId="0" fontId="228" fillId="8" borderId="16" xfId="1673" applyFont="1" applyFill="1" applyBorder="1" applyAlignment="1">
      <alignment horizontal="center" vertical="center"/>
    </xf>
    <xf numFmtId="0" fontId="228" fillId="8" borderId="18" xfId="1673" applyFont="1" applyFill="1" applyBorder="1" applyAlignment="1">
      <alignment horizontal="center" vertical="center"/>
    </xf>
    <xf numFmtId="0" fontId="228" fillId="8" borderId="16" xfId="1673" applyFont="1" applyFill="1" applyBorder="1" applyAlignment="1">
      <alignment horizontal="center" vertical="center" wrapText="1"/>
    </xf>
    <xf numFmtId="0" fontId="228" fillId="8" borderId="18" xfId="1673" applyFont="1" applyFill="1" applyBorder="1" applyAlignment="1">
      <alignment horizontal="center" vertical="center" wrapText="1"/>
    </xf>
    <xf numFmtId="0" fontId="241" fillId="4" borderId="1" xfId="1673" applyFont="1" applyFill="1" applyBorder="1" applyAlignment="1">
      <alignment horizontal="center"/>
    </xf>
    <xf numFmtId="0" fontId="241" fillId="9" borderId="2" xfId="1673" applyFont="1" applyFill="1" applyBorder="1" applyAlignment="1">
      <alignment horizontal="center"/>
    </xf>
    <xf numFmtId="0" fontId="241" fillId="9" borderId="4" xfId="1673" applyFont="1" applyFill="1" applyBorder="1" applyAlignment="1">
      <alignment horizontal="center"/>
    </xf>
    <xf numFmtId="0" fontId="241" fillId="9" borderId="3" xfId="1673" applyFont="1" applyFill="1" applyBorder="1" applyAlignment="1">
      <alignment horizontal="center"/>
    </xf>
    <xf numFmtId="0" fontId="241" fillId="9" borderId="1" xfId="1673" applyFont="1" applyFill="1" applyBorder="1" applyAlignment="1">
      <alignment horizontal="center"/>
    </xf>
    <xf numFmtId="177" fontId="226" fillId="6" borderId="10" xfId="1670" applyNumberFormat="1" applyFont="1" applyFill="1" applyBorder="1" applyAlignment="1">
      <alignment horizontal="center" vertical="center"/>
    </xf>
    <xf numFmtId="177" fontId="226" fillId="6" borderId="11" xfId="1670" applyNumberFormat="1" applyFont="1" applyFill="1" applyBorder="1" applyAlignment="1">
      <alignment horizontal="center" vertical="center"/>
    </xf>
    <xf numFmtId="177" fontId="233" fillId="2" borderId="8" xfId="1671" applyNumberFormat="1" applyFont="1" applyFill="1" applyBorder="1" applyAlignment="1">
      <alignment horizontal="center" vertical="center"/>
    </xf>
    <xf numFmtId="177" fontId="233" fillId="2" borderId="1" xfId="1671" applyNumberFormat="1" applyFont="1" applyFill="1" applyBorder="1" applyAlignment="1">
      <alignment horizontal="center" vertical="center"/>
    </xf>
    <xf numFmtId="178" fontId="233" fillId="2" borderId="1" xfId="1670" applyNumberFormat="1" applyFont="1" applyFill="1" applyBorder="1" applyAlignment="1">
      <alignment horizontal="center" vertical="center"/>
    </xf>
    <xf numFmtId="0" fontId="233" fillId="3" borderId="8" xfId="1670" applyFont="1" applyFill="1" applyBorder="1" applyAlignment="1">
      <alignment horizontal="center" vertical="center"/>
    </xf>
    <xf numFmtId="0" fontId="233" fillId="3" borderId="1" xfId="1670" applyFont="1" applyFill="1" applyBorder="1" applyAlignment="1">
      <alignment horizontal="center" vertical="center"/>
    </xf>
    <xf numFmtId="0" fontId="233" fillId="3" borderId="1" xfId="1670" applyFont="1" applyFill="1" applyBorder="1" applyAlignment="1">
      <alignment horizontal="center" vertical="center" wrapText="1"/>
    </xf>
    <xf numFmtId="0" fontId="233" fillId="3" borderId="9" xfId="1670" applyFont="1" applyFill="1" applyBorder="1" applyAlignment="1">
      <alignment horizontal="center" vertical="center" wrapText="1"/>
    </xf>
    <xf numFmtId="0" fontId="233" fillId="3" borderId="8" xfId="1666" applyFont="1" applyFill="1" applyBorder="1" applyAlignment="1">
      <alignment horizontal="center" vertical="center"/>
    </xf>
    <xf numFmtId="0" fontId="233" fillId="3" borderId="1" xfId="1666" applyFont="1" applyFill="1" applyBorder="1" applyAlignment="1">
      <alignment horizontal="center" vertical="center"/>
    </xf>
    <xf numFmtId="0" fontId="233" fillId="3" borderId="1" xfId="1666" applyFont="1" applyFill="1" applyBorder="1" applyAlignment="1">
      <alignment horizontal="center" vertical="center" wrapText="1"/>
    </xf>
    <xf numFmtId="0" fontId="233" fillId="3" borderId="9" xfId="1666" applyFont="1" applyFill="1" applyBorder="1" applyAlignment="1">
      <alignment horizontal="center" vertical="center" wrapText="1"/>
    </xf>
    <xf numFmtId="177" fontId="226" fillId="6" borderId="10" xfId="1666" applyNumberFormat="1" applyFont="1" applyFill="1" applyBorder="1" applyAlignment="1">
      <alignment horizontal="center" vertical="center"/>
    </xf>
    <xf numFmtId="177" fontId="226" fillId="6" borderId="11" xfId="1666" applyNumberFormat="1" applyFont="1" applyFill="1" applyBorder="1" applyAlignment="1">
      <alignment horizontal="center" vertical="center"/>
    </xf>
    <xf numFmtId="0" fontId="228" fillId="8" borderId="9" xfId="1669" applyFont="1" applyFill="1" applyBorder="1" applyAlignment="1">
      <alignment horizontal="center" vertical="center" wrapText="1"/>
    </xf>
    <xf numFmtId="0" fontId="228" fillId="8" borderId="14" xfId="1669" applyFont="1" applyFill="1" applyBorder="1" applyAlignment="1">
      <alignment horizontal="center" vertical="center"/>
    </xf>
    <xf numFmtId="0" fontId="228" fillId="8" borderId="15" xfId="1669" applyFont="1" applyFill="1" applyBorder="1" applyAlignment="1">
      <alignment horizontal="center" vertical="center"/>
    </xf>
    <xf numFmtId="0" fontId="228" fillId="8" borderId="17" xfId="1669" applyFont="1" applyFill="1" applyBorder="1" applyAlignment="1">
      <alignment horizontal="center" vertical="center"/>
    </xf>
    <xf numFmtId="177" fontId="233" fillId="2" borderId="8" xfId="1667" applyNumberFormat="1" applyFont="1" applyFill="1" applyBorder="1" applyAlignment="1">
      <alignment horizontal="center" vertical="center"/>
    </xf>
    <xf numFmtId="177" fontId="233" fillId="2" borderId="1" xfId="1667" applyNumberFormat="1" applyFont="1" applyFill="1" applyBorder="1" applyAlignment="1">
      <alignment horizontal="center" vertical="center"/>
    </xf>
    <xf numFmtId="178" fontId="233" fillId="2" borderId="1" xfId="1666" applyNumberFormat="1" applyFont="1" applyFill="1" applyBorder="1" applyAlignment="1">
      <alignment horizontal="center" vertical="center"/>
    </xf>
    <xf numFmtId="0" fontId="228" fillId="8" borderId="16" xfId="1669" applyFont="1" applyFill="1" applyBorder="1" applyAlignment="1">
      <alignment horizontal="center" vertical="center"/>
    </xf>
    <xf numFmtId="0" fontId="228" fillId="8" borderId="18" xfId="1669" applyFont="1" applyFill="1" applyBorder="1" applyAlignment="1">
      <alignment horizontal="center" vertical="center"/>
    </xf>
    <xf numFmtId="0" fontId="228" fillId="8" borderId="16" xfId="1669" applyFont="1" applyFill="1" applyBorder="1" applyAlignment="1">
      <alignment horizontal="center" vertical="center" wrapText="1"/>
    </xf>
    <xf numFmtId="0" fontId="228" fillId="8" borderId="18" xfId="1669" applyFont="1" applyFill="1" applyBorder="1" applyAlignment="1">
      <alignment horizontal="center" vertical="center" wrapText="1"/>
    </xf>
    <xf numFmtId="0" fontId="241" fillId="4" borderId="1" xfId="1669" applyFont="1" applyFill="1" applyBorder="1" applyAlignment="1">
      <alignment horizontal="center"/>
    </xf>
    <xf numFmtId="0" fontId="241" fillId="9" borderId="2" xfId="1669" applyFont="1" applyFill="1" applyBorder="1" applyAlignment="1">
      <alignment horizontal="center"/>
    </xf>
    <xf numFmtId="0" fontId="241" fillId="9" borderId="3" xfId="1669" applyFont="1" applyFill="1" applyBorder="1" applyAlignment="1">
      <alignment horizontal="center"/>
    </xf>
    <xf numFmtId="0" fontId="241" fillId="9" borderId="1" xfId="1669" applyFont="1" applyFill="1" applyBorder="1" applyAlignment="1">
      <alignment horizontal="center"/>
    </xf>
    <xf numFmtId="0" fontId="241" fillId="9" borderId="4" xfId="1669" applyFont="1" applyFill="1" applyBorder="1" applyAlignment="1">
      <alignment horizontal="center"/>
    </xf>
    <xf numFmtId="0" fontId="228" fillId="8" borderId="8" xfId="1669" applyFont="1" applyFill="1" applyBorder="1" applyAlignment="1">
      <alignment horizontal="center" vertical="center"/>
    </xf>
    <xf numFmtId="0" fontId="228" fillId="8" borderId="1" xfId="1669" applyFont="1" applyFill="1" applyBorder="1" applyAlignment="1">
      <alignment horizontal="center" vertical="center"/>
    </xf>
    <xf numFmtId="0" fontId="228" fillId="8" borderId="1" xfId="1669" applyFont="1" applyFill="1" applyBorder="1" applyAlignment="1">
      <alignment horizontal="center" vertical="center" wrapText="1"/>
    </xf>
    <xf numFmtId="0" fontId="228" fillId="8" borderId="8" xfId="1665" applyFont="1" applyFill="1" applyBorder="1" applyAlignment="1">
      <alignment horizontal="center" vertical="center"/>
    </xf>
    <xf numFmtId="0" fontId="228" fillId="8" borderId="1" xfId="1665" applyFont="1" applyFill="1" applyBorder="1" applyAlignment="1">
      <alignment horizontal="center" vertical="center"/>
    </xf>
    <xf numFmtId="0" fontId="228" fillId="8" borderId="1" xfId="1665" applyFont="1" applyFill="1" applyBorder="1" applyAlignment="1">
      <alignment horizontal="center" vertical="center" wrapText="1"/>
    </xf>
    <xf numFmtId="0" fontId="228" fillId="8" borderId="9" xfId="1665" applyFont="1" applyFill="1" applyBorder="1" applyAlignment="1">
      <alignment horizontal="center" vertical="center" wrapText="1"/>
    </xf>
    <xf numFmtId="0" fontId="228" fillId="8" borderId="14" xfId="1665" applyFont="1" applyFill="1" applyBorder="1" applyAlignment="1">
      <alignment horizontal="center" vertical="center"/>
    </xf>
    <xf numFmtId="0" fontId="228" fillId="8" borderId="15" xfId="1665" applyFont="1" applyFill="1" applyBorder="1" applyAlignment="1">
      <alignment horizontal="center" vertical="center"/>
    </xf>
    <xf numFmtId="0" fontId="228" fillId="8" borderId="17" xfId="1665" applyFont="1" applyFill="1" applyBorder="1" applyAlignment="1">
      <alignment horizontal="center" vertical="center"/>
    </xf>
    <xf numFmtId="0" fontId="228" fillId="8" borderId="16" xfId="1665" applyFont="1" applyFill="1" applyBorder="1" applyAlignment="1">
      <alignment horizontal="center" vertical="center"/>
    </xf>
    <xf numFmtId="0" fontId="228" fillId="8" borderId="18" xfId="1665" applyFont="1" applyFill="1" applyBorder="1" applyAlignment="1">
      <alignment horizontal="center" vertical="center"/>
    </xf>
    <xf numFmtId="0" fontId="228" fillId="8" borderId="16" xfId="1665" applyFont="1" applyFill="1" applyBorder="1" applyAlignment="1">
      <alignment horizontal="center" vertical="center" wrapText="1"/>
    </xf>
    <xf numFmtId="0" fontId="228" fillId="8" borderId="18" xfId="1665" applyFont="1" applyFill="1" applyBorder="1" applyAlignment="1">
      <alignment horizontal="center" vertical="center" wrapText="1"/>
    </xf>
    <xf numFmtId="0" fontId="241" fillId="4" borderId="1" xfId="1665" applyFont="1" applyFill="1" applyBorder="1" applyAlignment="1">
      <alignment horizontal="center"/>
    </xf>
    <xf numFmtId="0" fontId="241" fillId="9" borderId="2" xfId="1665" applyFont="1" applyFill="1" applyBorder="1" applyAlignment="1">
      <alignment horizontal="center"/>
    </xf>
    <xf numFmtId="0" fontId="241" fillId="9" borderId="4" xfId="1665" applyFont="1" applyFill="1" applyBorder="1" applyAlignment="1">
      <alignment horizontal="center"/>
    </xf>
    <xf numFmtId="0" fontId="241" fillId="9" borderId="3" xfId="1665" applyFont="1" applyFill="1" applyBorder="1" applyAlignment="1">
      <alignment horizontal="center"/>
    </xf>
    <xf numFmtId="0" fontId="241" fillId="9" borderId="1" xfId="1665" applyFont="1" applyFill="1" applyBorder="1" applyAlignment="1">
      <alignment horizontal="center"/>
    </xf>
    <xf numFmtId="177" fontId="226" fillId="6" borderId="10" xfId="1662" applyNumberFormat="1" applyFont="1" applyFill="1" applyBorder="1" applyAlignment="1">
      <alignment horizontal="center" vertical="center"/>
    </xf>
    <xf numFmtId="177" fontId="226" fillId="6" borderId="11" xfId="1662" applyNumberFormat="1" applyFont="1" applyFill="1" applyBorder="1" applyAlignment="1">
      <alignment horizontal="center" vertical="center"/>
    </xf>
    <xf numFmtId="177" fontId="233" fillId="2" borderId="8" xfId="1663" applyNumberFormat="1" applyFont="1" applyFill="1" applyBorder="1" applyAlignment="1">
      <alignment horizontal="center" vertical="center"/>
    </xf>
    <xf numFmtId="177" fontId="233" fillId="2" borderId="1" xfId="1663" applyNumberFormat="1" applyFont="1" applyFill="1" applyBorder="1" applyAlignment="1">
      <alignment horizontal="center" vertical="center"/>
    </xf>
    <xf numFmtId="178" fontId="233" fillId="2" borderId="1" xfId="1662" applyNumberFormat="1" applyFont="1" applyFill="1" applyBorder="1" applyAlignment="1">
      <alignment horizontal="center" vertical="center"/>
    </xf>
    <xf numFmtId="0" fontId="233" fillId="3" borderId="8" xfId="1662" applyFont="1" applyFill="1" applyBorder="1" applyAlignment="1">
      <alignment horizontal="center" vertical="center"/>
    </xf>
    <xf numFmtId="0" fontId="233" fillId="3" borderId="1" xfId="1662" applyFont="1" applyFill="1" applyBorder="1" applyAlignment="1">
      <alignment horizontal="center" vertical="center"/>
    </xf>
    <xf numFmtId="0" fontId="233" fillId="3" borderId="1" xfId="1662" applyFont="1" applyFill="1" applyBorder="1" applyAlignment="1">
      <alignment horizontal="center" vertical="center" wrapText="1"/>
    </xf>
    <xf numFmtId="0" fontId="233" fillId="3" borderId="9" xfId="1662" applyFont="1" applyFill="1" applyBorder="1" applyAlignment="1">
      <alignment horizontal="center" vertical="center" wrapText="1"/>
    </xf>
    <xf numFmtId="0" fontId="233" fillId="3" borderId="8" xfId="1658" applyFont="1" applyFill="1" applyBorder="1" applyAlignment="1">
      <alignment horizontal="center" vertical="center"/>
    </xf>
    <xf numFmtId="0" fontId="233" fillId="3" borderId="1" xfId="1658" applyFont="1" applyFill="1" applyBorder="1" applyAlignment="1">
      <alignment horizontal="center" vertical="center"/>
    </xf>
    <xf numFmtId="0" fontId="233" fillId="3" borderId="1" xfId="1658" applyFont="1" applyFill="1" applyBorder="1" applyAlignment="1">
      <alignment horizontal="center" vertical="center" wrapText="1"/>
    </xf>
    <xf numFmtId="0" fontId="233" fillId="3" borderId="9" xfId="1658" applyFont="1" applyFill="1" applyBorder="1" applyAlignment="1">
      <alignment horizontal="center" vertical="center" wrapText="1"/>
    </xf>
    <xf numFmtId="177" fontId="226" fillId="6" borderId="10" xfId="1658" applyNumberFormat="1" applyFont="1" applyFill="1" applyBorder="1" applyAlignment="1">
      <alignment horizontal="center" vertical="center"/>
    </xf>
    <xf numFmtId="177" fontId="226" fillId="6" borderId="11" xfId="1658" applyNumberFormat="1" applyFont="1" applyFill="1" applyBorder="1" applyAlignment="1">
      <alignment horizontal="center" vertical="center"/>
    </xf>
    <xf numFmtId="0" fontId="228" fillId="8" borderId="9" xfId="1661" applyFont="1" applyFill="1" applyBorder="1" applyAlignment="1">
      <alignment horizontal="center" vertical="center" wrapText="1"/>
    </xf>
    <xf numFmtId="0" fontId="228" fillId="8" borderId="14" xfId="1661" applyFont="1" applyFill="1" applyBorder="1" applyAlignment="1">
      <alignment horizontal="center" vertical="center"/>
    </xf>
    <xf numFmtId="0" fontId="228" fillId="8" borderId="15" xfId="1661" applyFont="1" applyFill="1" applyBorder="1" applyAlignment="1">
      <alignment horizontal="center" vertical="center"/>
    </xf>
    <xf numFmtId="0" fontId="228" fillId="8" borderId="17" xfId="1661" applyFont="1" applyFill="1" applyBorder="1" applyAlignment="1">
      <alignment horizontal="center" vertical="center"/>
    </xf>
    <xf numFmtId="177" fontId="233" fillId="2" borderId="8" xfId="1659" applyNumberFormat="1" applyFont="1" applyFill="1" applyBorder="1" applyAlignment="1">
      <alignment horizontal="center" vertical="center"/>
    </xf>
    <xf numFmtId="177" fontId="233" fillId="2" borderId="1" xfId="1659" applyNumberFormat="1" applyFont="1" applyFill="1" applyBorder="1" applyAlignment="1">
      <alignment horizontal="center" vertical="center"/>
    </xf>
    <xf numFmtId="178" fontId="233" fillId="2" borderId="1" xfId="1658" applyNumberFormat="1" applyFont="1" applyFill="1" applyBorder="1" applyAlignment="1">
      <alignment horizontal="center" vertical="center"/>
    </xf>
    <xf numFmtId="0" fontId="228" fillId="8" borderId="16" xfId="1661" applyFont="1" applyFill="1" applyBorder="1" applyAlignment="1">
      <alignment horizontal="center" vertical="center"/>
    </xf>
    <xf numFmtId="0" fontId="228" fillId="8" borderId="18" xfId="1661" applyFont="1" applyFill="1" applyBorder="1" applyAlignment="1">
      <alignment horizontal="center" vertical="center"/>
    </xf>
    <xf numFmtId="0" fontId="228" fillId="8" borderId="16" xfId="1661" applyFont="1" applyFill="1" applyBorder="1" applyAlignment="1">
      <alignment horizontal="center" vertical="center" wrapText="1"/>
    </xf>
    <xf numFmtId="0" fontId="228" fillId="8" borderId="18" xfId="1661" applyFont="1" applyFill="1" applyBorder="1" applyAlignment="1">
      <alignment horizontal="center" vertical="center" wrapText="1"/>
    </xf>
    <xf numFmtId="0" fontId="241" fillId="4" borderId="1" xfId="1661" applyFont="1" applyFill="1" applyBorder="1" applyAlignment="1">
      <alignment horizontal="center"/>
    </xf>
    <xf numFmtId="0" fontId="241" fillId="9" borderId="2" xfId="1661" applyFont="1" applyFill="1" applyBorder="1" applyAlignment="1">
      <alignment horizontal="center"/>
    </xf>
    <xf numFmtId="0" fontId="241" fillId="9" borderId="3" xfId="1661" applyFont="1" applyFill="1" applyBorder="1" applyAlignment="1">
      <alignment horizontal="center"/>
    </xf>
    <xf numFmtId="0" fontId="241" fillId="9" borderId="1" xfId="1661" applyFont="1" applyFill="1" applyBorder="1" applyAlignment="1">
      <alignment horizontal="center"/>
    </xf>
    <xf numFmtId="0" fontId="241" fillId="9" borderId="4" xfId="1661" applyFont="1" applyFill="1" applyBorder="1" applyAlignment="1">
      <alignment horizontal="center"/>
    </xf>
    <xf numFmtId="0" fontId="228" fillId="8" borderId="8" xfId="1661" applyFont="1" applyFill="1" applyBorder="1" applyAlignment="1">
      <alignment horizontal="center" vertical="center"/>
    </xf>
    <xf numFmtId="0" fontId="228" fillId="8" borderId="1" xfId="1661" applyFont="1" applyFill="1" applyBorder="1" applyAlignment="1">
      <alignment horizontal="center" vertical="center"/>
    </xf>
    <xf numFmtId="0" fontId="228" fillId="8" borderId="1" xfId="1661" applyFont="1" applyFill="1" applyBorder="1" applyAlignment="1">
      <alignment horizontal="center" vertical="center" wrapText="1"/>
    </xf>
    <xf numFmtId="0" fontId="228" fillId="8" borderId="8" xfId="1657" applyFont="1" applyFill="1" applyBorder="1" applyAlignment="1">
      <alignment horizontal="center" vertical="center"/>
    </xf>
    <xf numFmtId="0" fontId="228" fillId="8" borderId="1" xfId="1657" applyFont="1" applyFill="1" applyBorder="1" applyAlignment="1">
      <alignment horizontal="center" vertical="center"/>
    </xf>
    <xf numFmtId="0" fontId="228" fillId="8" borderId="1" xfId="1657" applyFont="1" applyFill="1" applyBorder="1" applyAlignment="1">
      <alignment horizontal="center" vertical="center" wrapText="1"/>
    </xf>
    <xf numFmtId="0" fontId="228" fillId="8" borderId="9" xfId="1657" applyFont="1" applyFill="1" applyBorder="1" applyAlignment="1">
      <alignment horizontal="center" vertical="center" wrapText="1"/>
    </xf>
    <xf numFmtId="0" fontId="228" fillId="8" borderId="14" xfId="1657" applyFont="1" applyFill="1" applyBorder="1" applyAlignment="1">
      <alignment horizontal="center" vertical="center"/>
    </xf>
    <xf numFmtId="0" fontId="228" fillId="8" borderId="15" xfId="1657" applyFont="1" applyFill="1" applyBorder="1" applyAlignment="1">
      <alignment horizontal="center" vertical="center"/>
    </xf>
    <xf numFmtId="0" fontId="228" fillId="8" borderId="17" xfId="1657" applyFont="1" applyFill="1" applyBorder="1" applyAlignment="1">
      <alignment horizontal="center" vertical="center"/>
    </xf>
    <xf numFmtId="0" fontId="228" fillId="8" borderId="16" xfId="1657" applyFont="1" applyFill="1" applyBorder="1" applyAlignment="1">
      <alignment horizontal="center" vertical="center"/>
    </xf>
    <xf numFmtId="0" fontId="228" fillId="8" borderId="18" xfId="1657" applyFont="1" applyFill="1" applyBorder="1" applyAlignment="1">
      <alignment horizontal="center" vertical="center"/>
    </xf>
    <xf numFmtId="0" fontId="228" fillId="8" borderId="16" xfId="1657" applyFont="1" applyFill="1" applyBorder="1" applyAlignment="1">
      <alignment horizontal="center" vertical="center" wrapText="1"/>
    </xf>
    <xf numFmtId="0" fontId="228" fillId="8" borderId="18" xfId="1657" applyFont="1" applyFill="1" applyBorder="1" applyAlignment="1">
      <alignment horizontal="center" vertical="center" wrapText="1"/>
    </xf>
    <xf numFmtId="0" fontId="241" fillId="4" borderId="1" xfId="1657" applyFont="1" applyFill="1" applyBorder="1" applyAlignment="1">
      <alignment horizontal="center"/>
    </xf>
    <xf numFmtId="0" fontId="241" fillId="9" borderId="2" xfId="1657" applyFont="1" applyFill="1" applyBorder="1" applyAlignment="1">
      <alignment horizontal="center"/>
    </xf>
    <xf numFmtId="0" fontId="241" fillId="9" borderId="4" xfId="1657" applyFont="1" applyFill="1" applyBorder="1" applyAlignment="1">
      <alignment horizontal="center"/>
    </xf>
    <xf numFmtId="0" fontId="241" fillId="9" borderId="3" xfId="1657" applyFont="1" applyFill="1" applyBorder="1" applyAlignment="1">
      <alignment horizontal="center"/>
    </xf>
    <xf numFmtId="0" fontId="241" fillId="9" borderId="1" xfId="1657" applyFont="1" applyFill="1" applyBorder="1" applyAlignment="1">
      <alignment horizontal="center"/>
    </xf>
    <xf numFmtId="177" fontId="226" fillId="6" borderId="10" xfId="1654" applyNumberFormat="1" applyFont="1" applyFill="1" applyBorder="1" applyAlignment="1">
      <alignment horizontal="center" vertical="center"/>
    </xf>
    <xf numFmtId="177" fontId="226" fillId="6" borderId="11" xfId="1654" applyNumberFormat="1" applyFont="1" applyFill="1" applyBorder="1" applyAlignment="1">
      <alignment horizontal="center" vertical="center"/>
    </xf>
    <xf numFmtId="177" fontId="233" fillId="2" borderId="8" xfId="1655" applyNumberFormat="1" applyFont="1" applyFill="1" applyBorder="1" applyAlignment="1">
      <alignment horizontal="center" vertical="center"/>
    </xf>
    <xf numFmtId="177" fontId="233" fillId="2" borderId="1" xfId="1655" applyNumberFormat="1" applyFont="1" applyFill="1" applyBorder="1" applyAlignment="1">
      <alignment horizontal="center" vertical="center"/>
    </xf>
    <xf numFmtId="178" fontId="233" fillId="2" borderId="1" xfId="1654" applyNumberFormat="1" applyFont="1" applyFill="1" applyBorder="1" applyAlignment="1">
      <alignment horizontal="center" vertical="center"/>
    </xf>
    <xf numFmtId="0" fontId="233" fillId="3" borderId="8" xfId="1654" applyFont="1" applyFill="1" applyBorder="1" applyAlignment="1">
      <alignment horizontal="center" vertical="center"/>
    </xf>
    <xf numFmtId="0" fontId="233" fillId="3" borderId="1" xfId="1654" applyFont="1" applyFill="1" applyBorder="1" applyAlignment="1">
      <alignment horizontal="center" vertical="center"/>
    </xf>
    <xf numFmtId="0" fontId="233" fillId="3" borderId="1" xfId="1654" applyFont="1" applyFill="1" applyBorder="1" applyAlignment="1">
      <alignment horizontal="center" vertical="center" wrapText="1"/>
    </xf>
    <xf numFmtId="0" fontId="233" fillId="3" borderId="9" xfId="1654" applyFont="1" applyFill="1" applyBorder="1" applyAlignment="1">
      <alignment horizontal="center" vertical="center" wrapText="1"/>
    </xf>
    <xf numFmtId="0" fontId="228" fillId="8" borderId="8" xfId="1649" applyFont="1" applyFill="1" applyBorder="1" applyAlignment="1">
      <alignment horizontal="center" vertical="center"/>
    </xf>
    <xf numFmtId="0" fontId="228" fillId="8" borderId="1" xfId="1649" applyFont="1" applyFill="1" applyBorder="1" applyAlignment="1">
      <alignment horizontal="center" vertical="center"/>
    </xf>
    <xf numFmtId="0" fontId="228" fillId="8" borderId="1" xfId="1649" applyFont="1" applyFill="1" applyBorder="1" applyAlignment="1">
      <alignment horizontal="center" vertical="center" wrapText="1"/>
    </xf>
    <xf numFmtId="0" fontId="228" fillId="8" borderId="9" xfId="1649" applyFont="1" applyFill="1" applyBorder="1" applyAlignment="1">
      <alignment horizontal="center" vertical="center" wrapText="1"/>
    </xf>
    <xf numFmtId="0" fontId="228" fillId="8" borderId="14" xfId="1649" applyFont="1" applyFill="1" applyBorder="1" applyAlignment="1">
      <alignment horizontal="center" vertical="center"/>
    </xf>
    <xf numFmtId="0" fontId="228" fillId="8" borderId="15" xfId="1649" applyFont="1" applyFill="1" applyBorder="1" applyAlignment="1">
      <alignment horizontal="center" vertical="center"/>
    </xf>
    <xf numFmtId="0" fontId="228" fillId="8" borderId="17" xfId="1649" applyFont="1" applyFill="1" applyBorder="1" applyAlignment="1">
      <alignment horizontal="center" vertical="center"/>
    </xf>
    <xf numFmtId="0" fontId="228" fillId="8" borderId="16" xfId="1649" applyFont="1" applyFill="1" applyBorder="1" applyAlignment="1">
      <alignment horizontal="center" vertical="center"/>
    </xf>
    <xf numFmtId="0" fontId="228" fillId="8" borderId="18" xfId="1649" applyFont="1" applyFill="1" applyBorder="1" applyAlignment="1">
      <alignment horizontal="center" vertical="center"/>
    </xf>
    <xf numFmtId="0" fontId="228" fillId="8" borderId="16" xfId="1649" applyFont="1" applyFill="1" applyBorder="1" applyAlignment="1">
      <alignment horizontal="center" vertical="center" wrapText="1"/>
    </xf>
    <xf numFmtId="0" fontId="228" fillId="8" borderId="18" xfId="1649" applyFont="1" applyFill="1" applyBorder="1" applyAlignment="1">
      <alignment horizontal="center" vertical="center" wrapText="1"/>
    </xf>
    <xf numFmtId="0" fontId="241" fillId="4" borderId="1" xfId="1649" applyFont="1" applyFill="1" applyBorder="1" applyAlignment="1">
      <alignment horizontal="center"/>
    </xf>
    <xf numFmtId="0" fontId="241" fillId="9" borderId="2" xfId="1649" applyFont="1" applyFill="1" applyBorder="1" applyAlignment="1">
      <alignment horizontal="center"/>
    </xf>
    <xf numFmtId="0" fontId="241" fillId="9" borderId="4" xfId="1649" applyFont="1" applyFill="1" applyBorder="1" applyAlignment="1">
      <alignment horizontal="center"/>
    </xf>
    <xf numFmtId="0" fontId="241" fillId="9" borderId="3" xfId="1649" applyFont="1" applyFill="1" applyBorder="1" applyAlignment="1">
      <alignment horizontal="center"/>
    </xf>
    <xf numFmtId="0" fontId="241" fillId="9" borderId="1" xfId="1649" applyFont="1" applyFill="1" applyBorder="1" applyAlignment="1">
      <alignment horizontal="center"/>
    </xf>
    <xf numFmtId="177" fontId="226" fillId="6" borderId="10" xfId="1646" applyNumberFormat="1" applyFont="1" applyFill="1" applyBorder="1" applyAlignment="1">
      <alignment horizontal="center" vertical="center"/>
    </xf>
    <xf numFmtId="177" fontId="226" fillId="6" borderId="11" xfId="1646" applyNumberFormat="1" applyFont="1" applyFill="1" applyBorder="1" applyAlignment="1">
      <alignment horizontal="center" vertical="center"/>
    </xf>
    <xf numFmtId="177" fontId="233" fillId="2" borderId="8" xfId="1647" applyNumberFormat="1" applyFont="1" applyFill="1" applyBorder="1" applyAlignment="1">
      <alignment horizontal="center" vertical="center"/>
    </xf>
    <xf numFmtId="177" fontId="233" fillId="2" borderId="1" xfId="1647" applyNumberFormat="1" applyFont="1" applyFill="1" applyBorder="1" applyAlignment="1">
      <alignment horizontal="center" vertical="center"/>
    </xf>
    <xf numFmtId="178" fontId="233" fillId="2" borderId="1" xfId="1646" applyNumberFormat="1" applyFont="1" applyFill="1" applyBorder="1" applyAlignment="1">
      <alignment horizontal="center" vertical="center"/>
    </xf>
    <xf numFmtId="0" fontId="233" fillId="3" borderId="8" xfId="1646" applyFont="1" applyFill="1" applyBorder="1" applyAlignment="1">
      <alignment horizontal="center" vertical="center"/>
    </xf>
    <xf numFmtId="0" fontId="233" fillId="3" borderId="1" xfId="1646" applyFont="1" applyFill="1" applyBorder="1" applyAlignment="1">
      <alignment horizontal="center" vertical="center"/>
    </xf>
    <xf numFmtId="0" fontId="233" fillId="3" borderId="1" xfId="1646" applyFont="1" applyFill="1" applyBorder="1" applyAlignment="1">
      <alignment horizontal="center" vertical="center" wrapText="1"/>
    </xf>
    <xf numFmtId="0" fontId="233" fillId="3" borderId="9" xfId="1646" applyFont="1" applyFill="1" applyBorder="1" applyAlignment="1">
      <alignment horizontal="center" vertical="center" wrapText="1"/>
    </xf>
    <xf numFmtId="0" fontId="228" fillId="8" borderId="8" xfId="836" applyFont="1" applyFill="1" applyBorder="1" applyAlignment="1">
      <alignment horizontal="center" vertical="center"/>
    </xf>
    <xf numFmtId="0" fontId="228" fillId="8" borderId="1" xfId="836" applyFont="1" applyFill="1" applyBorder="1" applyAlignment="1">
      <alignment horizontal="center" vertical="center"/>
    </xf>
    <xf numFmtId="0" fontId="228" fillId="8" borderId="1" xfId="836" applyFont="1" applyFill="1" applyBorder="1" applyAlignment="1">
      <alignment horizontal="center" vertical="center" wrapText="1"/>
    </xf>
    <xf numFmtId="0" fontId="228" fillId="8" borderId="9" xfId="836" applyFont="1" applyFill="1" applyBorder="1" applyAlignment="1">
      <alignment horizontal="center" vertical="center" wrapText="1"/>
    </xf>
    <xf numFmtId="0" fontId="228" fillId="8" borderId="14" xfId="836" applyFont="1" applyFill="1" applyBorder="1" applyAlignment="1">
      <alignment horizontal="center" vertical="center"/>
    </xf>
    <xf numFmtId="0" fontId="228" fillId="8" borderId="15" xfId="836" applyFont="1" applyFill="1" applyBorder="1" applyAlignment="1">
      <alignment horizontal="center" vertical="center"/>
    </xf>
    <xf numFmtId="0" fontId="228" fillId="8" borderId="17" xfId="836" applyFont="1" applyFill="1" applyBorder="1" applyAlignment="1">
      <alignment horizontal="center" vertical="center"/>
    </xf>
    <xf numFmtId="0" fontId="228" fillId="8" borderId="16" xfId="836" applyFont="1" applyFill="1" applyBorder="1" applyAlignment="1">
      <alignment horizontal="center" vertical="center"/>
    </xf>
    <xf numFmtId="0" fontId="228" fillId="8" borderId="18" xfId="836" applyFont="1" applyFill="1" applyBorder="1" applyAlignment="1">
      <alignment horizontal="center" vertical="center"/>
    </xf>
    <xf numFmtId="0" fontId="228" fillId="8" borderId="16" xfId="836" applyFont="1" applyFill="1" applyBorder="1" applyAlignment="1">
      <alignment horizontal="center" vertical="center" wrapText="1"/>
    </xf>
    <xf numFmtId="0" fontId="228" fillId="8" borderId="18" xfId="836" applyFont="1" applyFill="1" applyBorder="1" applyAlignment="1">
      <alignment horizontal="center" vertical="center" wrapText="1"/>
    </xf>
    <xf numFmtId="0" fontId="241" fillId="4" borderId="1" xfId="836" applyFont="1" applyFill="1" applyBorder="1" applyAlignment="1">
      <alignment horizontal="center"/>
    </xf>
    <xf numFmtId="0" fontId="241" fillId="9" borderId="2" xfId="836" applyFont="1" applyFill="1" applyBorder="1" applyAlignment="1">
      <alignment horizontal="center"/>
    </xf>
    <xf numFmtId="0" fontId="241" fillId="9" borderId="4" xfId="836" applyFont="1" applyFill="1" applyBorder="1" applyAlignment="1">
      <alignment horizontal="center"/>
    </xf>
    <xf numFmtId="0" fontId="241" fillId="9" borderId="3" xfId="836" applyFont="1" applyFill="1" applyBorder="1" applyAlignment="1">
      <alignment horizontal="center"/>
    </xf>
    <xf numFmtId="0" fontId="241" fillId="9" borderId="1" xfId="836" applyFont="1" applyFill="1" applyBorder="1" applyAlignment="1">
      <alignment horizontal="center"/>
    </xf>
    <xf numFmtId="177" fontId="226" fillId="6" borderId="10" xfId="833" applyNumberFormat="1" applyFont="1" applyFill="1" applyBorder="1" applyAlignment="1">
      <alignment horizontal="center" vertical="center"/>
    </xf>
    <xf numFmtId="177" fontId="226" fillId="6" borderId="11" xfId="833" applyNumberFormat="1" applyFont="1" applyFill="1" applyBorder="1" applyAlignment="1">
      <alignment horizontal="center" vertical="center"/>
    </xf>
    <xf numFmtId="177" fontId="233" fillId="2" borderId="8" xfId="834" applyNumberFormat="1" applyFont="1" applyFill="1" applyBorder="1" applyAlignment="1">
      <alignment horizontal="center" vertical="center"/>
    </xf>
    <xf numFmtId="177" fontId="233" fillId="2" borderId="1" xfId="834" applyNumberFormat="1" applyFont="1" applyFill="1" applyBorder="1" applyAlignment="1">
      <alignment horizontal="center" vertical="center"/>
    </xf>
    <xf numFmtId="178" fontId="233" fillId="2" borderId="1" xfId="833" applyNumberFormat="1" applyFont="1" applyFill="1" applyBorder="1" applyAlignment="1">
      <alignment horizontal="center" vertical="center"/>
    </xf>
    <xf numFmtId="0" fontId="233" fillId="3" borderId="8" xfId="833" applyFont="1" applyFill="1" applyBorder="1" applyAlignment="1">
      <alignment horizontal="center" vertical="center"/>
    </xf>
    <xf numFmtId="0" fontId="233" fillId="3" borderId="1" xfId="833" applyFont="1" applyFill="1" applyBorder="1" applyAlignment="1">
      <alignment horizontal="center" vertical="center"/>
    </xf>
    <xf numFmtId="0" fontId="233" fillId="3" borderId="1" xfId="833" applyFont="1" applyFill="1" applyBorder="1" applyAlignment="1">
      <alignment horizontal="center" vertical="center" wrapText="1"/>
    </xf>
    <xf numFmtId="0" fontId="233" fillId="3" borderId="9" xfId="833" applyFont="1" applyFill="1" applyBorder="1" applyAlignment="1">
      <alignment horizontal="center" vertical="center" wrapText="1"/>
    </xf>
    <xf numFmtId="0" fontId="228" fillId="8" borderId="8" xfId="812" applyFont="1" applyFill="1" applyBorder="1" applyAlignment="1">
      <alignment horizontal="center" vertical="center"/>
    </xf>
    <xf numFmtId="0" fontId="228" fillId="8" borderId="1" xfId="812" applyFont="1" applyFill="1" applyBorder="1" applyAlignment="1">
      <alignment horizontal="center" vertical="center"/>
    </xf>
    <xf numFmtId="0" fontId="228" fillId="8" borderId="1" xfId="812" applyFont="1" applyFill="1" applyBorder="1" applyAlignment="1">
      <alignment horizontal="center" vertical="center" wrapText="1"/>
    </xf>
    <xf numFmtId="0" fontId="228" fillId="8" borderId="9" xfId="812" applyFont="1" applyFill="1" applyBorder="1" applyAlignment="1">
      <alignment horizontal="center" vertical="center" wrapText="1"/>
    </xf>
    <xf numFmtId="0" fontId="228" fillId="8" borderId="14" xfId="812" applyFont="1" applyFill="1" applyBorder="1" applyAlignment="1">
      <alignment horizontal="center" vertical="center"/>
    </xf>
    <xf numFmtId="0" fontId="228" fillId="8" borderId="15" xfId="812" applyFont="1" applyFill="1" applyBorder="1" applyAlignment="1">
      <alignment horizontal="center" vertical="center"/>
    </xf>
    <xf numFmtId="0" fontId="228" fillId="8" borderId="17" xfId="812" applyFont="1" applyFill="1" applyBorder="1" applyAlignment="1">
      <alignment horizontal="center" vertical="center"/>
    </xf>
    <xf numFmtId="0" fontId="228" fillId="8" borderId="16" xfId="812" applyFont="1" applyFill="1" applyBorder="1" applyAlignment="1">
      <alignment horizontal="center" vertical="center"/>
    </xf>
    <xf numFmtId="0" fontId="228" fillId="8" borderId="18" xfId="812" applyFont="1" applyFill="1" applyBorder="1" applyAlignment="1">
      <alignment horizontal="center" vertical="center"/>
    </xf>
    <xf numFmtId="0" fontId="228" fillId="8" borderId="16" xfId="812" applyFont="1" applyFill="1" applyBorder="1" applyAlignment="1">
      <alignment horizontal="center" vertical="center" wrapText="1"/>
    </xf>
    <xf numFmtId="0" fontId="228" fillId="8" borderId="18" xfId="812" applyFont="1" applyFill="1" applyBorder="1" applyAlignment="1">
      <alignment horizontal="center" vertical="center" wrapText="1"/>
    </xf>
    <xf numFmtId="0" fontId="241" fillId="4" borderId="1" xfId="812" applyFont="1" applyFill="1" applyBorder="1" applyAlignment="1">
      <alignment horizontal="center"/>
    </xf>
    <xf numFmtId="0" fontId="241" fillId="9" borderId="2" xfId="812" applyFont="1" applyFill="1" applyBorder="1" applyAlignment="1">
      <alignment horizontal="center"/>
    </xf>
    <xf numFmtId="0" fontId="241" fillId="9" borderId="4" xfId="812" applyFont="1" applyFill="1" applyBorder="1" applyAlignment="1">
      <alignment horizontal="center"/>
    </xf>
    <xf numFmtId="0" fontId="241" fillId="9" borderId="3" xfId="812" applyFont="1" applyFill="1" applyBorder="1" applyAlignment="1">
      <alignment horizontal="center"/>
    </xf>
    <xf numFmtId="0" fontId="241" fillId="9" borderId="1" xfId="812" applyFont="1" applyFill="1" applyBorder="1" applyAlignment="1">
      <alignment horizontal="center"/>
    </xf>
    <xf numFmtId="177" fontId="226" fillId="6" borderId="10" xfId="809" applyNumberFormat="1" applyFont="1" applyFill="1" applyBorder="1" applyAlignment="1">
      <alignment horizontal="center" vertical="center"/>
    </xf>
    <xf numFmtId="177" fontId="226" fillId="6" borderId="11" xfId="809" applyNumberFormat="1" applyFont="1" applyFill="1" applyBorder="1" applyAlignment="1">
      <alignment horizontal="center" vertical="center"/>
    </xf>
    <xf numFmtId="177" fontId="233" fillId="2" borderId="8" xfId="810" applyNumberFormat="1" applyFont="1" applyFill="1" applyBorder="1" applyAlignment="1">
      <alignment horizontal="center" vertical="center"/>
    </xf>
    <xf numFmtId="177" fontId="233" fillId="2" borderId="1" xfId="810" applyNumberFormat="1" applyFont="1" applyFill="1" applyBorder="1" applyAlignment="1">
      <alignment horizontal="center" vertical="center"/>
    </xf>
    <xf numFmtId="178" fontId="233" fillId="2" borderId="1" xfId="809" applyNumberFormat="1" applyFont="1" applyFill="1" applyBorder="1" applyAlignment="1">
      <alignment horizontal="center" vertical="center"/>
    </xf>
    <xf numFmtId="0" fontId="233" fillId="3" borderId="8" xfId="809" applyFont="1" applyFill="1" applyBorder="1" applyAlignment="1">
      <alignment horizontal="center" vertical="center"/>
    </xf>
    <xf numFmtId="0" fontId="233" fillId="3" borderId="1" xfId="809" applyFont="1" applyFill="1" applyBorder="1" applyAlignment="1">
      <alignment horizontal="center" vertical="center"/>
    </xf>
    <xf numFmtId="0" fontId="233" fillId="3" borderId="1" xfId="809" applyFont="1" applyFill="1" applyBorder="1" applyAlignment="1">
      <alignment horizontal="center" vertical="center" wrapText="1"/>
    </xf>
    <xf numFmtId="0" fontId="233" fillId="3" borderId="9" xfId="809" applyFont="1" applyFill="1" applyBorder="1" applyAlignment="1">
      <alignment horizontal="center" vertical="center" wrapText="1"/>
    </xf>
    <xf numFmtId="0" fontId="233" fillId="3" borderId="8" xfId="801" applyFont="1" applyFill="1" applyBorder="1" applyAlignment="1">
      <alignment horizontal="center" vertical="center"/>
    </xf>
    <xf numFmtId="0" fontId="233" fillId="3" borderId="1" xfId="801" applyFont="1" applyFill="1" applyBorder="1" applyAlignment="1">
      <alignment horizontal="center" vertical="center"/>
    </xf>
    <xf numFmtId="0" fontId="233" fillId="3" borderId="1" xfId="801" applyFont="1" applyFill="1" applyBorder="1" applyAlignment="1">
      <alignment horizontal="center" vertical="center" wrapText="1"/>
    </xf>
    <xf numFmtId="0" fontId="233" fillId="3" borderId="9" xfId="801" applyFont="1" applyFill="1" applyBorder="1" applyAlignment="1">
      <alignment horizontal="center" vertical="center" wrapText="1"/>
    </xf>
    <xf numFmtId="177" fontId="226" fillId="6" borderId="10" xfId="801" applyNumberFormat="1" applyFont="1" applyFill="1" applyBorder="1" applyAlignment="1">
      <alignment horizontal="center" vertical="center"/>
    </xf>
    <xf numFmtId="177" fontId="226" fillId="6" borderId="11" xfId="801" applyNumberFormat="1" applyFont="1" applyFill="1" applyBorder="1" applyAlignment="1">
      <alignment horizontal="center" vertical="center"/>
    </xf>
    <xf numFmtId="0" fontId="228" fillId="8" borderId="9" xfId="804" applyFont="1" applyFill="1" applyBorder="1" applyAlignment="1">
      <alignment horizontal="center" vertical="center" wrapText="1"/>
    </xf>
    <xf numFmtId="0" fontId="228" fillId="8" borderId="14" xfId="804" applyFont="1" applyFill="1" applyBorder="1" applyAlignment="1">
      <alignment horizontal="center" vertical="center"/>
    </xf>
    <xf numFmtId="0" fontId="228" fillId="8" borderId="15" xfId="804" applyFont="1" applyFill="1" applyBorder="1" applyAlignment="1">
      <alignment horizontal="center" vertical="center"/>
    </xf>
    <xf numFmtId="0" fontId="228" fillId="8" borderId="17" xfId="804" applyFont="1" applyFill="1" applyBorder="1" applyAlignment="1">
      <alignment horizontal="center" vertical="center"/>
    </xf>
    <xf numFmtId="177" fontId="233" fillId="2" borderId="8" xfId="802" applyNumberFormat="1" applyFont="1" applyFill="1" applyBorder="1" applyAlignment="1">
      <alignment horizontal="center" vertical="center"/>
    </xf>
    <xf numFmtId="177" fontId="233" fillId="2" borderId="1" xfId="802" applyNumberFormat="1" applyFont="1" applyFill="1" applyBorder="1" applyAlignment="1">
      <alignment horizontal="center" vertical="center"/>
    </xf>
    <xf numFmtId="178" fontId="233" fillId="2" borderId="1" xfId="801" applyNumberFormat="1" applyFont="1" applyFill="1" applyBorder="1" applyAlignment="1">
      <alignment horizontal="center" vertical="center"/>
    </xf>
    <xf numFmtId="0" fontId="228" fillId="8" borderId="16" xfId="804" applyFont="1" applyFill="1" applyBorder="1" applyAlignment="1">
      <alignment horizontal="center" vertical="center"/>
    </xf>
    <xf numFmtId="0" fontId="228" fillId="8" borderId="18" xfId="804" applyFont="1" applyFill="1" applyBorder="1" applyAlignment="1">
      <alignment horizontal="center" vertical="center"/>
    </xf>
    <xf numFmtId="0" fontId="228" fillId="8" borderId="16" xfId="804" applyFont="1" applyFill="1" applyBorder="1" applyAlignment="1">
      <alignment horizontal="center" vertical="center" wrapText="1"/>
    </xf>
    <xf numFmtId="0" fontId="228" fillId="8" borderId="18" xfId="804" applyFont="1" applyFill="1" applyBorder="1" applyAlignment="1">
      <alignment horizontal="center" vertical="center" wrapText="1"/>
    </xf>
    <xf numFmtId="0" fontId="241" fillId="4" borderId="1" xfId="804" applyFont="1" applyFill="1" applyBorder="1" applyAlignment="1">
      <alignment horizontal="center"/>
    </xf>
    <xf numFmtId="0" fontId="241" fillId="9" borderId="2" xfId="804" applyFont="1" applyFill="1" applyBorder="1" applyAlignment="1">
      <alignment horizontal="center"/>
    </xf>
    <xf numFmtId="0" fontId="241" fillId="9" borderId="3" xfId="804" applyFont="1" applyFill="1" applyBorder="1" applyAlignment="1">
      <alignment horizontal="center"/>
    </xf>
    <xf numFmtId="0" fontId="241" fillId="9" borderId="1" xfId="804" applyFont="1" applyFill="1" applyBorder="1" applyAlignment="1">
      <alignment horizontal="center"/>
    </xf>
    <xf numFmtId="0" fontId="241" fillId="9" borderId="4" xfId="804" applyFont="1" applyFill="1" applyBorder="1" applyAlignment="1">
      <alignment horizontal="center"/>
    </xf>
    <xf numFmtId="0" fontId="228" fillId="8" borderId="8" xfId="804" applyFont="1" applyFill="1" applyBorder="1" applyAlignment="1">
      <alignment horizontal="center" vertical="center"/>
    </xf>
    <xf numFmtId="0" fontId="228" fillId="8" borderId="1" xfId="804" applyFont="1" applyFill="1" applyBorder="1" applyAlignment="1">
      <alignment horizontal="center" vertical="center"/>
    </xf>
    <xf numFmtId="0" fontId="228" fillId="8" borderId="1" xfId="804" applyFont="1" applyFill="1" applyBorder="1" applyAlignment="1">
      <alignment horizontal="center" vertical="center" wrapText="1"/>
    </xf>
    <xf numFmtId="0" fontId="233" fillId="3" borderId="8" xfId="829" applyFont="1" applyFill="1" applyBorder="1" applyAlignment="1">
      <alignment horizontal="center" vertical="center"/>
    </xf>
    <xf numFmtId="0" fontId="233" fillId="3" borderId="1" xfId="829" applyFont="1" applyFill="1" applyBorder="1" applyAlignment="1">
      <alignment horizontal="center" vertical="center"/>
    </xf>
    <xf numFmtId="0" fontId="233" fillId="3" borderId="1" xfId="829" applyFont="1" applyFill="1" applyBorder="1" applyAlignment="1">
      <alignment horizontal="center" vertical="center" wrapText="1"/>
    </xf>
    <xf numFmtId="0" fontId="233" fillId="3" borderId="9" xfId="829" applyFont="1" applyFill="1" applyBorder="1" applyAlignment="1">
      <alignment horizontal="center" vertical="center" wrapText="1"/>
    </xf>
    <xf numFmtId="177" fontId="226" fillId="6" borderId="10" xfId="829" applyNumberFormat="1" applyFont="1" applyFill="1" applyBorder="1" applyAlignment="1">
      <alignment horizontal="center" vertical="center"/>
    </xf>
    <xf numFmtId="177" fontId="226" fillId="6" borderId="11" xfId="829" applyNumberFormat="1" applyFont="1" applyFill="1" applyBorder="1" applyAlignment="1">
      <alignment horizontal="center" vertical="center"/>
    </xf>
    <xf numFmtId="0" fontId="228" fillId="8" borderId="9" xfId="832" applyFont="1" applyFill="1" applyBorder="1" applyAlignment="1">
      <alignment horizontal="center" vertical="center" wrapText="1"/>
    </xf>
    <xf numFmtId="0" fontId="228" fillId="8" borderId="14" xfId="832" applyFont="1" applyFill="1" applyBorder="1" applyAlignment="1">
      <alignment horizontal="center" vertical="center"/>
    </xf>
    <xf numFmtId="0" fontId="228" fillId="8" borderId="15" xfId="832" applyFont="1" applyFill="1" applyBorder="1" applyAlignment="1">
      <alignment horizontal="center" vertical="center"/>
    </xf>
    <xf numFmtId="0" fontId="228" fillId="8" borderId="17" xfId="832" applyFont="1" applyFill="1" applyBorder="1" applyAlignment="1">
      <alignment horizontal="center" vertical="center"/>
    </xf>
    <xf numFmtId="177" fontId="233" fillId="2" borderId="8" xfId="830" applyNumberFormat="1" applyFont="1" applyFill="1" applyBorder="1" applyAlignment="1">
      <alignment horizontal="center" vertical="center"/>
    </xf>
    <xf numFmtId="177" fontId="233" fillId="2" borderId="1" xfId="830" applyNumberFormat="1" applyFont="1" applyFill="1" applyBorder="1" applyAlignment="1">
      <alignment horizontal="center" vertical="center"/>
    </xf>
    <xf numFmtId="178" fontId="233" fillId="2" borderId="1" xfId="829" applyNumberFormat="1" applyFont="1" applyFill="1" applyBorder="1" applyAlignment="1">
      <alignment horizontal="center" vertical="center"/>
    </xf>
    <xf numFmtId="0" fontId="228" fillId="8" borderId="16" xfId="832" applyFont="1" applyFill="1" applyBorder="1" applyAlignment="1">
      <alignment horizontal="center" vertical="center"/>
    </xf>
    <xf numFmtId="0" fontId="228" fillId="8" borderId="18" xfId="832" applyFont="1" applyFill="1" applyBorder="1" applyAlignment="1">
      <alignment horizontal="center" vertical="center"/>
    </xf>
    <xf numFmtId="0" fontId="228" fillId="8" borderId="16" xfId="832" applyFont="1" applyFill="1" applyBorder="1" applyAlignment="1">
      <alignment horizontal="center" vertical="center" wrapText="1"/>
    </xf>
    <xf numFmtId="0" fontId="228" fillId="8" borderId="18" xfId="832" applyFont="1" applyFill="1" applyBorder="1" applyAlignment="1">
      <alignment horizontal="center" vertical="center" wrapText="1"/>
    </xf>
    <xf numFmtId="0" fontId="241" fillId="4" borderId="1" xfId="832" applyFont="1" applyFill="1" applyBorder="1" applyAlignment="1">
      <alignment horizontal="center"/>
    </xf>
    <xf numFmtId="0" fontId="241" fillId="9" borderId="2" xfId="832" applyFont="1" applyFill="1" applyBorder="1" applyAlignment="1">
      <alignment horizontal="center"/>
    </xf>
    <xf numFmtId="0" fontId="241" fillId="9" borderId="3" xfId="832" applyFont="1" applyFill="1" applyBorder="1" applyAlignment="1">
      <alignment horizontal="center"/>
    </xf>
    <xf numFmtId="0" fontId="241" fillId="9" borderId="1" xfId="832" applyFont="1" applyFill="1" applyBorder="1" applyAlignment="1">
      <alignment horizontal="center"/>
    </xf>
    <xf numFmtId="0" fontId="241" fillId="9" borderId="4" xfId="832" applyFont="1" applyFill="1" applyBorder="1" applyAlignment="1">
      <alignment horizontal="center"/>
    </xf>
    <xf numFmtId="0" fontId="228" fillId="8" borderId="8" xfId="832" applyFont="1" applyFill="1" applyBorder="1" applyAlignment="1">
      <alignment horizontal="center" vertical="center"/>
    </xf>
    <xf numFmtId="0" fontId="228" fillId="8" borderId="1" xfId="832" applyFont="1" applyFill="1" applyBorder="1" applyAlignment="1">
      <alignment horizontal="center" vertical="center"/>
    </xf>
    <xf numFmtId="0" fontId="228" fillId="8" borderId="1" xfId="832" applyFont="1" applyFill="1" applyBorder="1" applyAlignment="1">
      <alignment horizontal="center" vertical="center" wrapText="1"/>
    </xf>
    <xf numFmtId="0" fontId="228" fillId="8" borderId="8" xfId="828" applyFont="1" applyFill="1" applyBorder="1" applyAlignment="1">
      <alignment horizontal="center" vertical="center"/>
    </xf>
    <xf numFmtId="0" fontId="228" fillId="8" borderId="1" xfId="828" applyFont="1" applyFill="1" applyBorder="1" applyAlignment="1">
      <alignment horizontal="center" vertical="center"/>
    </xf>
    <xf numFmtId="0" fontId="228" fillId="8" borderId="1" xfId="828" applyFont="1" applyFill="1" applyBorder="1" applyAlignment="1">
      <alignment horizontal="center" vertical="center" wrapText="1"/>
    </xf>
    <xf numFmtId="0" fontId="228" fillId="8" borderId="9" xfId="828" applyFont="1" applyFill="1" applyBorder="1" applyAlignment="1">
      <alignment horizontal="center" vertical="center" wrapText="1"/>
    </xf>
    <xf numFmtId="0" fontId="228" fillId="8" borderId="14" xfId="828" applyFont="1" applyFill="1" applyBorder="1" applyAlignment="1">
      <alignment horizontal="center" vertical="center"/>
    </xf>
    <xf numFmtId="0" fontId="228" fillId="8" borderId="15" xfId="828" applyFont="1" applyFill="1" applyBorder="1" applyAlignment="1">
      <alignment horizontal="center" vertical="center"/>
    </xf>
    <xf numFmtId="0" fontId="228" fillId="8" borderId="17" xfId="828" applyFont="1" applyFill="1" applyBorder="1" applyAlignment="1">
      <alignment horizontal="center" vertical="center"/>
    </xf>
    <xf numFmtId="0" fontId="228" fillId="8" borderId="16" xfId="828" applyFont="1" applyFill="1" applyBorder="1" applyAlignment="1">
      <alignment horizontal="center" vertical="center"/>
    </xf>
    <xf numFmtId="0" fontId="228" fillId="8" borderId="18" xfId="828" applyFont="1" applyFill="1" applyBorder="1" applyAlignment="1">
      <alignment horizontal="center" vertical="center"/>
    </xf>
    <xf numFmtId="0" fontId="228" fillId="8" borderId="16" xfId="828" applyFont="1" applyFill="1" applyBorder="1" applyAlignment="1">
      <alignment horizontal="center" vertical="center" wrapText="1"/>
    </xf>
    <xf numFmtId="0" fontId="228" fillId="8" borderId="18" xfId="828" applyFont="1" applyFill="1" applyBorder="1" applyAlignment="1">
      <alignment horizontal="center" vertical="center" wrapText="1"/>
    </xf>
    <xf numFmtId="0" fontId="241" fillId="4" borderId="1" xfId="828" applyFont="1" applyFill="1" applyBorder="1" applyAlignment="1">
      <alignment horizontal="center"/>
    </xf>
    <xf numFmtId="0" fontId="241" fillId="9" borderId="2" xfId="828" applyFont="1" applyFill="1" applyBorder="1" applyAlignment="1">
      <alignment horizontal="center"/>
    </xf>
    <xf numFmtId="0" fontId="241" fillId="9" borderId="4" xfId="828" applyFont="1" applyFill="1" applyBorder="1" applyAlignment="1">
      <alignment horizontal="center"/>
    </xf>
    <xf numFmtId="0" fontId="241" fillId="9" borderId="3" xfId="828" applyFont="1" applyFill="1" applyBorder="1" applyAlignment="1">
      <alignment horizontal="center"/>
    </xf>
    <xf numFmtId="0" fontId="241" fillId="9" borderId="1" xfId="828" applyFont="1" applyFill="1" applyBorder="1" applyAlignment="1">
      <alignment horizontal="center"/>
    </xf>
    <xf numFmtId="177" fontId="226" fillId="6" borderId="10" xfId="825" applyNumberFormat="1" applyFont="1" applyFill="1" applyBorder="1" applyAlignment="1">
      <alignment horizontal="center" vertical="center"/>
    </xf>
    <xf numFmtId="177" fontId="226" fillId="6" borderId="11" xfId="825" applyNumberFormat="1" applyFont="1" applyFill="1" applyBorder="1" applyAlignment="1">
      <alignment horizontal="center" vertical="center"/>
    </xf>
    <xf numFmtId="177" fontId="233" fillId="2" borderId="8" xfId="826" applyNumberFormat="1" applyFont="1" applyFill="1" applyBorder="1" applyAlignment="1">
      <alignment horizontal="center" vertical="center"/>
    </xf>
    <xf numFmtId="177" fontId="233" fillId="2" borderId="1" xfId="826" applyNumberFormat="1" applyFont="1" applyFill="1" applyBorder="1" applyAlignment="1">
      <alignment horizontal="center" vertical="center"/>
    </xf>
    <xf numFmtId="178" fontId="233" fillId="2" borderId="1" xfId="825" applyNumberFormat="1" applyFont="1" applyFill="1" applyBorder="1" applyAlignment="1">
      <alignment horizontal="center" vertical="center"/>
    </xf>
    <xf numFmtId="0" fontId="233" fillId="3" borderId="8" xfId="825" applyFont="1" applyFill="1" applyBorder="1" applyAlignment="1">
      <alignment horizontal="center" vertical="center"/>
    </xf>
    <xf numFmtId="0" fontId="233" fillId="3" borderId="1" xfId="825" applyFont="1" applyFill="1" applyBorder="1" applyAlignment="1">
      <alignment horizontal="center" vertical="center"/>
    </xf>
    <xf numFmtId="0" fontId="233" fillId="3" borderId="1" xfId="825" applyFont="1" applyFill="1" applyBorder="1" applyAlignment="1">
      <alignment horizontal="center" vertical="center" wrapText="1"/>
    </xf>
    <xf numFmtId="0" fontId="233" fillId="3" borderId="9" xfId="825" applyFont="1" applyFill="1" applyBorder="1" applyAlignment="1">
      <alignment horizontal="center" vertical="center" wrapText="1"/>
    </xf>
    <xf numFmtId="0" fontId="233" fillId="3" borderId="8" xfId="821" applyFont="1" applyFill="1" applyBorder="1" applyAlignment="1">
      <alignment horizontal="center" vertical="center"/>
    </xf>
    <xf numFmtId="0" fontId="233" fillId="3" borderId="1" xfId="821" applyFont="1" applyFill="1" applyBorder="1" applyAlignment="1">
      <alignment horizontal="center" vertical="center"/>
    </xf>
    <xf numFmtId="0" fontId="233" fillId="3" borderId="1" xfId="821" applyFont="1" applyFill="1" applyBorder="1" applyAlignment="1">
      <alignment horizontal="center" vertical="center" wrapText="1"/>
    </xf>
    <xf numFmtId="0" fontId="233" fillId="3" borderId="9" xfId="821" applyFont="1" applyFill="1" applyBorder="1" applyAlignment="1">
      <alignment horizontal="center" vertical="center" wrapText="1"/>
    </xf>
    <xf numFmtId="177" fontId="226" fillId="6" borderId="10" xfId="821" applyNumberFormat="1" applyFont="1" applyFill="1" applyBorder="1" applyAlignment="1">
      <alignment horizontal="center" vertical="center"/>
    </xf>
    <xf numFmtId="177" fontId="226" fillId="6" borderId="11" xfId="821" applyNumberFormat="1" applyFont="1" applyFill="1" applyBorder="1" applyAlignment="1">
      <alignment horizontal="center" vertical="center"/>
    </xf>
    <xf numFmtId="0" fontId="228" fillId="8" borderId="9" xfId="824" applyFont="1" applyFill="1" applyBorder="1" applyAlignment="1">
      <alignment horizontal="center" vertical="center" wrapText="1"/>
    </xf>
    <xf numFmtId="0" fontId="228" fillId="8" borderId="14" xfId="824" applyFont="1" applyFill="1" applyBorder="1" applyAlignment="1">
      <alignment horizontal="center" vertical="center"/>
    </xf>
    <xf numFmtId="0" fontId="228" fillId="8" borderId="15" xfId="824" applyFont="1" applyFill="1" applyBorder="1" applyAlignment="1">
      <alignment horizontal="center" vertical="center"/>
    </xf>
    <xf numFmtId="0" fontId="228" fillId="8" borderId="17" xfId="824" applyFont="1" applyFill="1" applyBorder="1" applyAlignment="1">
      <alignment horizontal="center" vertical="center"/>
    </xf>
    <xf numFmtId="177" fontId="233" fillId="2" borderId="8" xfId="822" applyNumberFormat="1" applyFont="1" applyFill="1" applyBorder="1" applyAlignment="1">
      <alignment horizontal="center" vertical="center"/>
    </xf>
    <xf numFmtId="177" fontId="233" fillId="2" borderId="1" xfId="822" applyNumberFormat="1" applyFont="1" applyFill="1" applyBorder="1" applyAlignment="1">
      <alignment horizontal="center" vertical="center"/>
    </xf>
    <xf numFmtId="178" fontId="233" fillId="2" borderId="1" xfId="821" applyNumberFormat="1" applyFont="1" applyFill="1" applyBorder="1" applyAlignment="1">
      <alignment horizontal="center" vertical="center"/>
    </xf>
    <xf numFmtId="0" fontId="228" fillId="8" borderId="16" xfId="824" applyFont="1" applyFill="1" applyBorder="1" applyAlignment="1">
      <alignment horizontal="center" vertical="center"/>
    </xf>
    <xf numFmtId="0" fontId="228" fillId="8" borderId="18" xfId="824" applyFont="1" applyFill="1" applyBorder="1" applyAlignment="1">
      <alignment horizontal="center" vertical="center"/>
    </xf>
    <xf numFmtId="0" fontId="228" fillId="8" borderId="16" xfId="824" applyFont="1" applyFill="1" applyBorder="1" applyAlignment="1">
      <alignment horizontal="center" vertical="center" wrapText="1"/>
    </xf>
    <xf numFmtId="0" fontId="228" fillId="8" borderId="18" xfId="824" applyFont="1" applyFill="1" applyBorder="1" applyAlignment="1">
      <alignment horizontal="center" vertical="center" wrapText="1"/>
    </xf>
    <xf numFmtId="0" fontId="241" fillId="4" borderId="1" xfId="824" applyFont="1" applyFill="1" applyBorder="1" applyAlignment="1">
      <alignment horizontal="center"/>
    </xf>
    <xf numFmtId="0" fontId="241" fillId="9" borderId="2" xfId="824" applyFont="1" applyFill="1" applyBorder="1" applyAlignment="1">
      <alignment horizontal="center"/>
    </xf>
    <xf numFmtId="0" fontId="241" fillId="9" borderId="3" xfId="824" applyFont="1" applyFill="1" applyBorder="1" applyAlignment="1">
      <alignment horizontal="center"/>
    </xf>
    <xf numFmtId="0" fontId="241" fillId="9" borderId="1" xfId="824" applyFont="1" applyFill="1" applyBorder="1" applyAlignment="1">
      <alignment horizontal="center"/>
    </xf>
    <xf numFmtId="0" fontId="241" fillId="9" borderId="4" xfId="824" applyFont="1" applyFill="1" applyBorder="1" applyAlignment="1">
      <alignment horizontal="center"/>
    </xf>
    <xf numFmtId="0" fontId="228" fillId="8" borderId="8" xfId="824" applyFont="1" applyFill="1" applyBorder="1" applyAlignment="1">
      <alignment horizontal="center" vertical="center"/>
    </xf>
    <xf numFmtId="0" fontId="228" fillId="8" borderId="1" xfId="824" applyFont="1" applyFill="1" applyBorder="1" applyAlignment="1">
      <alignment horizontal="center" vertical="center"/>
    </xf>
    <xf numFmtId="0" fontId="228" fillId="8" borderId="1" xfId="824" applyFont="1" applyFill="1" applyBorder="1" applyAlignment="1">
      <alignment horizontal="center" vertical="center" wrapText="1"/>
    </xf>
    <xf numFmtId="0" fontId="233" fillId="3" borderId="8" xfId="781" applyFont="1" applyFill="1" applyBorder="1" applyAlignment="1">
      <alignment horizontal="center" vertical="center"/>
    </xf>
    <xf numFmtId="0" fontId="233" fillId="3" borderId="1" xfId="781" applyFont="1" applyFill="1" applyBorder="1" applyAlignment="1">
      <alignment horizontal="center" vertical="center"/>
    </xf>
    <xf numFmtId="0" fontId="233" fillId="3" borderId="1" xfId="781" applyFont="1" applyFill="1" applyBorder="1" applyAlignment="1">
      <alignment horizontal="center" vertical="center" wrapText="1"/>
    </xf>
    <xf numFmtId="0" fontId="233" fillId="3" borderId="9" xfId="781" applyFont="1" applyFill="1" applyBorder="1" applyAlignment="1">
      <alignment horizontal="center" vertical="center" wrapText="1"/>
    </xf>
    <xf numFmtId="177" fontId="226" fillId="6" borderId="10" xfId="781" applyNumberFormat="1" applyFont="1" applyFill="1" applyBorder="1" applyAlignment="1">
      <alignment horizontal="center" vertical="center"/>
    </xf>
    <xf numFmtId="177" fontId="226" fillId="6" borderId="11" xfId="781" applyNumberFormat="1" applyFont="1" applyFill="1" applyBorder="1" applyAlignment="1">
      <alignment horizontal="center" vertical="center"/>
    </xf>
    <xf numFmtId="0" fontId="228" fillId="8" borderId="9" xfId="784" applyFont="1" applyFill="1" applyBorder="1" applyAlignment="1">
      <alignment horizontal="center" vertical="center" wrapText="1"/>
    </xf>
    <xf numFmtId="0" fontId="228" fillId="8" borderId="14" xfId="784" applyFont="1" applyFill="1" applyBorder="1" applyAlignment="1">
      <alignment horizontal="center" vertical="center"/>
    </xf>
    <xf numFmtId="0" fontId="228" fillId="8" borderId="15" xfId="784" applyFont="1" applyFill="1" applyBorder="1" applyAlignment="1">
      <alignment horizontal="center" vertical="center"/>
    </xf>
    <xf numFmtId="0" fontId="228" fillId="8" borderId="17" xfId="784" applyFont="1" applyFill="1" applyBorder="1" applyAlignment="1">
      <alignment horizontal="center" vertical="center"/>
    </xf>
    <xf numFmtId="177" fontId="233" fillId="2" borderId="8" xfId="782" applyNumberFormat="1" applyFont="1" applyFill="1" applyBorder="1" applyAlignment="1">
      <alignment horizontal="center" vertical="center"/>
    </xf>
    <xf numFmtId="177" fontId="233" fillId="2" borderId="1" xfId="782" applyNumberFormat="1" applyFont="1" applyFill="1" applyBorder="1" applyAlignment="1">
      <alignment horizontal="center" vertical="center"/>
    </xf>
    <xf numFmtId="178" fontId="233" fillId="2" borderId="1" xfId="781" applyNumberFormat="1" applyFont="1" applyFill="1" applyBorder="1" applyAlignment="1">
      <alignment horizontal="center" vertical="center"/>
    </xf>
    <xf numFmtId="0" fontId="228" fillId="8" borderId="16" xfId="784" applyFont="1" applyFill="1" applyBorder="1" applyAlignment="1">
      <alignment horizontal="center" vertical="center"/>
    </xf>
    <xf numFmtId="0" fontId="228" fillId="8" borderId="18" xfId="784" applyFont="1" applyFill="1" applyBorder="1" applyAlignment="1">
      <alignment horizontal="center" vertical="center"/>
    </xf>
    <xf numFmtId="0" fontId="228" fillId="8" borderId="16" xfId="784" applyFont="1" applyFill="1" applyBorder="1" applyAlignment="1">
      <alignment horizontal="center" vertical="center" wrapText="1"/>
    </xf>
    <xf numFmtId="0" fontId="228" fillId="8" borderId="18" xfId="784" applyFont="1" applyFill="1" applyBorder="1" applyAlignment="1">
      <alignment horizontal="center" vertical="center" wrapText="1"/>
    </xf>
    <xf numFmtId="0" fontId="241" fillId="4" borderId="1" xfId="784" applyFont="1" applyFill="1" applyBorder="1" applyAlignment="1">
      <alignment horizontal="center"/>
    </xf>
    <xf numFmtId="0" fontId="241" fillId="9" borderId="2" xfId="784" applyFont="1" applyFill="1" applyBorder="1" applyAlignment="1">
      <alignment horizontal="center"/>
    </xf>
    <xf numFmtId="0" fontId="241" fillId="9" borderId="3" xfId="784" applyFont="1" applyFill="1" applyBorder="1" applyAlignment="1">
      <alignment horizontal="center"/>
    </xf>
    <xf numFmtId="0" fontId="241" fillId="9" borderId="1" xfId="784" applyFont="1" applyFill="1" applyBorder="1" applyAlignment="1">
      <alignment horizontal="center"/>
    </xf>
    <xf numFmtId="0" fontId="241" fillId="9" borderId="4" xfId="784" applyFont="1" applyFill="1" applyBorder="1" applyAlignment="1">
      <alignment horizontal="center"/>
    </xf>
    <xf numFmtId="0" fontId="228" fillId="8" borderId="8" xfId="784" applyFont="1" applyFill="1" applyBorder="1" applyAlignment="1">
      <alignment horizontal="center" vertical="center"/>
    </xf>
    <xf numFmtId="0" fontId="228" fillId="8" borderId="1" xfId="784" applyFont="1" applyFill="1" applyBorder="1" applyAlignment="1">
      <alignment horizontal="center" vertical="center"/>
    </xf>
    <xf numFmtId="0" fontId="228" fillId="8" borderId="1" xfId="784" applyFont="1" applyFill="1" applyBorder="1" applyAlignment="1">
      <alignment horizontal="center" vertical="center" wrapText="1"/>
    </xf>
    <xf numFmtId="0" fontId="233" fillId="3" borderId="8" xfId="777" applyFont="1" applyFill="1" applyBorder="1" applyAlignment="1">
      <alignment horizontal="center" vertical="center"/>
    </xf>
    <xf numFmtId="0" fontId="233" fillId="3" borderId="1" xfId="777" applyFont="1" applyFill="1" applyBorder="1" applyAlignment="1">
      <alignment horizontal="center" vertical="center"/>
    </xf>
    <xf numFmtId="0" fontId="233" fillId="3" borderId="1" xfId="777" applyFont="1" applyFill="1" applyBorder="1" applyAlignment="1">
      <alignment horizontal="center" vertical="center" wrapText="1"/>
    </xf>
    <xf numFmtId="0" fontId="233" fillId="3" borderId="9" xfId="777" applyFont="1" applyFill="1" applyBorder="1" applyAlignment="1">
      <alignment horizontal="center" vertical="center" wrapText="1"/>
    </xf>
    <xf numFmtId="177" fontId="226" fillId="6" borderId="10" xfId="777" applyNumberFormat="1" applyFont="1" applyFill="1" applyBorder="1" applyAlignment="1">
      <alignment horizontal="center" vertical="center"/>
    </xf>
    <xf numFmtId="177" fontId="226" fillId="6" borderId="11" xfId="777" applyNumberFormat="1" applyFont="1" applyFill="1" applyBorder="1" applyAlignment="1">
      <alignment horizontal="center" vertical="center"/>
    </xf>
    <xf numFmtId="0" fontId="228" fillId="8" borderId="9" xfId="780" applyFont="1" applyFill="1" applyBorder="1" applyAlignment="1">
      <alignment horizontal="center" vertical="center" wrapText="1"/>
    </xf>
    <xf numFmtId="0" fontId="228" fillId="8" borderId="14" xfId="780" applyFont="1" applyFill="1" applyBorder="1" applyAlignment="1">
      <alignment horizontal="center" vertical="center"/>
    </xf>
    <xf numFmtId="0" fontId="228" fillId="8" borderId="15" xfId="780" applyFont="1" applyFill="1" applyBorder="1" applyAlignment="1">
      <alignment horizontal="center" vertical="center"/>
    </xf>
    <xf numFmtId="0" fontId="228" fillId="8" borderId="17" xfId="780" applyFont="1" applyFill="1" applyBorder="1" applyAlignment="1">
      <alignment horizontal="center" vertical="center"/>
    </xf>
    <xf numFmtId="177" fontId="233" fillId="2" borderId="8" xfId="778" applyNumberFormat="1" applyFont="1" applyFill="1" applyBorder="1" applyAlignment="1">
      <alignment horizontal="center" vertical="center"/>
    </xf>
    <xf numFmtId="177" fontId="233" fillId="2" borderId="1" xfId="778" applyNumberFormat="1" applyFont="1" applyFill="1" applyBorder="1" applyAlignment="1">
      <alignment horizontal="center" vertical="center"/>
    </xf>
    <xf numFmtId="178" fontId="233" fillId="2" borderId="1" xfId="777" applyNumberFormat="1" applyFont="1" applyFill="1" applyBorder="1" applyAlignment="1">
      <alignment horizontal="center" vertical="center"/>
    </xf>
    <xf numFmtId="0" fontId="228" fillId="8" borderId="16" xfId="780" applyFont="1" applyFill="1" applyBorder="1" applyAlignment="1">
      <alignment horizontal="center" vertical="center"/>
    </xf>
    <xf numFmtId="0" fontId="228" fillId="8" borderId="18" xfId="780" applyFont="1" applyFill="1" applyBorder="1" applyAlignment="1">
      <alignment horizontal="center" vertical="center"/>
    </xf>
    <xf numFmtId="0" fontId="228" fillId="8" borderId="16" xfId="780" applyFont="1" applyFill="1" applyBorder="1" applyAlignment="1">
      <alignment horizontal="center" vertical="center" wrapText="1"/>
    </xf>
    <xf numFmtId="0" fontId="228" fillId="8" borderId="18" xfId="780" applyFont="1" applyFill="1" applyBorder="1" applyAlignment="1">
      <alignment horizontal="center" vertical="center" wrapText="1"/>
    </xf>
    <xf numFmtId="0" fontId="241" fillId="4" borderId="1" xfId="780" applyFont="1" applyFill="1" applyBorder="1" applyAlignment="1">
      <alignment horizontal="center"/>
    </xf>
    <xf numFmtId="0" fontId="241" fillId="9" borderId="2" xfId="780" applyFont="1" applyFill="1" applyBorder="1" applyAlignment="1">
      <alignment horizontal="center"/>
    </xf>
    <xf numFmtId="0" fontId="241" fillId="9" borderId="3" xfId="780" applyFont="1" applyFill="1" applyBorder="1" applyAlignment="1">
      <alignment horizontal="center"/>
    </xf>
    <xf numFmtId="0" fontId="241" fillId="9" borderId="1" xfId="780" applyFont="1" applyFill="1" applyBorder="1" applyAlignment="1">
      <alignment horizontal="center"/>
    </xf>
    <xf numFmtId="0" fontId="241" fillId="9" borderId="4" xfId="780" applyFont="1" applyFill="1" applyBorder="1" applyAlignment="1">
      <alignment horizontal="center"/>
    </xf>
    <xf numFmtId="0" fontId="228" fillId="8" borderId="8" xfId="780" applyFont="1" applyFill="1" applyBorder="1" applyAlignment="1">
      <alignment horizontal="center" vertical="center"/>
    </xf>
    <xf numFmtId="0" fontId="228" fillId="8" borderId="1" xfId="780" applyFont="1" applyFill="1" applyBorder="1" applyAlignment="1">
      <alignment horizontal="center" vertical="center"/>
    </xf>
    <xf numFmtId="0" fontId="228" fillId="8" borderId="1" xfId="780" applyFont="1" applyFill="1" applyBorder="1" applyAlignment="1">
      <alignment horizontal="center" vertical="center" wrapText="1"/>
    </xf>
    <xf numFmtId="0" fontId="233" fillId="3" borderId="8" xfId="773" applyFont="1" applyFill="1" applyBorder="1" applyAlignment="1">
      <alignment horizontal="center" vertical="center"/>
    </xf>
    <xf numFmtId="0" fontId="233" fillId="3" borderId="1" xfId="773" applyFont="1" applyFill="1" applyBorder="1" applyAlignment="1">
      <alignment horizontal="center" vertical="center"/>
    </xf>
    <xf numFmtId="0" fontId="233" fillId="3" borderId="1" xfId="773" applyFont="1" applyFill="1" applyBorder="1" applyAlignment="1">
      <alignment horizontal="center" vertical="center" wrapText="1"/>
    </xf>
    <xf numFmtId="0" fontId="233" fillId="3" borderId="9" xfId="773" applyFont="1" applyFill="1" applyBorder="1" applyAlignment="1">
      <alignment horizontal="center" vertical="center" wrapText="1"/>
    </xf>
    <xf numFmtId="177" fontId="226" fillId="6" borderId="10" xfId="773" applyNumberFormat="1" applyFont="1" applyFill="1" applyBorder="1" applyAlignment="1">
      <alignment horizontal="center" vertical="center"/>
    </xf>
    <xf numFmtId="177" fontId="226" fillId="6" borderId="11" xfId="773" applyNumberFormat="1" applyFont="1" applyFill="1" applyBorder="1" applyAlignment="1">
      <alignment horizontal="center" vertical="center"/>
    </xf>
    <xf numFmtId="0" fontId="228" fillId="8" borderId="9" xfId="776" applyFont="1" applyFill="1" applyBorder="1" applyAlignment="1">
      <alignment horizontal="center" vertical="center" wrapText="1"/>
    </xf>
    <xf numFmtId="0" fontId="228" fillId="8" borderId="14" xfId="776" applyFont="1" applyFill="1" applyBorder="1" applyAlignment="1">
      <alignment horizontal="center" vertical="center"/>
    </xf>
    <xf numFmtId="0" fontId="228" fillId="8" borderId="15" xfId="776" applyFont="1" applyFill="1" applyBorder="1" applyAlignment="1">
      <alignment horizontal="center" vertical="center"/>
    </xf>
    <xf numFmtId="0" fontId="228" fillId="8" borderId="17" xfId="776" applyFont="1" applyFill="1" applyBorder="1" applyAlignment="1">
      <alignment horizontal="center" vertical="center"/>
    </xf>
    <xf numFmtId="177" fontId="233" fillId="2" borderId="8" xfId="774" applyNumberFormat="1" applyFont="1" applyFill="1" applyBorder="1" applyAlignment="1">
      <alignment horizontal="center" vertical="center"/>
    </xf>
    <xf numFmtId="177" fontId="233" fillId="2" borderId="1" xfId="774" applyNumberFormat="1" applyFont="1" applyFill="1" applyBorder="1" applyAlignment="1">
      <alignment horizontal="center" vertical="center"/>
    </xf>
    <xf numFmtId="178" fontId="233" fillId="2" borderId="1" xfId="773" applyNumberFormat="1" applyFont="1" applyFill="1" applyBorder="1" applyAlignment="1">
      <alignment horizontal="center" vertical="center"/>
    </xf>
    <xf numFmtId="0" fontId="228" fillId="8" borderId="16" xfId="776" applyFont="1" applyFill="1" applyBorder="1" applyAlignment="1">
      <alignment horizontal="center" vertical="center"/>
    </xf>
    <xf numFmtId="0" fontId="228" fillId="8" borderId="18" xfId="776" applyFont="1" applyFill="1" applyBorder="1" applyAlignment="1">
      <alignment horizontal="center" vertical="center"/>
    </xf>
    <xf numFmtId="0" fontId="228" fillId="8" borderId="16" xfId="776" applyFont="1" applyFill="1" applyBorder="1" applyAlignment="1">
      <alignment horizontal="center" vertical="center" wrapText="1"/>
    </xf>
    <xf numFmtId="0" fontId="228" fillId="8" borderId="18" xfId="776" applyFont="1" applyFill="1" applyBorder="1" applyAlignment="1">
      <alignment horizontal="center" vertical="center" wrapText="1"/>
    </xf>
    <xf numFmtId="0" fontId="241" fillId="4" borderId="1" xfId="776" applyFont="1" applyFill="1" applyBorder="1" applyAlignment="1">
      <alignment horizontal="center"/>
    </xf>
    <xf numFmtId="0" fontId="241" fillId="9" borderId="2" xfId="776" applyFont="1" applyFill="1" applyBorder="1" applyAlignment="1">
      <alignment horizontal="center"/>
    </xf>
    <xf numFmtId="0" fontId="241" fillId="9" borderId="3" xfId="776" applyFont="1" applyFill="1" applyBorder="1" applyAlignment="1">
      <alignment horizontal="center"/>
    </xf>
    <xf numFmtId="0" fontId="241" fillId="9" borderId="1" xfId="776" applyFont="1" applyFill="1" applyBorder="1" applyAlignment="1">
      <alignment horizontal="center"/>
    </xf>
    <xf numFmtId="0" fontId="241" fillId="9" borderId="4" xfId="776" applyFont="1" applyFill="1" applyBorder="1" applyAlignment="1">
      <alignment horizontal="center"/>
    </xf>
    <xf numFmtId="0" fontId="228" fillId="8" borderId="8" xfId="776" applyFont="1" applyFill="1" applyBorder="1" applyAlignment="1">
      <alignment horizontal="center" vertical="center"/>
    </xf>
    <xf numFmtId="0" fontId="228" fillId="8" borderId="1" xfId="776" applyFont="1" applyFill="1" applyBorder="1" applyAlignment="1">
      <alignment horizontal="center" vertical="center"/>
    </xf>
    <xf numFmtId="0" fontId="228" fillId="8" borderId="1" xfId="776" applyFont="1" applyFill="1" applyBorder="1" applyAlignment="1">
      <alignment horizontal="center" vertical="center" wrapText="1"/>
    </xf>
    <xf numFmtId="0" fontId="228" fillId="8" borderId="8" xfId="772" applyFont="1" applyFill="1" applyBorder="1" applyAlignment="1">
      <alignment horizontal="center" vertical="center"/>
    </xf>
    <xf numFmtId="0" fontId="228" fillId="8" borderId="1" xfId="772" applyFont="1" applyFill="1" applyBorder="1" applyAlignment="1">
      <alignment horizontal="center" vertical="center"/>
    </xf>
    <xf numFmtId="0" fontId="228" fillId="8" borderId="1" xfId="772" applyFont="1" applyFill="1" applyBorder="1" applyAlignment="1">
      <alignment horizontal="center" vertical="center" wrapText="1"/>
    </xf>
    <xf numFmtId="0" fontId="228" fillId="8" borderId="9" xfId="772" applyFont="1" applyFill="1" applyBorder="1" applyAlignment="1">
      <alignment horizontal="center" vertical="center" wrapText="1"/>
    </xf>
    <xf numFmtId="0" fontId="228" fillId="8" borderId="14" xfId="772" applyFont="1" applyFill="1" applyBorder="1" applyAlignment="1">
      <alignment horizontal="center" vertical="center"/>
    </xf>
    <xf numFmtId="0" fontId="228" fillId="8" borderId="15" xfId="772" applyFont="1" applyFill="1" applyBorder="1" applyAlignment="1">
      <alignment horizontal="center" vertical="center"/>
    </xf>
    <xf numFmtId="0" fontId="228" fillId="8" borderId="17" xfId="772" applyFont="1" applyFill="1" applyBorder="1" applyAlignment="1">
      <alignment horizontal="center" vertical="center"/>
    </xf>
    <xf numFmtId="0" fontId="228" fillId="8" borderId="16" xfId="772" applyFont="1" applyFill="1" applyBorder="1" applyAlignment="1">
      <alignment horizontal="center" vertical="center"/>
    </xf>
    <xf numFmtId="0" fontId="228" fillId="8" borderId="18" xfId="772" applyFont="1" applyFill="1" applyBorder="1" applyAlignment="1">
      <alignment horizontal="center" vertical="center"/>
    </xf>
    <xf numFmtId="0" fontId="228" fillId="8" borderId="16" xfId="772" applyFont="1" applyFill="1" applyBorder="1" applyAlignment="1">
      <alignment horizontal="center" vertical="center" wrapText="1"/>
    </xf>
    <xf numFmtId="0" fontId="228" fillId="8" borderId="18" xfId="772" applyFont="1" applyFill="1" applyBorder="1" applyAlignment="1">
      <alignment horizontal="center" vertical="center" wrapText="1"/>
    </xf>
    <xf numFmtId="0" fontId="241" fillId="4" borderId="1" xfId="772" applyFont="1" applyFill="1" applyBorder="1" applyAlignment="1">
      <alignment horizontal="center"/>
    </xf>
    <xf numFmtId="0" fontId="241" fillId="9" borderId="2" xfId="772" applyFont="1" applyFill="1" applyBorder="1" applyAlignment="1">
      <alignment horizontal="center"/>
    </xf>
    <xf numFmtId="0" fontId="241" fillId="9" borderId="4" xfId="772" applyFont="1" applyFill="1" applyBorder="1" applyAlignment="1">
      <alignment horizontal="center"/>
    </xf>
    <xf numFmtId="0" fontId="241" fillId="9" borderId="3" xfId="772" applyFont="1" applyFill="1" applyBorder="1" applyAlignment="1">
      <alignment horizontal="center"/>
    </xf>
    <xf numFmtId="0" fontId="241" fillId="9" borderId="1" xfId="772" applyFont="1" applyFill="1" applyBorder="1" applyAlignment="1">
      <alignment horizontal="center"/>
    </xf>
    <xf numFmtId="177" fontId="226" fillId="6" borderId="10" xfId="769" applyNumberFormat="1" applyFont="1" applyFill="1" applyBorder="1" applyAlignment="1">
      <alignment horizontal="center" vertical="center"/>
    </xf>
    <xf numFmtId="177" fontId="226" fillId="6" borderId="11" xfId="769" applyNumberFormat="1" applyFont="1" applyFill="1" applyBorder="1" applyAlignment="1">
      <alignment horizontal="center" vertical="center"/>
    </xf>
    <xf numFmtId="177" fontId="233" fillId="2" borderId="8" xfId="770" applyNumberFormat="1" applyFont="1" applyFill="1" applyBorder="1" applyAlignment="1">
      <alignment horizontal="center" vertical="center"/>
    </xf>
    <xf numFmtId="177" fontId="233" fillId="2" borderId="1" xfId="770" applyNumberFormat="1" applyFont="1" applyFill="1" applyBorder="1" applyAlignment="1">
      <alignment horizontal="center" vertical="center"/>
    </xf>
    <xf numFmtId="178" fontId="233" fillId="2" borderId="1" xfId="769" applyNumberFormat="1" applyFont="1" applyFill="1" applyBorder="1" applyAlignment="1">
      <alignment horizontal="center" vertical="center"/>
    </xf>
    <xf numFmtId="0" fontId="233" fillId="3" borderId="8" xfId="769" applyFont="1" applyFill="1" applyBorder="1" applyAlignment="1">
      <alignment horizontal="center" vertical="center"/>
    </xf>
    <xf numFmtId="0" fontId="233" fillId="3" borderId="1" xfId="769" applyFont="1" applyFill="1" applyBorder="1" applyAlignment="1">
      <alignment horizontal="center" vertical="center"/>
    </xf>
    <xf numFmtId="0" fontId="233" fillId="3" borderId="1" xfId="769" applyFont="1" applyFill="1" applyBorder="1" applyAlignment="1">
      <alignment horizontal="center" vertical="center" wrapText="1"/>
    </xf>
    <xf numFmtId="0" fontId="233" fillId="3" borderId="9" xfId="769" applyFont="1" applyFill="1" applyBorder="1" applyAlignment="1">
      <alignment horizontal="center" vertical="center" wrapText="1"/>
    </xf>
    <xf numFmtId="0" fontId="233" fillId="3" borderId="8" xfId="763" applyFont="1" applyFill="1" applyBorder="1" applyAlignment="1">
      <alignment horizontal="center" vertical="center"/>
    </xf>
    <xf numFmtId="0" fontId="233" fillId="3" borderId="1" xfId="763" applyFont="1" applyFill="1" applyBorder="1" applyAlignment="1">
      <alignment horizontal="center" vertical="center"/>
    </xf>
    <xf numFmtId="0" fontId="233" fillId="3" borderId="1" xfId="763" applyFont="1" applyFill="1" applyBorder="1" applyAlignment="1">
      <alignment horizontal="center" vertical="center" wrapText="1"/>
    </xf>
    <xf numFmtId="0" fontId="233" fillId="3" borderId="9" xfId="763" applyFont="1" applyFill="1" applyBorder="1" applyAlignment="1">
      <alignment horizontal="center" vertical="center" wrapText="1"/>
    </xf>
    <xf numFmtId="177" fontId="233" fillId="2" borderId="8" xfId="764" applyNumberFormat="1" applyFont="1" applyFill="1" applyBorder="1" applyAlignment="1">
      <alignment horizontal="center" vertical="center"/>
    </xf>
    <xf numFmtId="177" fontId="233" fillId="2" borderId="1" xfId="764" applyNumberFormat="1" applyFont="1" applyFill="1" applyBorder="1" applyAlignment="1">
      <alignment horizontal="center" vertical="center"/>
    </xf>
    <xf numFmtId="178" fontId="233" fillId="2" borderId="1" xfId="763" applyNumberFormat="1" applyFont="1" applyFill="1" applyBorder="1" applyAlignment="1">
      <alignment horizontal="center" vertical="center"/>
    </xf>
    <xf numFmtId="177" fontId="226" fillId="6" borderId="10" xfId="763" applyNumberFormat="1" applyFont="1" applyFill="1" applyBorder="1" applyAlignment="1">
      <alignment horizontal="center" vertical="center"/>
    </xf>
    <xf numFmtId="177" fontId="226" fillId="6" borderId="11" xfId="763" applyNumberFormat="1" applyFont="1" applyFill="1" applyBorder="1" applyAlignment="1">
      <alignment horizontal="center" vertical="center"/>
    </xf>
    <xf numFmtId="0" fontId="228" fillId="8" borderId="9" xfId="761" applyFont="1" applyFill="1" applyBorder="1" applyAlignment="1">
      <alignment horizontal="center" vertical="center" wrapText="1"/>
    </xf>
    <xf numFmtId="0" fontId="228" fillId="8" borderId="14" xfId="761" applyFont="1" applyFill="1" applyBorder="1" applyAlignment="1">
      <alignment horizontal="center" vertical="center"/>
    </xf>
    <xf numFmtId="0" fontId="228" fillId="8" borderId="15" xfId="761" applyFont="1" applyFill="1" applyBorder="1" applyAlignment="1">
      <alignment horizontal="center" vertical="center"/>
    </xf>
    <xf numFmtId="0" fontId="228" fillId="8" borderId="17" xfId="761" applyFont="1" applyFill="1" applyBorder="1" applyAlignment="1">
      <alignment horizontal="center" vertical="center"/>
    </xf>
    <xf numFmtId="0" fontId="228" fillId="8" borderId="16" xfId="761" applyFont="1" applyFill="1" applyBorder="1" applyAlignment="1">
      <alignment horizontal="center" vertical="center"/>
    </xf>
    <xf numFmtId="0" fontId="228" fillId="8" borderId="18" xfId="761" applyFont="1" applyFill="1" applyBorder="1" applyAlignment="1">
      <alignment horizontal="center" vertical="center"/>
    </xf>
    <xf numFmtId="0" fontId="241" fillId="9" borderId="2" xfId="761" applyFont="1" applyFill="1" applyBorder="1" applyAlignment="1">
      <alignment horizontal="center"/>
    </xf>
    <xf numFmtId="0" fontId="241" fillId="9" borderId="3" xfId="761" applyFont="1" applyFill="1" applyBorder="1" applyAlignment="1">
      <alignment horizontal="center"/>
    </xf>
    <xf numFmtId="0" fontId="241" fillId="9" borderId="1" xfId="761" applyFont="1" applyFill="1" applyBorder="1" applyAlignment="1">
      <alignment horizontal="center"/>
    </xf>
    <xf numFmtId="0" fontId="228" fillId="8" borderId="16" xfId="761" applyFont="1" applyFill="1" applyBorder="1" applyAlignment="1">
      <alignment horizontal="center" vertical="center" wrapText="1"/>
    </xf>
    <xf numFmtId="0" fontId="228" fillId="8" borderId="18" xfId="761" applyFont="1" applyFill="1" applyBorder="1" applyAlignment="1">
      <alignment horizontal="center" vertical="center" wrapText="1"/>
    </xf>
    <xf numFmtId="0" fontId="241" fillId="4" borderId="1" xfId="761" applyFont="1" applyFill="1" applyBorder="1" applyAlignment="1">
      <alignment horizontal="center"/>
    </xf>
    <xf numFmtId="0" fontId="241" fillId="9" borderId="4" xfId="761" applyFont="1" applyFill="1" applyBorder="1" applyAlignment="1">
      <alignment horizontal="center"/>
    </xf>
    <xf numFmtId="0" fontId="228" fillId="8" borderId="8" xfId="761" applyFont="1" applyFill="1" applyBorder="1" applyAlignment="1">
      <alignment horizontal="center" vertical="center"/>
    </xf>
    <xf numFmtId="0" fontId="228" fillId="8" borderId="1" xfId="761" applyFont="1" applyFill="1" applyBorder="1" applyAlignment="1">
      <alignment horizontal="center" vertical="center"/>
    </xf>
    <xf numFmtId="0" fontId="228" fillId="8" borderId="1" xfId="761" applyFont="1" applyFill="1" applyBorder="1" applyAlignment="1">
      <alignment horizontal="center" vertical="center" wrapText="1"/>
    </xf>
    <xf numFmtId="0" fontId="228" fillId="8" borderId="9" xfId="757" applyFont="1" applyFill="1" applyBorder="1" applyAlignment="1">
      <alignment horizontal="center" vertical="center" wrapText="1"/>
    </xf>
    <xf numFmtId="0" fontId="228" fillId="8" borderId="14" xfId="757" applyFont="1" applyFill="1" applyBorder="1" applyAlignment="1">
      <alignment horizontal="center" vertical="center"/>
    </xf>
    <xf numFmtId="0" fontId="228" fillId="8" borderId="15" xfId="757" applyFont="1" applyFill="1" applyBorder="1" applyAlignment="1">
      <alignment horizontal="center" vertical="center"/>
    </xf>
    <xf numFmtId="0" fontId="228" fillId="8" borderId="17" xfId="757" applyFont="1" applyFill="1" applyBorder="1" applyAlignment="1">
      <alignment horizontal="center" vertical="center"/>
    </xf>
    <xf numFmtId="0" fontId="228" fillId="8" borderId="8" xfId="757" applyFont="1" applyFill="1" applyBorder="1" applyAlignment="1">
      <alignment horizontal="center" vertical="center"/>
    </xf>
    <xf numFmtId="0" fontId="228" fillId="8" borderId="1" xfId="757" applyFont="1" applyFill="1" applyBorder="1" applyAlignment="1">
      <alignment horizontal="center" vertical="center"/>
    </xf>
    <xf numFmtId="0" fontId="228" fillId="8" borderId="1" xfId="757" applyFont="1" applyFill="1" applyBorder="1" applyAlignment="1">
      <alignment horizontal="center" vertical="center" wrapText="1"/>
    </xf>
    <xf numFmtId="0" fontId="241" fillId="9" borderId="2" xfId="757" applyFont="1" applyFill="1" applyBorder="1" applyAlignment="1">
      <alignment horizontal="center"/>
    </xf>
    <xf numFmtId="0" fontId="241" fillId="9" borderId="3" xfId="757" applyFont="1" applyFill="1" applyBorder="1" applyAlignment="1">
      <alignment horizontal="center"/>
    </xf>
    <xf numFmtId="0" fontId="241" fillId="9" borderId="1" xfId="757" applyFont="1" applyFill="1" applyBorder="1" applyAlignment="1">
      <alignment horizontal="center"/>
    </xf>
    <xf numFmtId="0" fontId="228" fillId="8" borderId="16" xfId="757" applyFont="1" applyFill="1" applyBorder="1" applyAlignment="1">
      <alignment horizontal="center" vertical="center"/>
    </xf>
    <xf numFmtId="0" fontId="228" fillId="8" borderId="18" xfId="757" applyFont="1" applyFill="1" applyBorder="1" applyAlignment="1">
      <alignment horizontal="center" vertical="center"/>
    </xf>
    <xf numFmtId="0" fontId="228" fillId="8" borderId="16" xfId="757" applyFont="1" applyFill="1" applyBorder="1" applyAlignment="1">
      <alignment horizontal="center" vertical="center" wrapText="1"/>
    </xf>
    <xf numFmtId="0" fontId="228" fillId="8" borderId="18" xfId="757" applyFont="1" applyFill="1" applyBorder="1" applyAlignment="1">
      <alignment horizontal="center" vertical="center" wrapText="1"/>
    </xf>
    <xf numFmtId="0" fontId="241" fillId="4" borderId="1" xfId="757" applyFont="1" applyFill="1" applyBorder="1" applyAlignment="1">
      <alignment horizontal="center"/>
    </xf>
    <xf numFmtId="0" fontId="241" fillId="9" borderId="4" xfId="757" applyFont="1" applyFill="1" applyBorder="1" applyAlignment="1">
      <alignment horizontal="center"/>
    </xf>
    <xf numFmtId="177" fontId="226" fillId="6" borderId="10" xfId="759" applyNumberFormat="1" applyFont="1" applyFill="1" applyBorder="1" applyAlignment="1">
      <alignment horizontal="center" vertical="center"/>
    </xf>
    <xf numFmtId="177" fontId="226" fillId="6" borderId="11" xfId="759" applyNumberFormat="1" applyFont="1" applyFill="1" applyBorder="1" applyAlignment="1">
      <alignment horizontal="center" vertical="center"/>
    </xf>
    <xf numFmtId="177" fontId="233" fillId="2" borderId="8" xfId="760" applyNumberFormat="1" applyFont="1" applyFill="1" applyBorder="1" applyAlignment="1">
      <alignment horizontal="center" vertical="center"/>
    </xf>
    <xf numFmtId="177" fontId="233" fillId="2" borderId="1" xfId="760" applyNumberFormat="1" applyFont="1" applyFill="1" applyBorder="1" applyAlignment="1">
      <alignment horizontal="center" vertical="center"/>
    </xf>
    <xf numFmtId="178" fontId="233" fillId="2" borderId="1" xfId="759" applyNumberFormat="1" applyFont="1" applyFill="1" applyBorder="1" applyAlignment="1">
      <alignment horizontal="center" vertical="center"/>
    </xf>
    <xf numFmtId="0" fontId="233" fillId="3" borderId="8" xfId="759" applyFont="1" applyFill="1" applyBorder="1" applyAlignment="1">
      <alignment horizontal="center" vertical="center"/>
    </xf>
    <xf numFmtId="0" fontId="233" fillId="3" borderId="1" xfId="759" applyFont="1" applyFill="1" applyBorder="1" applyAlignment="1">
      <alignment horizontal="center" vertical="center"/>
    </xf>
    <xf numFmtId="0" fontId="233" fillId="3" borderId="1" xfId="759" applyFont="1" applyFill="1" applyBorder="1" applyAlignment="1">
      <alignment horizontal="center" vertical="center" wrapText="1"/>
    </xf>
    <xf numFmtId="0" fontId="233" fillId="3" borderId="9" xfId="759" applyFont="1" applyFill="1" applyBorder="1" applyAlignment="1">
      <alignment horizontal="center" vertical="center" wrapText="1"/>
    </xf>
    <xf numFmtId="0" fontId="228" fillId="8" borderId="8" xfId="748" applyFont="1" applyFill="1" applyBorder="1" applyAlignment="1">
      <alignment horizontal="center" vertical="center"/>
    </xf>
    <xf numFmtId="0" fontId="228" fillId="8" borderId="1" xfId="748" applyFont="1" applyFill="1" applyBorder="1" applyAlignment="1">
      <alignment horizontal="center" vertical="center"/>
    </xf>
    <xf numFmtId="0" fontId="228" fillId="8" borderId="1" xfId="748" applyFont="1" applyFill="1" applyBorder="1" applyAlignment="1">
      <alignment horizontal="center" vertical="center" wrapText="1"/>
    </xf>
    <xf numFmtId="0" fontId="228" fillId="8" borderId="9" xfId="748" applyFont="1" applyFill="1" applyBorder="1" applyAlignment="1">
      <alignment horizontal="center" vertical="center" wrapText="1"/>
    </xf>
    <xf numFmtId="0" fontId="228" fillId="8" borderId="14" xfId="748" applyFont="1" applyFill="1" applyBorder="1" applyAlignment="1">
      <alignment horizontal="center" vertical="center"/>
    </xf>
    <xf numFmtId="0" fontId="228" fillId="8" borderId="15" xfId="748" applyFont="1" applyFill="1" applyBorder="1" applyAlignment="1">
      <alignment horizontal="center" vertical="center"/>
    </xf>
    <xf numFmtId="0" fontId="228" fillId="8" borderId="17" xfId="748" applyFont="1" applyFill="1" applyBorder="1" applyAlignment="1">
      <alignment horizontal="center" vertical="center"/>
    </xf>
    <xf numFmtId="0" fontId="228" fillId="8" borderId="16" xfId="748" applyFont="1" applyFill="1" applyBorder="1" applyAlignment="1">
      <alignment horizontal="center" vertical="center"/>
    </xf>
    <xf numFmtId="0" fontId="228" fillId="8" borderId="18" xfId="748" applyFont="1" applyFill="1" applyBorder="1" applyAlignment="1">
      <alignment horizontal="center" vertical="center"/>
    </xf>
    <xf numFmtId="0" fontId="228" fillId="8" borderId="16" xfId="748" applyFont="1" applyFill="1" applyBorder="1" applyAlignment="1">
      <alignment horizontal="center" vertical="center" wrapText="1"/>
    </xf>
    <xf numFmtId="0" fontId="228" fillId="8" borderId="18" xfId="748" applyFont="1" applyFill="1" applyBorder="1" applyAlignment="1">
      <alignment horizontal="center" vertical="center" wrapText="1"/>
    </xf>
    <xf numFmtId="0" fontId="241" fillId="4" borderId="1" xfId="748" applyFont="1" applyFill="1" applyBorder="1" applyAlignment="1">
      <alignment horizontal="center"/>
    </xf>
    <xf numFmtId="0" fontId="241" fillId="9" borderId="2" xfId="748" applyFont="1" applyFill="1" applyBorder="1" applyAlignment="1">
      <alignment horizontal="center"/>
    </xf>
    <xf numFmtId="0" fontId="241" fillId="9" borderId="4" xfId="748" applyFont="1" applyFill="1" applyBorder="1" applyAlignment="1">
      <alignment horizontal="center"/>
    </xf>
    <xf numFmtId="0" fontId="241" fillId="9" borderId="3" xfId="748" applyFont="1" applyFill="1" applyBorder="1" applyAlignment="1">
      <alignment horizontal="center"/>
    </xf>
    <xf numFmtId="0" fontId="241" fillId="9" borderId="1" xfId="748" applyFont="1" applyFill="1" applyBorder="1" applyAlignment="1">
      <alignment horizontal="center"/>
    </xf>
    <xf numFmtId="177" fontId="226" fillId="6" borderId="10" xfId="745" applyNumberFormat="1" applyFont="1" applyFill="1" applyBorder="1" applyAlignment="1">
      <alignment horizontal="center" vertical="center"/>
    </xf>
    <xf numFmtId="177" fontId="226" fillId="6" borderId="11" xfId="745" applyNumberFormat="1" applyFont="1" applyFill="1" applyBorder="1" applyAlignment="1">
      <alignment horizontal="center" vertical="center"/>
    </xf>
    <xf numFmtId="177" fontId="233" fillId="2" borderId="8" xfId="746" applyNumberFormat="1" applyFont="1" applyFill="1" applyBorder="1" applyAlignment="1">
      <alignment horizontal="center" vertical="center"/>
    </xf>
    <xf numFmtId="177" fontId="233" fillId="2" borderId="1" xfId="746" applyNumberFormat="1" applyFont="1" applyFill="1" applyBorder="1" applyAlignment="1">
      <alignment horizontal="center" vertical="center"/>
    </xf>
    <xf numFmtId="178" fontId="233" fillId="2" borderId="1" xfId="745" applyNumberFormat="1" applyFont="1" applyFill="1" applyBorder="1" applyAlignment="1">
      <alignment horizontal="center" vertical="center"/>
    </xf>
    <xf numFmtId="0" fontId="233" fillId="3" borderId="8" xfId="745" applyFont="1" applyFill="1" applyBorder="1" applyAlignment="1">
      <alignment horizontal="center" vertical="center"/>
    </xf>
    <xf numFmtId="0" fontId="233" fillId="3" borderId="1" xfId="745" applyFont="1" applyFill="1" applyBorder="1" applyAlignment="1">
      <alignment horizontal="center" vertical="center"/>
    </xf>
    <xf numFmtId="0" fontId="233" fillId="3" borderId="1" xfId="745" applyFont="1" applyFill="1" applyBorder="1" applyAlignment="1">
      <alignment horizontal="center" vertical="center" wrapText="1"/>
    </xf>
    <xf numFmtId="0" fontId="233" fillId="3" borderId="9" xfId="745" applyFont="1" applyFill="1" applyBorder="1" applyAlignment="1">
      <alignment horizontal="center" vertical="center" wrapText="1"/>
    </xf>
    <xf numFmtId="0" fontId="233" fillId="3" borderId="8" xfId="743" applyFont="1" applyFill="1" applyBorder="1" applyAlignment="1">
      <alignment horizontal="center" vertical="center"/>
    </xf>
    <xf numFmtId="0" fontId="233" fillId="3" borderId="1" xfId="743" applyFont="1" applyFill="1" applyBorder="1" applyAlignment="1">
      <alignment horizontal="center" vertical="center"/>
    </xf>
    <xf numFmtId="0" fontId="233" fillId="3" borderId="1" xfId="743" applyFont="1" applyFill="1" applyBorder="1" applyAlignment="1">
      <alignment horizontal="center" vertical="center" wrapText="1"/>
    </xf>
    <xf numFmtId="0" fontId="233" fillId="3" borderId="9" xfId="743" applyFont="1" applyFill="1" applyBorder="1" applyAlignment="1">
      <alignment horizontal="center" vertical="center" wrapText="1"/>
    </xf>
    <xf numFmtId="177" fontId="226" fillId="6" borderId="10" xfId="743" applyNumberFormat="1" applyFont="1" applyFill="1" applyBorder="1" applyAlignment="1">
      <alignment horizontal="center" vertical="center"/>
    </xf>
    <xf numFmtId="177" fontId="226" fillId="6" borderId="11" xfId="743" applyNumberFormat="1" applyFont="1" applyFill="1" applyBorder="1" applyAlignment="1">
      <alignment horizontal="center" vertical="center"/>
    </xf>
    <xf numFmtId="0" fontId="228" fillId="8" borderId="9" xfId="741" applyFont="1" applyFill="1" applyBorder="1" applyAlignment="1">
      <alignment horizontal="center" vertical="center" wrapText="1"/>
    </xf>
    <xf numFmtId="0" fontId="228" fillId="8" borderId="14" xfId="741" applyFont="1" applyFill="1" applyBorder="1" applyAlignment="1">
      <alignment horizontal="center" vertical="center"/>
    </xf>
    <xf numFmtId="0" fontId="228" fillId="8" borderId="15" xfId="741" applyFont="1" applyFill="1" applyBorder="1" applyAlignment="1">
      <alignment horizontal="center" vertical="center"/>
    </xf>
    <xf numFmtId="0" fontId="228" fillId="8" borderId="17" xfId="741" applyFont="1" applyFill="1" applyBorder="1" applyAlignment="1">
      <alignment horizontal="center" vertical="center"/>
    </xf>
    <xf numFmtId="177" fontId="233" fillId="2" borderId="8" xfId="744" applyNumberFormat="1" applyFont="1" applyFill="1" applyBorder="1" applyAlignment="1">
      <alignment horizontal="center" vertical="center"/>
    </xf>
    <xf numFmtId="177" fontId="233" fillId="2" borderId="1" xfId="744" applyNumberFormat="1" applyFont="1" applyFill="1" applyBorder="1" applyAlignment="1">
      <alignment horizontal="center" vertical="center"/>
    </xf>
    <xf numFmtId="178" fontId="233" fillId="2" borderId="1" xfId="743" applyNumberFormat="1" applyFont="1" applyFill="1" applyBorder="1" applyAlignment="1">
      <alignment horizontal="center" vertical="center"/>
    </xf>
    <xf numFmtId="0" fontId="228" fillId="8" borderId="16" xfId="741" applyFont="1" applyFill="1" applyBorder="1" applyAlignment="1">
      <alignment horizontal="center" vertical="center"/>
    </xf>
    <xf numFmtId="0" fontId="228" fillId="8" borderId="18" xfId="741" applyFont="1" applyFill="1" applyBorder="1" applyAlignment="1">
      <alignment horizontal="center" vertical="center"/>
    </xf>
    <xf numFmtId="0" fontId="228" fillId="8" borderId="16" xfId="741" applyFont="1" applyFill="1" applyBorder="1" applyAlignment="1">
      <alignment horizontal="center" vertical="center" wrapText="1"/>
    </xf>
    <xf numFmtId="0" fontId="228" fillId="8" borderId="18" xfId="741" applyFont="1" applyFill="1" applyBorder="1" applyAlignment="1">
      <alignment horizontal="center" vertical="center" wrapText="1"/>
    </xf>
    <xf numFmtId="0" fontId="241" fillId="4" borderId="1" xfId="741" applyFont="1" applyFill="1" applyBorder="1" applyAlignment="1">
      <alignment horizontal="center"/>
    </xf>
    <xf numFmtId="0" fontId="241" fillId="9" borderId="2" xfId="741" applyFont="1" applyFill="1" applyBorder="1" applyAlignment="1">
      <alignment horizontal="center"/>
    </xf>
    <xf numFmtId="0" fontId="241" fillId="9" borderId="3" xfId="741" applyFont="1" applyFill="1" applyBorder="1" applyAlignment="1">
      <alignment horizontal="center"/>
    </xf>
    <xf numFmtId="0" fontId="241" fillId="9" borderId="1" xfId="741" applyFont="1" applyFill="1" applyBorder="1" applyAlignment="1">
      <alignment horizontal="center"/>
    </xf>
    <xf numFmtId="0" fontId="228" fillId="8" borderId="8" xfId="741" applyFont="1" applyFill="1" applyBorder="1" applyAlignment="1">
      <alignment horizontal="center" vertical="center"/>
    </xf>
    <xf numFmtId="0" fontId="228" fillId="8" borderId="1" xfId="741" applyFont="1" applyFill="1" applyBorder="1" applyAlignment="1">
      <alignment horizontal="center" vertical="center"/>
    </xf>
    <xf numFmtId="0" fontId="228" fillId="8" borderId="1" xfId="741" applyFont="1" applyFill="1" applyBorder="1" applyAlignment="1">
      <alignment horizontal="center" vertical="center" wrapText="1"/>
    </xf>
    <xf numFmtId="0" fontId="241" fillId="9" borderId="4" xfId="741" applyFont="1" applyFill="1" applyBorder="1" applyAlignment="1">
      <alignment horizontal="center"/>
    </xf>
    <xf numFmtId="0" fontId="228" fillId="8" borderId="8" xfId="740" applyFont="1" applyFill="1" applyBorder="1" applyAlignment="1">
      <alignment horizontal="center" vertical="center"/>
    </xf>
    <xf numFmtId="0" fontId="228" fillId="8" borderId="1" xfId="740" applyFont="1" applyFill="1" applyBorder="1" applyAlignment="1">
      <alignment horizontal="center" vertical="center"/>
    </xf>
    <xf numFmtId="0" fontId="228" fillId="8" borderId="1" xfId="740" applyFont="1" applyFill="1" applyBorder="1" applyAlignment="1">
      <alignment horizontal="center" vertical="center" wrapText="1"/>
    </xf>
    <xf numFmtId="0" fontId="228" fillId="8" borderId="9" xfId="740" applyFont="1" applyFill="1" applyBorder="1" applyAlignment="1">
      <alignment horizontal="center" vertical="center" wrapText="1"/>
    </xf>
    <xf numFmtId="0" fontId="228" fillId="8" borderId="14" xfId="740" applyFont="1" applyFill="1" applyBorder="1" applyAlignment="1">
      <alignment horizontal="center" vertical="center"/>
    </xf>
    <xf numFmtId="0" fontId="228" fillId="8" borderId="15" xfId="740" applyFont="1" applyFill="1" applyBorder="1" applyAlignment="1">
      <alignment horizontal="center" vertical="center"/>
    </xf>
    <xf numFmtId="0" fontId="228" fillId="8" borderId="17" xfId="740" applyFont="1" applyFill="1" applyBorder="1" applyAlignment="1">
      <alignment horizontal="center" vertical="center"/>
    </xf>
    <xf numFmtId="0" fontId="228" fillId="8" borderId="16" xfId="740" applyFont="1" applyFill="1" applyBorder="1" applyAlignment="1">
      <alignment horizontal="center" vertical="center"/>
    </xf>
    <xf numFmtId="0" fontId="228" fillId="8" borderId="18" xfId="740" applyFont="1" applyFill="1" applyBorder="1" applyAlignment="1">
      <alignment horizontal="center" vertical="center"/>
    </xf>
    <xf numFmtId="0" fontId="228" fillId="8" borderId="16" xfId="740" applyFont="1" applyFill="1" applyBorder="1" applyAlignment="1">
      <alignment horizontal="center" vertical="center" wrapText="1"/>
    </xf>
    <xf numFmtId="0" fontId="228" fillId="8" borderId="18" xfId="740" applyFont="1" applyFill="1" applyBorder="1" applyAlignment="1">
      <alignment horizontal="center" vertical="center" wrapText="1"/>
    </xf>
    <xf numFmtId="0" fontId="241" fillId="4" borderId="1" xfId="740" applyFont="1" applyFill="1" applyBorder="1" applyAlignment="1">
      <alignment horizontal="center"/>
    </xf>
    <xf numFmtId="0" fontId="241" fillId="9" borderId="2" xfId="740" applyFont="1" applyFill="1" applyBorder="1" applyAlignment="1">
      <alignment horizontal="center"/>
    </xf>
    <xf numFmtId="0" fontId="241" fillId="9" borderId="4" xfId="740" applyFont="1" applyFill="1" applyBorder="1" applyAlignment="1">
      <alignment horizontal="center"/>
    </xf>
    <xf numFmtId="0" fontId="241" fillId="9" borderId="3" xfId="740" applyFont="1" applyFill="1" applyBorder="1" applyAlignment="1">
      <alignment horizontal="center"/>
    </xf>
    <xf numFmtId="0" fontId="241" fillId="9" borderId="1" xfId="740" applyFont="1" applyFill="1" applyBorder="1" applyAlignment="1">
      <alignment horizontal="center"/>
    </xf>
    <xf numFmtId="177" fontId="226" fillId="6" borderId="10" xfId="737" applyNumberFormat="1" applyFont="1" applyFill="1" applyBorder="1" applyAlignment="1">
      <alignment horizontal="center" vertical="center"/>
    </xf>
    <xf numFmtId="177" fontId="226" fillId="6" borderId="11" xfId="737" applyNumberFormat="1" applyFont="1" applyFill="1" applyBorder="1" applyAlignment="1">
      <alignment horizontal="center" vertical="center"/>
    </xf>
    <xf numFmtId="177" fontId="233" fillId="2" borderId="8" xfId="738" applyNumberFormat="1" applyFont="1" applyFill="1" applyBorder="1" applyAlignment="1">
      <alignment horizontal="center" vertical="center"/>
    </xf>
    <xf numFmtId="177" fontId="233" fillId="2" borderId="1" xfId="738" applyNumberFormat="1" applyFont="1" applyFill="1" applyBorder="1" applyAlignment="1">
      <alignment horizontal="center" vertical="center"/>
    </xf>
    <xf numFmtId="178" fontId="233" fillId="2" borderId="1" xfId="737" applyNumberFormat="1" applyFont="1" applyFill="1" applyBorder="1" applyAlignment="1">
      <alignment horizontal="center" vertical="center"/>
    </xf>
    <xf numFmtId="0" fontId="233" fillId="3" borderId="8" xfId="737" applyFont="1" applyFill="1" applyBorder="1" applyAlignment="1">
      <alignment horizontal="center" vertical="center"/>
    </xf>
    <xf numFmtId="0" fontId="233" fillId="3" borderId="1" xfId="737" applyFont="1" applyFill="1" applyBorder="1" applyAlignment="1">
      <alignment horizontal="center" vertical="center"/>
    </xf>
    <xf numFmtId="0" fontId="233" fillId="3" borderId="1" xfId="737" applyFont="1" applyFill="1" applyBorder="1" applyAlignment="1">
      <alignment horizontal="center" vertical="center" wrapText="1"/>
    </xf>
    <xf numFmtId="0" fontId="233" fillId="3" borderId="9" xfId="737" applyFont="1" applyFill="1" applyBorder="1" applyAlignment="1">
      <alignment horizontal="center" vertical="center" wrapText="1"/>
    </xf>
    <xf numFmtId="0" fontId="233" fillId="3" borderId="8" xfId="733" applyFont="1" applyFill="1" applyBorder="1" applyAlignment="1">
      <alignment horizontal="center" vertical="center"/>
    </xf>
    <xf numFmtId="0" fontId="233" fillId="3" borderId="1" xfId="733" applyFont="1" applyFill="1" applyBorder="1" applyAlignment="1">
      <alignment horizontal="center" vertical="center"/>
    </xf>
    <xf numFmtId="0" fontId="233" fillId="3" borderId="1" xfId="733" applyFont="1" applyFill="1" applyBorder="1" applyAlignment="1">
      <alignment horizontal="center" vertical="center" wrapText="1"/>
    </xf>
    <xf numFmtId="0" fontId="233" fillId="3" borderId="9" xfId="733" applyFont="1" applyFill="1" applyBorder="1" applyAlignment="1">
      <alignment horizontal="center" vertical="center" wrapText="1"/>
    </xf>
    <xf numFmtId="177" fontId="226" fillId="6" borderId="10" xfId="733" applyNumberFormat="1" applyFont="1" applyFill="1" applyBorder="1" applyAlignment="1">
      <alignment horizontal="center" vertical="center"/>
    </xf>
    <xf numFmtId="177" fontId="226" fillId="6" borderId="11" xfId="733" applyNumberFormat="1" applyFont="1" applyFill="1" applyBorder="1" applyAlignment="1">
      <alignment horizontal="center" vertical="center"/>
    </xf>
    <xf numFmtId="0" fontId="228" fillId="8" borderId="9" xfId="736" applyFont="1" applyFill="1" applyBorder="1" applyAlignment="1">
      <alignment horizontal="center" vertical="center" wrapText="1"/>
    </xf>
    <xf numFmtId="0" fontId="228" fillId="8" borderId="14" xfId="736" applyFont="1" applyFill="1" applyBorder="1" applyAlignment="1">
      <alignment horizontal="center" vertical="center"/>
    </xf>
    <xf numFmtId="0" fontId="228" fillId="8" borderId="15" xfId="736" applyFont="1" applyFill="1" applyBorder="1" applyAlignment="1">
      <alignment horizontal="center" vertical="center"/>
    </xf>
    <xf numFmtId="0" fontId="228" fillId="8" borderId="17" xfId="736" applyFont="1" applyFill="1" applyBorder="1" applyAlignment="1">
      <alignment horizontal="center" vertical="center"/>
    </xf>
    <xf numFmtId="177" fontId="233" fillId="2" borderId="8" xfId="734" applyNumberFormat="1" applyFont="1" applyFill="1" applyBorder="1" applyAlignment="1">
      <alignment horizontal="center" vertical="center"/>
    </xf>
    <xf numFmtId="177" fontId="233" fillId="2" borderId="1" xfId="734" applyNumberFormat="1" applyFont="1" applyFill="1" applyBorder="1" applyAlignment="1">
      <alignment horizontal="center" vertical="center"/>
    </xf>
    <xf numFmtId="178" fontId="233" fillId="2" borderId="1" xfId="733" applyNumberFormat="1" applyFont="1" applyFill="1" applyBorder="1" applyAlignment="1">
      <alignment horizontal="center" vertical="center"/>
    </xf>
    <xf numFmtId="0" fontId="228" fillId="8" borderId="16" xfId="736" applyFont="1" applyFill="1" applyBorder="1" applyAlignment="1">
      <alignment horizontal="center" vertical="center"/>
    </xf>
    <xf numFmtId="0" fontId="228" fillId="8" borderId="18" xfId="736" applyFont="1" applyFill="1" applyBorder="1" applyAlignment="1">
      <alignment horizontal="center" vertical="center"/>
    </xf>
    <xf numFmtId="0" fontId="228" fillId="8" borderId="16" xfId="736" applyFont="1" applyFill="1" applyBorder="1" applyAlignment="1">
      <alignment horizontal="center" vertical="center" wrapText="1"/>
    </xf>
    <xf numFmtId="0" fontId="228" fillId="8" borderId="18" xfId="736" applyFont="1" applyFill="1" applyBorder="1" applyAlignment="1">
      <alignment horizontal="center" vertical="center" wrapText="1"/>
    </xf>
    <xf numFmtId="0" fontId="241" fillId="4" borderId="1" xfId="736" applyFont="1" applyFill="1" applyBorder="1" applyAlignment="1">
      <alignment horizontal="center"/>
    </xf>
    <xf numFmtId="0" fontId="241" fillId="9" borderId="2" xfId="736" applyFont="1" applyFill="1" applyBorder="1" applyAlignment="1">
      <alignment horizontal="center"/>
    </xf>
    <xf numFmtId="0" fontId="241" fillId="9" borderId="3" xfId="736" applyFont="1" applyFill="1" applyBorder="1" applyAlignment="1">
      <alignment horizontal="center"/>
    </xf>
    <xf numFmtId="0" fontId="241" fillId="9" borderId="1" xfId="736" applyFont="1" applyFill="1" applyBorder="1" applyAlignment="1">
      <alignment horizontal="center"/>
    </xf>
    <xf numFmtId="0" fontId="241" fillId="9" borderId="4" xfId="736" applyFont="1" applyFill="1" applyBorder="1" applyAlignment="1">
      <alignment horizontal="center"/>
    </xf>
    <xf numFmtId="0" fontId="228" fillId="8" borderId="8" xfId="736" applyFont="1" applyFill="1" applyBorder="1" applyAlignment="1">
      <alignment horizontal="center" vertical="center"/>
    </xf>
    <xf numFmtId="0" fontId="228" fillId="8" borderId="1" xfId="736" applyFont="1" applyFill="1" applyBorder="1" applyAlignment="1">
      <alignment horizontal="center" vertical="center"/>
    </xf>
    <xf numFmtId="0" fontId="228" fillId="8" borderId="1" xfId="736" applyFont="1" applyFill="1" applyBorder="1" applyAlignment="1">
      <alignment horizontal="center" vertical="center" wrapText="1"/>
    </xf>
    <xf numFmtId="0" fontId="233" fillId="3" borderId="8" xfId="729" applyFont="1" applyFill="1" applyBorder="1" applyAlignment="1">
      <alignment horizontal="center" vertical="center"/>
    </xf>
    <xf numFmtId="0" fontId="233" fillId="3" borderId="1" xfId="729" applyFont="1" applyFill="1" applyBorder="1" applyAlignment="1">
      <alignment horizontal="center" vertical="center"/>
    </xf>
    <xf numFmtId="0" fontId="233" fillId="3" borderId="1" xfId="729" applyFont="1" applyFill="1" applyBorder="1" applyAlignment="1">
      <alignment horizontal="center" vertical="center" wrapText="1"/>
    </xf>
    <xf numFmtId="0" fontId="233" fillId="3" borderId="9" xfId="729" applyFont="1" applyFill="1" applyBorder="1" applyAlignment="1">
      <alignment horizontal="center" vertical="center" wrapText="1"/>
    </xf>
    <xf numFmtId="177" fontId="226" fillId="6" borderId="10" xfId="729" applyNumberFormat="1" applyFont="1" applyFill="1" applyBorder="1" applyAlignment="1">
      <alignment horizontal="center" vertical="center"/>
    </xf>
    <xf numFmtId="177" fontId="226" fillId="6" borderId="11" xfId="729" applyNumberFormat="1" applyFont="1" applyFill="1" applyBorder="1" applyAlignment="1">
      <alignment horizontal="center" vertical="center"/>
    </xf>
    <xf numFmtId="0" fontId="228" fillId="8" borderId="9" xfId="732" applyFont="1" applyFill="1" applyBorder="1" applyAlignment="1">
      <alignment horizontal="center" vertical="center" wrapText="1"/>
    </xf>
    <xf numFmtId="0" fontId="228" fillId="8" borderId="14" xfId="732" applyFont="1" applyFill="1" applyBorder="1" applyAlignment="1">
      <alignment horizontal="center" vertical="center"/>
    </xf>
    <xf numFmtId="0" fontId="228" fillId="8" borderId="15" xfId="732" applyFont="1" applyFill="1" applyBorder="1" applyAlignment="1">
      <alignment horizontal="center" vertical="center"/>
    </xf>
    <xf numFmtId="0" fontId="228" fillId="8" borderId="17" xfId="732" applyFont="1" applyFill="1" applyBorder="1" applyAlignment="1">
      <alignment horizontal="center" vertical="center"/>
    </xf>
    <xf numFmtId="177" fontId="233" fillId="2" borderId="8" xfId="730" applyNumberFormat="1" applyFont="1" applyFill="1" applyBorder="1" applyAlignment="1">
      <alignment horizontal="center" vertical="center"/>
    </xf>
    <xf numFmtId="177" fontId="233" fillId="2" borderId="1" xfId="730" applyNumberFormat="1" applyFont="1" applyFill="1" applyBorder="1" applyAlignment="1">
      <alignment horizontal="center" vertical="center"/>
    </xf>
    <xf numFmtId="178" fontId="233" fillId="2" borderId="1" xfId="729" applyNumberFormat="1" applyFont="1" applyFill="1" applyBorder="1" applyAlignment="1">
      <alignment horizontal="center" vertical="center"/>
    </xf>
    <xf numFmtId="0" fontId="228" fillId="8" borderId="16" xfId="732" applyFont="1" applyFill="1" applyBorder="1" applyAlignment="1">
      <alignment horizontal="center" vertical="center"/>
    </xf>
    <xf numFmtId="0" fontId="228" fillId="8" borderId="18" xfId="732" applyFont="1" applyFill="1" applyBorder="1" applyAlignment="1">
      <alignment horizontal="center" vertical="center"/>
    </xf>
    <xf numFmtId="0" fontId="228" fillId="8" borderId="16" xfId="732" applyFont="1" applyFill="1" applyBorder="1" applyAlignment="1">
      <alignment horizontal="center" vertical="center" wrapText="1"/>
    </xf>
    <xf numFmtId="0" fontId="228" fillId="8" borderId="18" xfId="732" applyFont="1" applyFill="1" applyBorder="1" applyAlignment="1">
      <alignment horizontal="center" vertical="center" wrapText="1"/>
    </xf>
    <xf numFmtId="0" fontId="241" fillId="4" borderId="1" xfId="732" applyFont="1" applyFill="1" applyBorder="1" applyAlignment="1">
      <alignment horizontal="center"/>
    </xf>
    <xf numFmtId="0" fontId="241" fillId="9" borderId="2" xfId="732" applyFont="1" applyFill="1" applyBorder="1" applyAlignment="1">
      <alignment horizontal="center"/>
    </xf>
    <xf numFmtId="0" fontId="241" fillId="9" borderId="3" xfId="732" applyFont="1" applyFill="1" applyBorder="1" applyAlignment="1">
      <alignment horizontal="center"/>
    </xf>
    <xf numFmtId="0" fontId="241" fillId="9" borderId="1" xfId="732" applyFont="1" applyFill="1" applyBorder="1" applyAlignment="1">
      <alignment horizontal="center"/>
    </xf>
    <xf numFmtId="0" fontId="241" fillId="9" borderId="4" xfId="732" applyFont="1" applyFill="1" applyBorder="1" applyAlignment="1">
      <alignment horizontal="center"/>
    </xf>
    <xf numFmtId="0" fontId="228" fillId="8" borderId="8" xfId="732" applyFont="1" applyFill="1" applyBorder="1" applyAlignment="1">
      <alignment horizontal="center" vertical="center"/>
    </xf>
    <xf numFmtId="0" fontId="228" fillId="8" borderId="1" xfId="732" applyFont="1" applyFill="1" applyBorder="1" applyAlignment="1">
      <alignment horizontal="center" vertical="center"/>
    </xf>
    <xf numFmtId="0" fontId="228" fillId="8" borderId="1" xfId="732" applyFont="1" applyFill="1" applyBorder="1" applyAlignment="1">
      <alignment horizontal="center" vertical="center" wrapText="1"/>
    </xf>
    <xf numFmtId="0" fontId="228" fillId="8" borderId="8" xfId="728" applyFont="1" applyFill="1" applyBorder="1" applyAlignment="1">
      <alignment horizontal="center" vertical="center"/>
    </xf>
    <xf numFmtId="0" fontId="228" fillId="8" borderId="1" xfId="728" applyFont="1" applyFill="1" applyBorder="1" applyAlignment="1">
      <alignment horizontal="center" vertical="center"/>
    </xf>
    <xf numFmtId="0" fontId="228" fillId="8" borderId="1" xfId="728" applyFont="1" applyFill="1" applyBorder="1" applyAlignment="1">
      <alignment horizontal="center" vertical="center" wrapText="1"/>
    </xf>
    <xf numFmtId="0" fontId="228" fillId="8" borderId="9" xfId="728" applyFont="1" applyFill="1" applyBorder="1" applyAlignment="1">
      <alignment horizontal="center" vertical="center" wrapText="1"/>
    </xf>
    <xf numFmtId="0" fontId="228" fillId="8" borderId="14" xfId="728" applyFont="1" applyFill="1" applyBorder="1" applyAlignment="1">
      <alignment horizontal="center" vertical="center"/>
    </xf>
    <xf numFmtId="0" fontId="228" fillId="8" borderId="15" xfId="728" applyFont="1" applyFill="1" applyBorder="1" applyAlignment="1">
      <alignment horizontal="center" vertical="center"/>
    </xf>
    <xf numFmtId="0" fontId="228" fillId="8" borderId="17" xfId="728" applyFont="1" applyFill="1" applyBorder="1" applyAlignment="1">
      <alignment horizontal="center" vertical="center"/>
    </xf>
    <xf numFmtId="0" fontId="228" fillId="8" borderId="16" xfId="728" applyFont="1" applyFill="1" applyBorder="1" applyAlignment="1">
      <alignment horizontal="center" vertical="center"/>
    </xf>
    <xf numFmtId="0" fontId="228" fillId="8" borderId="18" xfId="728" applyFont="1" applyFill="1" applyBorder="1" applyAlignment="1">
      <alignment horizontal="center" vertical="center"/>
    </xf>
    <xf numFmtId="0" fontId="228" fillId="8" borderId="16" xfId="728" applyFont="1" applyFill="1" applyBorder="1" applyAlignment="1">
      <alignment horizontal="center" vertical="center" wrapText="1"/>
    </xf>
    <xf numFmtId="0" fontId="228" fillId="8" borderId="18" xfId="728" applyFont="1" applyFill="1" applyBorder="1" applyAlignment="1">
      <alignment horizontal="center" vertical="center" wrapText="1"/>
    </xf>
    <xf numFmtId="0" fontId="241" fillId="4" borderId="1" xfId="728" applyFont="1" applyFill="1" applyBorder="1" applyAlignment="1">
      <alignment horizontal="center"/>
    </xf>
    <xf numFmtId="0" fontId="241" fillId="9" borderId="2" xfId="728" applyFont="1" applyFill="1" applyBorder="1" applyAlignment="1">
      <alignment horizontal="center"/>
    </xf>
    <xf numFmtId="0" fontId="241" fillId="9" borderId="4" xfId="728" applyFont="1" applyFill="1" applyBorder="1" applyAlignment="1">
      <alignment horizontal="center"/>
    </xf>
    <xf numFmtId="0" fontId="241" fillId="9" borderId="3" xfId="728" applyFont="1" applyFill="1" applyBorder="1" applyAlignment="1">
      <alignment horizontal="center"/>
    </xf>
    <xf numFmtId="0" fontId="241" fillId="9" borderId="1" xfId="728" applyFont="1" applyFill="1" applyBorder="1" applyAlignment="1">
      <alignment horizontal="center"/>
    </xf>
    <xf numFmtId="177" fontId="226" fillId="6" borderId="10" xfId="725" applyNumberFormat="1" applyFont="1" applyFill="1" applyBorder="1" applyAlignment="1">
      <alignment horizontal="center" vertical="center"/>
    </xf>
    <xf numFmtId="177" fontId="226" fillId="6" borderId="11" xfId="725" applyNumberFormat="1" applyFont="1" applyFill="1" applyBorder="1" applyAlignment="1">
      <alignment horizontal="center" vertical="center"/>
    </xf>
    <xf numFmtId="177" fontId="233" fillId="2" borderId="8" xfId="726" applyNumberFormat="1" applyFont="1" applyFill="1" applyBorder="1" applyAlignment="1">
      <alignment horizontal="center" vertical="center"/>
    </xf>
    <xf numFmtId="177" fontId="233" fillId="2" borderId="1" xfId="726" applyNumberFormat="1" applyFont="1" applyFill="1" applyBorder="1" applyAlignment="1">
      <alignment horizontal="center" vertical="center"/>
    </xf>
    <xf numFmtId="178" fontId="233" fillId="2" borderId="1" xfId="725" applyNumberFormat="1" applyFont="1" applyFill="1" applyBorder="1" applyAlignment="1">
      <alignment horizontal="center" vertical="center"/>
    </xf>
    <xf numFmtId="0" fontId="233" fillId="3" borderId="8" xfId="725" applyFont="1" applyFill="1" applyBorder="1" applyAlignment="1">
      <alignment horizontal="center" vertical="center"/>
    </xf>
    <xf numFmtId="0" fontId="233" fillId="3" borderId="1" xfId="725" applyFont="1" applyFill="1" applyBorder="1" applyAlignment="1">
      <alignment horizontal="center" vertical="center"/>
    </xf>
    <xf numFmtId="0" fontId="233" fillId="3" borderId="1" xfId="725" applyFont="1" applyFill="1" applyBorder="1" applyAlignment="1">
      <alignment horizontal="center" vertical="center" wrapText="1"/>
    </xf>
    <xf numFmtId="0" fontId="233" fillId="3" borderId="9" xfId="725" applyFont="1" applyFill="1" applyBorder="1" applyAlignment="1">
      <alignment horizontal="center" vertical="center" wrapText="1"/>
    </xf>
    <xf numFmtId="0" fontId="233" fillId="3" borderId="8" xfId="721" applyFont="1" applyFill="1" applyBorder="1" applyAlignment="1">
      <alignment horizontal="center" vertical="center"/>
    </xf>
    <xf numFmtId="0" fontId="233" fillId="3" borderId="1" xfId="721" applyFont="1" applyFill="1" applyBorder="1" applyAlignment="1">
      <alignment horizontal="center" vertical="center"/>
    </xf>
    <xf numFmtId="0" fontId="233" fillId="3" borderId="1" xfId="721" applyFont="1" applyFill="1" applyBorder="1" applyAlignment="1">
      <alignment horizontal="center" vertical="center" wrapText="1"/>
    </xf>
    <xf numFmtId="0" fontId="233" fillId="3" borderId="9" xfId="721" applyFont="1" applyFill="1" applyBorder="1" applyAlignment="1">
      <alignment horizontal="center" vertical="center" wrapText="1"/>
    </xf>
    <xf numFmtId="177" fontId="226" fillId="6" borderId="10" xfId="721" applyNumberFormat="1" applyFont="1" applyFill="1" applyBorder="1" applyAlignment="1">
      <alignment horizontal="center" vertical="center"/>
    </xf>
    <xf numFmtId="177" fontId="226" fillId="6" borderId="11" xfId="721" applyNumberFormat="1" applyFont="1" applyFill="1" applyBorder="1" applyAlignment="1">
      <alignment horizontal="center" vertical="center"/>
    </xf>
    <xf numFmtId="0" fontId="228" fillId="8" borderId="9" xfId="724" applyFont="1" applyFill="1" applyBorder="1" applyAlignment="1">
      <alignment horizontal="center" vertical="center" wrapText="1"/>
    </xf>
    <xf numFmtId="0" fontId="228" fillId="8" borderId="14" xfId="724" applyFont="1" applyFill="1" applyBorder="1" applyAlignment="1">
      <alignment horizontal="center" vertical="center"/>
    </xf>
    <xf numFmtId="0" fontId="228" fillId="8" borderId="15" xfId="724" applyFont="1" applyFill="1" applyBorder="1" applyAlignment="1">
      <alignment horizontal="center" vertical="center"/>
    </xf>
    <xf numFmtId="0" fontId="228" fillId="8" borderId="17" xfId="724" applyFont="1" applyFill="1" applyBorder="1" applyAlignment="1">
      <alignment horizontal="center" vertical="center"/>
    </xf>
    <xf numFmtId="177" fontId="233" fillId="2" borderId="8" xfId="722" applyNumberFormat="1" applyFont="1" applyFill="1" applyBorder="1" applyAlignment="1">
      <alignment horizontal="center" vertical="center"/>
    </xf>
    <xf numFmtId="177" fontId="233" fillId="2" borderId="1" xfId="722" applyNumberFormat="1" applyFont="1" applyFill="1" applyBorder="1" applyAlignment="1">
      <alignment horizontal="center" vertical="center"/>
    </xf>
    <xf numFmtId="178" fontId="233" fillId="2" borderId="1" xfId="721" applyNumberFormat="1" applyFont="1" applyFill="1" applyBorder="1" applyAlignment="1">
      <alignment horizontal="center" vertical="center"/>
    </xf>
    <xf numFmtId="0" fontId="228" fillId="8" borderId="16" xfId="724" applyFont="1" applyFill="1" applyBorder="1" applyAlignment="1">
      <alignment horizontal="center" vertical="center"/>
    </xf>
    <xf numFmtId="0" fontId="228" fillId="8" borderId="18" xfId="724" applyFont="1" applyFill="1" applyBorder="1" applyAlignment="1">
      <alignment horizontal="center" vertical="center"/>
    </xf>
    <xf numFmtId="0" fontId="228" fillId="8" borderId="16" xfId="724" applyFont="1" applyFill="1" applyBorder="1" applyAlignment="1">
      <alignment horizontal="center" vertical="center" wrapText="1"/>
    </xf>
    <xf numFmtId="0" fontId="228" fillId="8" borderId="18" xfId="724" applyFont="1" applyFill="1" applyBorder="1" applyAlignment="1">
      <alignment horizontal="center" vertical="center" wrapText="1"/>
    </xf>
    <xf numFmtId="0" fontId="241" fillId="4" borderId="1" xfId="724" applyFont="1" applyFill="1" applyBorder="1" applyAlignment="1">
      <alignment horizontal="center"/>
    </xf>
    <xf numFmtId="0" fontId="241" fillId="9" borderId="2" xfId="724" applyFont="1" applyFill="1" applyBorder="1" applyAlignment="1">
      <alignment horizontal="center"/>
    </xf>
    <xf numFmtId="0" fontId="241" fillId="9" borderId="3" xfId="724" applyFont="1" applyFill="1" applyBorder="1" applyAlignment="1">
      <alignment horizontal="center"/>
    </xf>
    <xf numFmtId="0" fontId="241" fillId="9" borderId="1" xfId="724" applyFont="1" applyFill="1" applyBorder="1" applyAlignment="1">
      <alignment horizontal="center"/>
    </xf>
    <xf numFmtId="0" fontId="241" fillId="9" borderId="4" xfId="724" applyFont="1" applyFill="1" applyBorder="1" applyAlignment="1">
      <alignment horizontal="center"/>
    </xf>
    <xf numFmtId="0" fontId="228" fillId="8" borderId="8" xfId="724" applyFont="1" applyFill="1" applyBorder="1" applyAlignment="1">
      <alignment horizontal="center" vertical="center"/>
    </xf>
    <xf numFmtId="0" fontId="228" fillId="8" borderId="1" xfId="724" applyFont="1" applyFill="1" applyBorder="1" applyAlignment="1">
      <alignment horizontal="center" vertical="center"/>
    </xf>
    <xf numFmtId="0" fontId="228" fillId="8" borderId="1" xfId="724" applyFont="1" applyFill="1" applyBorder="1" applyAlignment="1">
      <alignment horizontal="center" vertical="center" wrapText="1"/>
    </xf>
    <xf numFmtId="0" fontId="228" fillId="8" borderId="8" xfId="720" applyFont="1" applyFill="1" applyBorder="1" applyAlignment="1">
      <alignment horizontal="center" vertical="center"/>
    </xf>
    <xf numFmtId="0" fontId="228" fillId="8" borderId="1" xfId="720" applyFont="1" applyFill="1" applyBorder="1" applyAlignment="1">
      <alignment horizontal="center" vertical="center"/>
    </xf>
    <xf numFmtId="0" fontId="228" fillId="8" borderId="1" xfId="720" applyFont="1" applyFill="1" applyBorder="1" applyAlignment="1">
      <alignment horizontal="center" vertical="center" wrapText="1"/>
    </xf>
    <xf numFmtId="0" fontId="228" fillId="8" borderId="9" xfId="720" applyFont="1" applyFill="1" applyBorder="1" applyAlignment="1">
      <alignment horizontal="center" vertical="center" wrapText="1"/>
    </xf>
    <xf numFmtId="0" fontId="228" fillId="8" borderId="14" xfId="720" applyFont="1" applyFill="1" applyBorder="1" applyAlignment="1">
      <alignment horizontal="center" vertical="center"/>
    </xf>
    <xf numFmtId="0" fontId="228" fillId="8" borderId="15" xfId="720" applyFont="1" applyFill="1" applyBorder="1" applyAlignment="1">
      <alignment horizontal="center" vertical="center"/>
    </xf>
    <xf numFmtId="0" fontId="228" fillId="8" borderId="17" xfId="720" applyFont="1" applyFill="1" applyBorder="1" applyAlignment="1">
      <alignment horizontal="center" vertical="center"/>
    </xf>
    <xf numFmtId="0" fontId="228" fillId="8" borderId="16" xfId="720" applyFont="1" applyFill="1" applyBorder="1" applyAlignment="1">
      <alignment horizontal="center" vertical="center"/>
    </xf>
    <xf numFmtId="0" fontId="228" fillId="8" borderId="18" xfId="720" applyFont="1" applyFill="1" applyBorder="1" applyAlignment="1">
      <alignment horizontal="center" vertical="center"/>
    </xf>
    <xf numFmtId="0" fontId="228" fillId="8" borderId="16" xfId="720" applyFont="1" applyFill="1" applyBorder="1" applyAlignment="1">
      <alignment horizontal="center" vertical="center" wrapText="1"/>
    </xf>
    <xf numFmtId="0" fontId="228" fillId="8" borderId="18" xfId="720" applyFont="1" applyFill="1" applyBorder="1" applyAlignment="1">
      <alignment horizontal="center" vertical="center" wrapText="1"/>
    </xf>
    <xf numFmtId="0" fontId="241" fillId="4" borderId="1" xfId="720" applyFont="1" applyFill="1" applyBorder="1" applyAlignment="1">
      <alignment horizontal="center"/>
    </xf>
    <xf numFmtId="0" fontId="241" fillId="9" borderId="2" xfId="720" applyFont="1" applyFill="1" applyBorder="1" applyAlignment="1">
      <alignment horizontal="center"/>
    </xf>
    <xf numFmtId="0" fontId="241" fillId="9" borderId="4" xfId="720" applyFont="1" applyFill="1" applyBorder="1" applyAlignment="1">
      <alignment horizontal="center"/>
    </xf>
    <xf numFmtId="0" fontId="241" fillId="9" borderId="3" xfId="720" applyFont="1" applyFill="1" applyBorder="1" applyAlignment="1">
      <alignment horizontal="center"/>
    </xf>
    <xf numFmtId="0" fontId="241" fillId="9" borderId="1" xfId="720" applyFont="1" applyFill="1" applyBorder="1" applyAlignment="1">
      <alignment horizontal="center"/>
    </xf>
    <xf numFmtId="177" fontId="226" fillId="6" borderId="10" xfId="717" applyNumberFormat="1" applyFont="1" applyFill="1" applyBorder="1" applyAlignment="1">
      <alignment horizontal="center" vertical="center"/>
    </xf>
    <xf numFmtId="177" fontId="226" fillId="6" borderId="11" xfId="717" applyNumberFormat="1" applyFont="1" applyFill="1" applyBorder="1" applyAlignment="1">
      <alignment horizontal="center" vertical="center"/>
    </xf>
    <xf numFmtId="177" fontId="233" fillId="2" borderId="8" xfId="718" applyNumberFormat="1" applyFont="1" applyFill="1" applyBorder="1" applyAlignment="1">
      <alignment horizontal="center" vertical="center"/>
    </xf>
    <xf numFmtId="177" fontId="233" fillId="2" borderId="1" xfId="718" applyNumberFormat="1" applyFont="1" applyFill="1" applyBorder="1" applyAlignment="1">
      <alignment horizontal="center" vertical="center"/>
    </xf>
    <xf numFmtId="178" fontId="233" fillId="2" borderId="1" xfId="717" applyNumberFormat="1" applyFont="1" applyFill="1" applyBorder="1" applyAlignment="1">
      <alignment horizontal="center" vertical="center"/>
    </xf>
    <xf numFmtId="0" fontId="233" fillId="3" borderId="8" xfId="717" applyFont="1" applyFill="1" applyBorder="1" applyAlignment="1">
      <alignment horizontal="center" vertical="center"/>
    </xf>
    <xf numFmtId="0" fontId="233" fillId="3" borderId="1" xfId="717" applyFont="1" applyFill="1" applyBorder="1" applyAlignment="1">
      <alignment horizontal="center" vertical="center"/>
    </xf>
    <xf numFmtId="0" fontId="233" fillId="3" borderId="1" xfId="717" applyFont="1" applyFill="1" applyBorder="1" applyAlignment="1">
      <alignment horizontal="center" vertical="center" wrapText="1"/>
    </xf>
    <xf numFmtId="0" fontId="233" fillId="3" borderId="9" xfId="717" applyFont="1" applyFill="1" applyBorder="1" applyAlignment="1">
      <alignment horizontal="center" vertical="center" wrapText="1"/>
    </xf>
    <xf numFmtId="0" fontId="233" fillId="3" borderId="8" xfId="713" applyFont="1" applyFill="1" applyBorder="1" applyAlignment="1">
      <alignment horizontal="center" vertical="center"/>
    </xf>
    <xf numFmtId="0" fontId="233" fillId="3" borderId="1" xfId="713" applyFont="1" applyFill="1" applyBorder="1" applyAlignment="1">
      <alignment horizontal="center" vertical="center"/>
    </xf>
    <xf numFmtId="0" fontId="233" fillId="3" borderId="1" xfId="713" applyFont="1" applyFill="1" applyBorder="1" applyAlignment="1">
      <alignment horizontal="center" vertical="center" wrapText="1"/>
    </xf>
    <xf numFmtId="0" fontId="233" fillId="3" borderId="9" xfId="713" applyFont="1" applyFill="1" applyBorder="1" applyAlignment="1">
      <alignment horizontal="center" vertical="center" wrapText="1"/>
    </xf>
    <xf numFmtId="177" fontId="226" fillId="6" borderId="10" xfId="713" applyNumberFormat="1" applyFont="1" applyFill="1" applyBorder="1" applyAlignment="1">
      <alignment horizontal="center" vertical="center"/>
    </xf>
    <xf numFmtId="177" fontId="226" fillId="6" borderId="11" xfId="713" applyNumberFormat="1" applyFont="1" applyFill="1" applyBorder="1" applyAlignment="1">
      <alignment horizontal="center" vertical="center"/>
    </xf>
    <xf numFmtId="0" fontId="228" fillId="8" borderId="9" xfId="716" applyFont="1" applyFill="1" applyBorder="1" applyAlignment="1">
      <alignment horizontal="center" vertical="center" wrapText="1"/>
    </xf>
    <xf numFmtId="0" fontId="228" fillId="8" borderId="14" xfId="716" applyFont="1" applyFill="1" applyBorder="1" applyAlignment="1">
      <alignment horizontal="center" vertical="center"/>
    </xf>
    <xf numFmtId="0" fontId="228" fillId="8" borderId="15" xfId="716" applyFont="1" applyFill="1" applyBorder="1" applyAlignment="1">
      <alignment horizontal="center" vertical="center"/>
    </xf>
    <xf numFmtId="0" fontId="228" fillId="8" borderId="17" xfId="716" applyFont="1" applyFill="1" applyBorder="1" applyAlignment="1">
      <alignment horizontal="center" vertical="center"/>
    </xf>
    <xf numFmtId="177" fontId="233" fillId="2" borderId="8" xfId="714" applyNumberFormat="1" applyFont="1" applyFill="1" applyBorder="1" applyAlignment="1">
      <alignment horizontal="center" vertical="center"/>
    </xf>
    <xf numFmtId="177" fontId="233" fillId="2" borderId="1" xfId="714" applyNumberFormat="1" applyFont="1" applyFill="1" applyBorder="1" applyAlignment="1">
      <alignment horizontal="center" vertical="center"/>
    </xf>
    <xf numFmtId="178" fontId="233" fillId="2" borderId="1" xfId="713" applyNumberFormat="1" applyFont="1" applyFill="1" applyBorder="1" applyAlignment="1">
      <alignment horizontal="center" vertical="center"/>
    </xf>
    <xf numFmtId="0" fontId="228" fillId="8" borderId="16" xfId="716" applyFont="1" applyFill="1" applyBorder="1" applyAlignment="1">
      <alignment horizontal="center" vertical="center"/>
    </xf>
    <xf numFmtId="0" fontId="228" fillId="8" borderId="18" xfId="716" applyFont="1" applyFill="1" applyBorder="1" applyAlignment="1">
      <alignment horizontal="center" vertical="center"/>
    </xf>
    <xf numFmtId="0" fontId="228" fillId="8" borderId="16" xfId="716" applyFont="1" applyFill="1" applyBorder="1" applyAlignment="1">
      <alignment horizontal="center" vertical="center" wrapText="1"/>
    </xf>
    <xf numFmtId="0" fontId="228" fillId="8" borderId="18" xfId="716" applyFont="1" applyFill="1" applyBorder="1" applyAlignment="1">
      <alignment horizontal="center" vertical="center" wrapText="1"/>
    </xf>
    <xf numFmtId="0" fontId="241" fillId="4" borderId="1" xfId="716" applyFont="1" applyFill="1" applyBorder="1" applyAlignment="1">
      <alignment horizontal="center"/>
    </xf>
    <xf numFmtId="0" fontId="241" fillId="9" borderId="2" xfId="716" applyFont="1" applyFill="1" applyBorder="1" applyAlignment="1">
      <alignment horizontal="center"/>
    </xf>
    <xf numFmtId="0" fontId="241" fillId="9" borderId="3" xfId="716" applyFont="1" applyFill="1" applyBorder="1" applyAlignment="1">
      <alignment horizontal="center"/>
    </xf>
    <xf numFmtId="0" fontId="241" fillId="9" borderId="1" xfId="716" applyFont="1" applyFill="1" applyBorder="1" applyAlignment="1">
      <alignment horizontal="center"/>
    </xf>
    <xf numFmtId="0" fontId="241" fillId="9" borderId="4" xfId="716" applyFont="1" applyFill="1" applyBorder="1" applyAlignment="1">
      <alignment horizontal="center"/>
    </xf>
    <xf numFmtId="0" fontId="228" fillId="8" borderId="8" xfId="716" applyFont="1" applyFill="1" applyBorder="1" applyAlignment="1">
      <alignment horizontal="center" vertical="center"/>
    </xf>
    <xf numFmtId="0" fontId="228" fillId="8" borderId="1" xfId="716" applyFont="1" applyFill="1" applyBorder="1" applyAlignment="1">
      <alignment horizontal="center" vertical="center"/>
    </xf>
    <xf numFmtId="0" fontId="228" fillId="8" borderId="1" xfId="716" applyFont="1" applyFill="1" applyBorder="1" applyAlignment="1">
      <alignment horizontal="center" vertical="center" wrapText="1"/>
    </xf>
  </cellXfs>
  <cellStyles count="1708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1" xfId="639"/>
    <cellStyle name="一般 2 2 30 2 2 30 2 62 2 56 11 2" xfId="1468"/>
    <cellStyle name="一般 2 2 30 2 2 30 2 62 2 56 12" xfId="643"/>
    <cellStyle name="一般 2 2 30 2 2 30 2 62 2 56 12 2" xfId="1472"/>
    <cellStyle name="一般 2 2 30 2 2 30 2 62 2 56 13" xfId="647"/>
    <cellStyle name="一般 2 2 30 2 2 30 2 62 2 56 13 2" xfId="1476"/>
    <cellStyle name="一般 2 2 30 2 2 30 2 62 2 56 14" xfId="651"/>
    <cellStyle name="一般 2 2 30 2 2 30 2 62 2 56 14 2" xfId="1480"/>
    <cellStyle name="一般 2 2 30 2 2 30 2 62 2 56 15" xfId="655"/>
    <cellStyle name="一般 2 2 30 2 2 30 2 62 2 56 15 2" xfId="1484"/>
    <cellStyle name="一般 2 2 30 2 2 30 2 62 2 56 16" xfId="659"/>
    <cellStyle name="一般 2 2 30 2 2 30 2 62 2 56 16 2" xfId="1488"/>
    <cellStyle name="一般 2 2 30 2 2 30 2 62 2 56 17" xfId="663"/>
    <cellStyle name="一般 2 2 30 2 2 30 2 62 2 56 17 2" xfId="1492"/>
    <cellStyle name="一般 2 2 30 2 2 30 2 62 2 56 18" xfId="667"/>
    <cellStyle name="一般 2 2 30 2 2 30 2 62 2 56 18 2" xfId="1496"/>
    <cellStyle name="一般 2 2 30 2 2 30 2 62 2 56 19" xfId="671"/>
    <cellStyle name="一般 2 2 30 2 2 30 2 62 2 56 19 2" xfId="1500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1" xfId="679"/>
    <cellStyle name="一般 2 2 30 2 2 30 2 62 2 56 21 2" xfId="1508"/>
    <cellStyle name="一般 2 2 30 2 2 30 2 62 2 56 22" xfId="683"/>
    <cellStyle name="一般 2 2 30 2 2 30 2 62 2 56 22 2" xfId="1512"/>
    <cellStyle name="一般 2 2 30 2 2 30 2 62 2 56 23" xfId="687"/>
    <cellStyle name="一般 2 2 30 2 2 30 2 62 2 56 23 2" xfId="1516"/>
    <cellStyle name="一般 2 2 30 2 2 30 2 62 2 56 24" xfId="691"/>
    <cellStyle name="一般 2 2 30 2 2 30 2 62 2 56 24 2" xfId="1520"/>
    <cellStyle name="一般 2 2 30 2 2 30 2 62 2 56 25" xfId="695"/>
    <cellStyle name="一般 2 2 30 2 2 30 2 62 2 56 25 2" xfId="1524"/>
    <cellStyle name="一般 2 2 30 2 2 30 2 62 2 56 26" xfId="699"/>
    <cellStyle name="一般 2 2 30 2 2 30 2 62 2 56 26 2" xfId="1528"/>
    <cellStyle name="一般 2 2 30 2 2 30 2 62 2 56 27" xfId="703"/>
    <cellStyle name="一般 2 2 30 2 2 30 2 62 2 56 27 2" xfId="1532"/>
    <cellStyle name="一般 2 2 30 2 2 30 2 62 2 56 28" xfId="707"/>
    <cellStyle name="一般 2 2 30 2 2 30 2 62 2 56 28 2" xfId="1536"/>
    <cellStyle name="一般 2 2 30 2 2 30 2 62 2 56 29" xfId="712"/>
    <cellStyle name="一般 2 2 30 2 2 30 2 62 2 56 29 2" xfId="154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8" xfId="627"/>
    <cellStyle name="一般 2 2 30 2 2 30 2 62 2 56 8 2" xfId="1456"/>
    <cellStyle name="一般 2 2 30 2 2 30 2 62 2 56 9" xfId="631"/>
    <cellStyle name="一般 2 2 30 2 2 30 2 62 2 56 9 2" xfId="1460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1" xfId="636"/>
    <cellStyle name="一般 2 2 30 3 30 2 62 2 56 11 2" xfId="1465"/>
    <cellStyle name="一般 2 2 30 3 30 2 62 2 56 12" xfId="640"/>
    <cellStyle name="一般 2 2 30 3 30 2 62 2 56 12 2" xfId="1469"/>
    <cellStyle name="一般 2 2 30 3 30 2 62 2 56 13" xfId="644"/>
    <cellStyle name="一般 2 2 30 3 30 2 62 2 56 13 2" xfId="1473"/>
    <cellStyle name="一般 2 2 30 3 30 2 62 2 56 14" xfId="648"/>
    <cellStyle name="一般 2 2 30 3 30 2 62 2 56 14 2" xfId="1477"/>
    <cellStyle name="一般 2 2 30 3 30 2 62 2 56 15" xfId="652"/>
    <cellStyle name="一般 2 2 30 3 30 2 62 2 56 15 2" xfId="1481"/>
    <cellStyle name="一般 2 2 30 3 30 2 62 2 56 16" xfId="656"/>
    <cellStyle name="一般 2 2 30 3 30 2 62 2 56 16 2" xfId="1485"/>
    <cellStyle name="一般 2 2 30 3 30 2 62 2 56 17" xfId="660"/>
    <cellStyle name="一般 2 2 30 3 30 2 62 2 56 17 2" xfId="1489"/>
    <cellStyle name="一般 2 2 30 3 30 2 62 2 56 18" xfId="664"/>
    <cellStyle name="一般 2 2 30 3 30 2 62 2 56 18 2" xfId="1493"/>
    <cellStyle name="一般 2 2 30 3 30 2 62 2 56 19" xfId="668"/>
    <cellStyle name="一般 2 2 30 3 30 2 62 2 56 19 2" xfId="1497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1" xfId="676"/>
    <cellStyle name="一般 2 2 30 3 30 2 62 2 56 21 2" xfId="1505"/>
    <cellStyle name="一般 2 2 30 3 30 2 62 2 56 22" xfId="680"/>
    <cellStyle name="一般 2 2 30 3 30 2 62 2 56 22 2" xfId="1509"/>
    <cellStyle name="一般 2 2 30 3 30 2 62 2 56 23" xfId="684"/>
    <cellStyle name="一般 2 2 30 3 30 2 62 2 56 23 2" xfId="1513"/>
    <cellStyle name="一般 2 2 30 3 30 2 62 2 56 24" xfId="688"/>
    <cellStyle name="一般 2 2 30 3 30 2 62 2 56 24 2" xfId="1517"/>
    <cellStyle name="一般 2 2 30 3 30 2 62 2 56 25" xfId="692"/>
    <cellStyle name="一般 2 2 30 3 30 2 62 2 56 25 2" xfId="1521"/>
    <cellStyle name="一般 2 2 30 3 30 2 62 2 56 26" xfId="696"/>
    <cellStyle name="一般 2 2 30 3 30 2 62 2 56 26 2" xfId="1525"/>
    <cellStyle name="一般 2 2 30 3 30 2 62 2 56 27" xfId="700"/>
    <cellStyle name="一般 2 2 30 3 30 2 62 2 56 27 2" xfId="1529"/>
    <cellStyle name="一般 2 2 30 3 30 2 62 2 56 28" xfId="704"/>
    <cellStyle name="一般 2 2 30 3 30 2 62 2 56 28 2" xfId="1533"/>
    <cellStyle name="一般 2 2 30 3 30 2 62 2 56 29" xfId="709"/>
    <cellStyle name="一般 2 2 30 3 30 2 62 2 56 29 2" xfId="153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8" xfId="624"/>
    <cellStyle name="一般 2 2 30 3 30 2 62 2 56 8 2" xfId="1453"/>
    <cellStyle name="一般 2 2 30 3 30 2 62 2 56 9" xfId="628"/>
    <cellStyle name="一般 2 2 30 3 30 2 62 2 56 9 2" xfId="1457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1" xfId="637"/>
    <cellStyle name="一般 2 2 30 3 30 4 29 62 2 56 11 2" xfId="1466"/>
    <cellStyle name="一般 2 2 30 3 30 4 29 62 2 56 12" xfId="641"/>
    <cellStyle name="一般 2 2 30 3 30 4 29 62 2 56 12 2" xfId="1470"/>
    <cellStyle name="一般 2 2 30 3 30 4 29 62 2 56 13" xfId="645"/>
    <cellStyle name="一般 2 2 30 3 30 4 29 62 2 56 13 2" xfId="1474"/>
    <cellStyle name="一般 2 2 30 3 30 4 29 62 2 56 14" xfId="649"/>
    <cellStyle name="一般 2 2 30 3 30 4 29 62 2 56 14 2" xfId="1478"/>
    <cellStyle name="一般 2 2 30 3 30 4 29 62 2 56 15" xfId="653"/>
    <cellStyle name="一般 2 2 30 3 30 4 29 62 2 56 15 2" xfId="1482"/>
    <cellStyle name="一般 2 2 30 3 30 4 29 62 2 56 16" xfId="657"/>
    <cellStyle name="一般 2 2 30 3 30 4 29 62 2 56 16 2" xfId="1486"/>
    <cellStyle name="一般 2 2 30 3 30 4 29 62 2 56 17" xfId="661"/>
    <cellStyle name="一般 2 2 30 3 30 4 29 62 2 56 17 2" xfId="1490"/>
    <cellStyle name="一般 2 2 30 3 30 4 29 62 2 56 18" xfId="665"/>
    <cellStyle name="一般 2 2 30 3 30 4 29 62 2 56 18 2" xfId="1494"/>
    <cellStyle name="一般 2 2 30 3 30 4 29 62 2 56 19" xfId="669"/>
    <cellStyle name="一般 2 2 30 3 30 4 29 62 2 56 19 2" xfId="1498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1" xfId="677"/>
    <cellStyle name="一般 2 2 30 3 30 4 29 62 2 56 21 2" xfId="1506"/>
    <cellStyle name="一般 2 2 30 3 30 4 29 62 2 56 22" xfId="681"/>
    <cellStyle name="一般 2 2 30 3 30 4 29 62 2 56 22 2" xfId="1510"/>
    <cellStyle name="一般 2 2 30 3 30 4 29 62 2 56 23" xfId="685"/>
    <cellStyle name="一般 2 2 30 3 30 4 29 62 2 56 23 2" xfId="1514"/>
    <cellStyle name="一般 2 2 30 3 30 4 29 62 2 56 24" xfId="689"/>
    <cellStyle name="一般 2 2 30 3 30 4 29 62 2 56 24 2" xfId="1518"/>
    <cellStyle name="一般 2 2 30 3 30 4 29 62 2 56 25" xfId="693"/>
    <cellStyle name="一般 2 2 30 3 30 4 29 62 2 56 25 2" xfId="1522"/>
    <cellStyle name="一般 2 2 30 3 30 4 29 62 2 56 26" xfId="697"/>
    <cellStyle name="一般 2 2 30 3 30 4 29 62 2 56 26 2" xfId="1526"/>
    <cellStyle name="一般 2 2 30 3 30 4 29 62 2 56 27" xfId="701"/>
    <cellStyle name="一般 2 2 30 3 30 4 29 62 2 56 27 2" xfId="1530"/>
    <cellStyle name="一般 2 2 30 3 30 4 29 62 2 56 28" xfId="705"/>
    <cellStyle name="一般 2 2 30 3 30 4 29 62 2 56 28 2" xfId="1534"/>
    <cellStyle name="一般 2 2 30 3 30 4 29 62 2 56 29" xfId="710"/>
    <cellStyle name="一般 2 2 30 3 30 4 29 62 2 56 29 2" xfId="153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8" xfId="625"/>
    <cellStyle name="一般 2 2 30 3 30 4 29 62 2 56 8 2" xfId="1454"/>
    <cellStyle name="一般 2 2 30 3 30 4 29 62 2 56 9" xfId="629"/>
    <cellStyle name="一般 2 2 30 3 30 4 29 62 2 56 9 2" xfId="1458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1" xfId="638"/>
    <cellStyle name="一般 2 2 30 3 30 4 9 21 62 2 56 11 2" xfId="1467"/>
    <cellStyle name="一般 2 2 30 3 30 4 9 21 62 2 56 12" xfId="642"/>
    <cellStyle name="一般 2 2 30 3 30 4 9 21 62 2 56 12 2" xfId="1471"/>
    <cellStyle name="一般 2 2 30 3 30 4 9 21 62 2 56 13" xfId="646"/>
    <cellStyle name="一般 2 2 30 3 30 4 9 21 62 2 56 13 2" xfId="1475"/>
    <cellStyle name="一般 2 2 30 3 30 4 9 21 62 2 56 14" xfId="650"/>
    <cellStyle name="一般 2 2 30 3 30 4 9 21 62 2 56 14 2" xfId="1479"/>
    <cellStyle name="一般 2 2 30 3 30 4 9 21 62 2 56 15" xfId="654"/>
    <cellStyle name="一般 2 2 30 3 30 4 9 21 62 2 56 15 2" xfId="1483"/>
    <cellStyle name="一般 2 2 30 3 30 4 9 21 62 2 56 16" xfId="658"/>
    <cellStyle name="一般 2 2 30 3 30 4 9 21 62 2 56 16 2" xfId="1487"/>
    <cellStyle name="一般 2 2 30 3 30 4 9 21 62 2 56 17" xfId="662"/>
    <cellStyle name="一般 2 2 30 3 30 4 9 21 62 2 56 17 2" xfId="1491"/>
    <cellStyle name="一般 2 2 30 3 30 4 9 21 62 2 56 18" xfId="666"/>
    <cellStyle name="一般 2 2 30 3 30 4 9 21 62 2 56 18 2" xfId="1495"/>
    <cellStyle name="一般 2 2 30 3 30 4 9 21 62 2 56 19" xfId="670"/>
    <cellStyle name="一般 2 2 30 3 30 4 9 21 62 2 56 19 2" xfId="1499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1" xfId="678"/>
    <cellStyle name="一般 2 2 30 3 30 4 9 21 62 2 56 21 2" xfId="1507"/>
    <cellStyle name="一般 2 2 30 3 30 4 9 21 62 2 56 22" xfId="682"/>
    <cellStyle name="一般 2 2 30 3 30 4 9 21 62 2 56 22 2" xfId="1511"/>
    <cellStyle name="一般 2 2 30 3 30 4 9 21 62 2 56 23" xfId="686"/>
    <cellStyle name="一般 2 2 30 3 30 4 9 21 62 2 56 23 2" xfId="1515"/>
    <cellStyle name="一般 2 2 30 3 30 4 9 21 62 2 56 24" xfId="690"/>
    <cellStyle name="一般 2 2 30 3 30 4 9 21 62 2 56 24 2" xfId="1519"/>
    <cellStyle name="一般 2 2 30 3 30 4 9 21 62 2 56 25" xfId="694"/>
    <cellStyle name="一般 2 2 30 3 30 4 9 21 62 2 56 25 2" xfId="1523"/>
    <cellStyle name="一般 2 2 30 3 30 4 9 21 62 2 56 26" xfId="698"/>
    <cellStyle name="一般 2 2 30 3 30 4 9 21 62 2 56 26 2" xfId="1527"/>
    <cellStyle name="一般 2 2 30 3 30 4 9 21 62 2 56 27" xfId="702"/>
    <cellStyle name="一般 2 2 30 3 30 4 9 21 62 2 56 27 2" xfId="1531"/>
    <cellStyle name="一般 2 2 30 3 30 4 9 21 62 2 56 28" xfId="706"/>
    <cellStyle name="一般 2 2 30 3 30 4 9 21 62 2 56 28 2" xfId="1535"/>
    <cellStyle name="一般 2 2 30 3 30 4 9 21 62 2 56 29" xfId="711"/>
    <cellStyle name="一般 2 2 30 3 30 4 9 21 62 2 56 29 2" xfId="154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8" xfId="626"/>
    <cellStyle name="一般 2 2 30 3 30 4 9 21 62 2 56 8 2" xfId="1455"/>
    <cellStyle name="一般 2 2 30 3 30 4 9 21 62 2 56 9" xfId="630"/>
    <cellStyle name="一般 2 2 30 3 30 4 9 21 62 2 56 9 2" xfId="1459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3" xfId="1683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3" xfId="1684"/>
  </cellStyles>
  <dxfs count="11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4"/>
  <sheetViews>
    <sheetView zoomScale="80" zoomScaleNormal="80" workbookViewId="0">
      <pane ySplit="3" topLeftCell="A22" activePane="bottomLeft" state="frozen"/>
      <selection activeCell="A3" sqref="A3:B4"/>
      <selection pane="bottomLeft" activeCell="B33" sqref="B33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6" width="15.7109375" style="1" customWidth="1"/>
    <col min="7" max="10" width="20.28515625" style="1" customWidth="1"/>
    <col min="11" max="11" width="18.85546875" style="1" customWidth="1"/>
    <col min="12" max="12" width="17.5703125" style="1" customWidth="1"/>
    <col min="13" max="13" width="9.140625" style="1" customWidth="1"/>
    <col min="14" max="20" width="9.140625" style="1"/>
    <col min="21" max="21" width="81.57031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605" t="s">
        <v>21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6" t="s">
        <v>0</v>
      </c>
      <c r="N1" s="607"/>
      <c r="O1" s="607"/>
      <c r="P1" s="607"/>
      <c r="Q1" s="607"/>
      <c r="R1" s="607"/>
      <c r="S1" s="607"/>
      <c r="T1" s="607"/>
      <c r="U1" s="607"/>
      <c r="V1" s="608" t="s">
        <v>1</v>
      </c>
    </row>
    <row r="2" spans="1:27" ht="16.5" customHeight="1" x14ac:dyDescent="0.25">
      <c r="A2" s="609" t="s">
        <v>2</v>
      </c>
      <c r="B2" s="609" t="s">
        <v>3</v>
      </c>
      <c r="C2" s="609" t="s">
        <v>4</v>
      </c>
      <c r="D2" s="609" t="s">
        <v>5</v>
      </c>
      <c r="E2" s="609" t="s">
        <v>6</v>
      </c>
      <c r="F2" s="609" t="s">
        <v>7</v>
      </c>
      <c r="G2" s="609" t="s">
        <v>8</v>
      </c>
      <c r="H2" s="609"/>
      <c r="I2" s="609" t="s">
        <v>16</v>
      </c>
      <c r="J2" s="609"/>
      <c r="K2" s="609" t="s">
        <v>9</v>
      </c>
      <c r="L2" s="609"/>
      <c r="M2" s="607"/>
      <c r="N2" s="607"/>
      <c r="O2" s="607"/>
      <c r="P2" s="607"/>
      <c r="Q2" s="607"/>
      <c r="R2" s="607"/>
      <c r="S2" s="607"/>
      <c r="T2" s="607"/>
      <c r="U2" s="607"/>
      <c r="V2" s="608"/>
    </row>
    <row r="3" spans="1:27" ht="37.5" customHeight="1" x14ac:dyDescent="0.25">
      <c r="A3" s="609"/>
      <c r="B3" s="609"/>
      <c r="C3" s="609"/>
      <c r="D3" s="609"/>
      <c r="E3" s="609"/>
      <c r="F3" s="609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607"/>
      <c r="N3" s="607"/>
      <c r="O3" s="607"/>
      <c r="P3" s="607"/>
      <c r="Q3" s="607"/>
      <c r="R3" s="607"/>
      <c r="S3" s="607"/>
      <c r="T3" s="607"/>
      <c r="U3" s="607"/>
      <c r="V3" s="608"/>
    </row>
    <row r="4" spans="1:27" ht="18.75" x14ac:dyDescent="0.25">
      <c r="A4" s="2">
        <v>45901</v>
      </c>
      <c r="B4" s="9">
        <f>'0901分析標準表 '!$C$3:$C$3</f>
        <v>6002768.9400000004</v>
      </c>
      <c r="C4" s="10">
        <f>'0901分析標準表 '!$D$5</f>
        <v>14638.259999999998</v>
      </c>
      <c r="D4" s="14">
        <f t="shared" ref="D4" si="0">C4/B4</f>
        <v>2.4385846175848302E-3</v>
      </c>
      <c r="E4" s="9">
        <f>'0901分析標準表 '!$F$5</f>
        <v>47054.64</v>
      </c>
      <c r="F4" s="3">
        <f t="shared" ref="F4" si="1">E4/B4</f>
        <v>7.8388224618220932E-3</v>
      </c>
      <c r="G4" s="9">
        <f>'0901分析標準表 '!$H$5</f>
        <v>4785.1299999999992</v>
      </c>
      <c r="H4" s="3">
        <f t="shared" ref="H4:J4" si="2">G4/C4</f>
        <v>0.32689199399382163</v>
      </c>
      <c r="I4" s="11">
        <f>'0901分析標準表 '!$J$5</f>
        <v>15850.84</v>
      </c>
      <c r="J4" s="3">
        <f t="shared" si="2"/>
        <v>0.33686029688039265</v>
      </c>
      <c r="K4" s="9">
        <f>'0901分析標準表 '!$L$5</f>
        <v>6583.92</v>
      </c>
      <c r="L4" s="15">
        <f t="shared" ref="L4" si="3">K4/C4</f>
        <v>0.44977476831262736</v>
      </c>
      <c r="M4" s="604" t="s">
        <v>146</v>
      </c>
      <c r="N4" s="604"/>
      <c r="O4" s="604"/>
      <c r="P4" s="604"/>
      <c r="Q4" s="604"/>
      <c r="R4" s="604"/>
      <c r="S4" s="604"/>
      <c r="T4" s="604"/>
      <c r="U4" s="604"/>
      <c r="V4" s="12">
        <v>165</v>
      </c>
    </row>
    <row r="5" spans="1:27" ht="18.75" x14ac:dyDescent="0.25">
      <c r="A5" s="2">
        <f>A4+1</f>
        <v>45902</v>
      </c>
      <c r="B5" s="9">
        <f>'0902分析標準表 '!$C$3:$C$3</f>
        <v>6639488.3500000024</v>
      </c>
      <c r="C5" s="10">
        <f>'0902分析標準表 '!$D$5</f>
        <v>16262.180000000002</v>
      </c>
      <c r="D5" s="14">
        <f t="shared" ref="D5" si="4">C5/B5</f>
        <v>2.4493122275001801E-3</v>
      </c>
      <c r="E5" s="9">
        <f>'0902分析標準表 '!$F$5</f>
        <v>51882.13</v>
      </c>
      <c r="F5" s="3">
        <f t="shared" ref="F5" si="5">E5/B5</f>
        <v>7.8141759221552025E-3</v>
      </c>
      <c r="G5" s="9">
        <f>'0902分析標準表 '!$H$5</f>
        <v>5042.42</v>
      </c>
      <c r="H5" s="3">
        <f t="shared" ref="H5" si="6">G5/C5</f>
        <v>0.31007035957048806</v>
      </c>
      <c r="I5" s="11">
        <f>'0902分析標準表 '!$J$5</f>
        <v>18567.52</v>
      </c>
      <c r="J5" s="3">
        <f t="shared" ref="J5" si="7">I5/E5</f>
        <v>0.35787890743884265</v>
      </c>
      <c r="K5" s="9">
        <f>'0902分析標準表 '!$L$5</f>
        <v>7506.82</v>
      </c>
      <c r="L5" s="15">
        <f t="shared" ref="L5" si="8">K5/C5</f>
        <v>0.4616121577795842</v>
      </c>
      <c r="M5" s="604" t="s">
        <v>273</v>
      </c>
      <c r="N5" s="604"/>
      <c r="O5" s="604"/>
      <c r="P5" s="604"/>
      <c r="Q5" s="604"/>
      <c r="R5" s="604"/>
      <c r="S5" s="604"/>
      <c r="T5" s="604"/>
      <c r="U5" s="604"/>
      <c r="V5" s="12">
        <v>178</v>
      </c>
    </row>
    <row r="6" spans="1:27" ht="18.75" x14ac:dyDescent="0.25">
      <c r="A6" s="2">
        <f t="shared" ref="A6:A33" si="9">A5+1</f>
        <v>45903</v>
      </c>
      <c r="B6" s="9">
        <f>'0903分析標準表 '!$C$3:$C$3</f>
        <v>6228436.4100000011</v>
      </c>
      <c r="C6" s="10">
        <f>'0903分析標準表 '!$D$5</f>
        <v>15219.379999999997</v>
      </c>
      <c r="D6" s="14">
        <f t="shared" ref="D6" si="10">C6/B6</f>
        <v>2.4435314095147026E-3</v>
      </c>
      <c r="E6" s="9">
        <f>'0903分析標準表 '!$F$5</f>
        <v>47136.369999999995</v>
      </c>
      <c r="F6" s="3">
        <f t="shared" ref="F6" si="11">E6/B6</f>
        <v>7.5679298779258129E-3</v>
      </c>
      <c r="G6" s="9">
        <f>'0903分析標準表 '!$H$5</f>
        <v>5276.32</v>
      </c>
      <c r="H6" s="3">
        <f t="shared" ref="H6" si="12">G6/C6</f>
        <v>0.34668429331549649</v>
      </c>
      <c r="I6" s="11">
        <f>'0903分析標準表 '!$J$5</f>
        <v>19380.36</v>
      </c>
      <c r="J6" s="3">
        <f t="shared" ref="J6" si="13">I6/E6</f>
        <v>0.41115512289130457</v>
      </c>
      <c r="K6" s="9">
        <f>'0903分析標準表 '!$L$5</f>
        <v>5632.2900000000009</v>
      </c>
      <c r="L6" s="15">
        <f t="shared" ref="L6" si="14">K6/C6</f>
        <v>0.37007355095936906</v>
      </c>
      <c r="M6" s="604" t="s">
        <v>274</v>
      </c>
      <c r="N6" s="604"/>
      <c r="O6" s="604"/>
      <c r="P6" s="604"/>
      <c r="Q6" s="604"/>
      <c r="R6" s="604"/>
      <c r="S6" s="604"/>
      <c r="T6" s="604"/>
      <c r="U6" s="604"/>
      <c r="V6" s="12">
        <v>178</v>
      </c>
    </row>
    <row r="7" spans="1:27" ht="18.75" x14ac:dyDescent="0.25">
      <c r="A7" s="2">
        <f t="shared" si="9"/>
        <v>45904</v>
      </c>
      <c r="B7" s="9">
        <f>'0904分析標準表 '!$C$3:$C$3</f>
        <v>5632441.8300000001</v>
      </c>
      <c r="C7" s="10">
        <f>'0904分析標準表 '!$D$5</f>
        <v>13697.77</v>
      </c>
      <c r="D7" s="14">
        <f t="shared" ref="D7" si="15">C7/B7</f>
        <v>2.4319416717349393E-3</v>
      </c>
      <c r="E7" s="9">
        <f>'0904分析標準表 '!$F$5</f>
        <v>43770.74000000002</v>
      </c>
      <c r="F7" s="3">
        <f t="shared" ref="F7" si="16">E7/B7</f>
        <v>7.7711836750562618E-3</v>
      </c>
      <c r="G7" s="9">
        <f>'0904分析標準表 '!$H$5</f>
        <v>4621.4400000000005</v>
      </c>
      <c r="H7" s="3">
        <f t="shared" ref="H7" si="17">G7/C7</f>
        <v>0.33738630448605872</v>
      </c>
      <c r="I7" s="11">
        <f>'0904分析標準表 '!$J$5</f>
        <v>20127.53</v>
      </c>
      <c r="J7" s="3">
        <f t="shared" ref="J7" si="18">I7/E7</f>
        <v>0.45983983821155389</v>
      </c>
      <c r="K7" s="9">
        <f>'0904分析標準表 '!$L$5</f>
        <v>6577.6599999999989</v>
      </c>
      <c r="L7" s="15">
        <f t="shared" ref="L7" si="19">K7/C7</f>
        <v>0.48019933171603835</v>
      </c>
      <c r="M7" s="604" t="s">
        <v>379</v>
      </c>
      <c r="N7" s="604"/>
      <c r="O7" s="604"/>
      <c r="P7" s="604"/>
      <c r="Q7" s="604"/>
      <c r="R7" s="604"/>
      <c r="S7" s="604"/>
      <c r="T7" s="604"/>
      <c r="U7" s="604"/>
      <c r="V7" s="12">
        <v>174</v>
      </c>
    </row>
    <row r="8" spans="1:27" ht="18.75" x14ac:dyDescent="0.25">
      <c r="A8" s="2">
        <f t="shared" si="9"/>
        <v>45905</v>
      </c>
      <c r="B8" s="9">
        <f>'0905分析標準表 '!$C$3:$C$3</f>
        <v>4472238.97</v>
      </c>
      <c r="C8" s="10">
        <f>'0905分析標準表 '!$D$5</f>
        <v>10742.350000000004</v>
      </c>
      <c r="D8" s="14">
        <f t="shared" ref="D8" si="20">C8/B8</f>
        <v>2.4020071539245149E-3</v>
      </c>
      <c r="E8" s="9">
        <f>'0905分析標準表 '!$F$5</f>
        <v>34687.799999999996</v>
      </c>
      <c r="F8" s="3">
        <f t="shared" ref="F8" si="21">E8/B8</f>
        <v>7.756249214920641E-3</v>
      </c>
      <c r="G8" s="9">
        <f>'0905分析標準表 '!$H$5</f>
        <v>3585.64</v>
      </c>
      <c r="H8" s="3">
        <f t="shared" ref="H8" si="22">G8/C8</f>
        <v>0.33378543800937399</v>
      </c>
      <c r="I8" s="11">
        <f>'0905分析標準表 '!$J$5</f>
        <v>15067.87</v>
      </c>
      <c r="J8" s="3">
        <f t="shared" ref="J8" si="23">I8/E8</f>
        <v>0.43438528819930933</v>
      </c>
      <c r="K8" s="9">
        <f>'0905分析標準表 '!$L$5</f>
        <v>4360.6599999999989</v>
      </c>
      <c r="L8" s="15">
        <f t="shared" ref="L8" si="24">K8/C8</f>
        <v>0.40593166299738859</v>
      </c>
      <c r="M8" s="604" t="s">
        <v>380</v>
      </c>
      <c r="N8" s="604"/>
      <c r="O8" s="604"/>
      <c r="P8" s="604"/>
      <c r="Q8" s="604"/>
      <c r="R8" s="604"/>
      <c r="S8" s="604"/>
      <c r="T8" s="604"/>
      <c r="U8" s="604"/>
      <c r="V8" s="12">
        <v>174</v>
      </c>
      <c r="Y8" s="4"/>
      <c r="Z8" s="4"/>
    </row>
    <row r="9" spans="1:27" ht="18.75" x14ac:dyDescent="0.25">
      <c r="A9" s="2">
        <f t="shared" si="9"/>
        <v>45906</v>
      </c>
      <c r="B9" s="9">
        <f>'0906分析標準表 '!$C$3:$C$3</f>
        <v>4788156.05</v>
      </c>
      <c r="C9" s="10">
        <f>'0906分析標準表 '!$D$5</f>
        <v>11490.16</v>
      </c>
      <c r="D9" s="14">
        <f t="shared" ref="D9" si="25">C9/B9</f>
        <v>2.3997045793860456E-3</v>
      </c>
      <c r="E9" s="9">
        <f>'0906分析標準表 '!$F$5</f>
        <v>37827.680000000022</v>
      </c>
      <c r="F9" s="3">
        <f t="shared" ref="F9" si="26">E9/B9</f>
        <v>7.9002604770995345E-3</v>
      </c>
      <c r="G9" s="9">
        <f>'0906分析標準表 '!$H$5</f>
        <v>3417.04</v>
      </c>
      <c r="H9" s="3">
        <f t="shared" ref="H9" si="27">G9/C9</f>
        <v>0.29738837405223251</v>
      </c>
      <c r="I9" s="11">
        <f>'0906分析標準表 '!$J$5</f>
        <v>14348.1</v>
      </c>
      <c r="J9" s="3">
        <f t="shared" ref="J9" si="28">I9/E9</f>
        <v>0.37930161194130835</v>
      </c>
      <c r="K9" s="9">
        <f>'0906分析標準表 '!$L$5</f>
        <v>4562.0599999999986</v>
      </c>
      <c r="L9" s="15">
        <f t="shared" ref="L9" si="29">K9/C9</f>
        <v>0.39704059821621274</v>
      </c>
      <c r="M9" s="604" t="s">
        <v>380</v>
      </c>
      <c r="N9" s="604"/>
      <c r="O9" s="604"/>
      <c r="P9" s="604"/>
      <c r="Q9" s="604"/>
      <c r="R9" s="604"/>
      <c r="S9" s="604"/>
      <c r="T9" s="604"/>
      <c r="U9" s="604"/>
      <c r="V9" s="12">
        <v>174</v>
      </c>
    </row>
    <row r="10" spans="1:27" ht="18.75" x14ac:dyDescent="0.25">
      <c r="A10" s="2">
        <f t="shared" si="9"/>
        <v>45907</v>
      </c>
      <c r="B10" s="9">
        <f>'0907分析標準表 '!$C$3:$C$3</f>
        <v>6259452.2499999981</v>
      </c>
      <c r="C10" s="10">
        <f>'0907分析標準表 '!$D$5</f>
        <v>15270.669999999995</v>
      </c>
      <c r="D10" s="14">
        <f t="shared" ref="D10" si="30">C10/B10</f>
        <v>2.4396176198963732E-3</v>
      </c>
      <c r="E10" s="9">
        <f>'0907分析標準表 '!$F$5</f>
        <v>48749.270000000019</v>
      </c>
      <c r="F10" s="3">
        <f t="shared" ref="F10" si="31">E10/B10</f>
        <v>7.7881047818521235E-3</v>
      </c>
      <c r="G10" s="9">
        <f>'0907分析標準表 '!$H$5</f>
        <v>4584.7599999999993</v>
      </c>
      <c r="H10" s="3">
        <f t="shared" ref="H10" si="32">G10/C10</f>
        <v>0.3002330611557974</v>
      </c>
      <c r="I10" s="11">
        <f>'0907分析標準表 '!$J$5</f>
        <v>21761.21</v>
      </c>
      <c r="J10" s="3">
        <f t="shared" ref="J10" si="33">I10/E10</f>
        <v>0.44639047928307418</v>
      </c>
      <c r="K10" s="9">
        <f>'0907分析標準表 '!$L$5</f>
        <v>4706.2600000000011</v>
      </c>
      <c r="L10" s="15">
        <f t="shared" ref="L10" si="34">K10/C10</f>
        <v>0.30818949004857044</v>
      </c>
      <c r="M10" s="610" t="s">
        <v>381</v>
      </c>
      <c r="N10" s="611"/>
      <c r="O10" s="611"/>
      <c r="P10" s="611"/>
      <c r="Q10" s="611"/>
      <c r="R10" s="611"/>
      <c r="S10" s="611"/>
      <c r="T10" s="611"/>
      <c r="U10" s="612"/>
      <c r="V10" s="12">
        <v>174</v>
      </c>
    </row>
    <row r="11" spans="1:27" ht="18.75" x14ac:dyDescent="0.25">
      <c r="A11" s="2">
        <f t="shared" si="9"/>
        <v>45908</v>
      </c>
      <c r="B11" s="9">
        <f>'0908分析標準表 '!$C$3:$C$3</f>
        <v>6172069</v>
      </c>
      <c r="C11" s="10">
        <f>'0908分析標準表 '!$D$5</f>
        <v>15101.960000000003</v>
      </c>
      <c r="D11" s="14">
        <f t="shared" ref="D11" si="35">C11/B11</f>
        <v>2.4468229373326841E-3</v>
      </c>
      <c r="E11" s="9">
        <f>'0908分析標準表 '!$F$5</f>
        <v>48706.270000000004</v>
      </c>
      <c r="F11" s="3">
        <f t="shared" ref="F11" si="36">E11/B11</f>
        <v>7.8914007604257187E-3</v>
      </c>
      <c r="G11" s="9">
        <f>'0908分析標準表 '!$H$5</f>
        <v>5091.8899999999994</v>
      </c>
      <c r="H11" s="3">
        <f t="shared" ref="H11" si="37">G11/C11</f>
        <v>0.33716749349091102</v>
      </c>
      <c r="I11" s="11">
        <f>'0908分析標準表 '!$J$5</f>
        <v>22167.919999999998</v>
      </c>
      <c r="J11" s="3">
        <f t="shared" ref="J11" si="38">I11/E11</f>
        <v>0.45513483171673785</v>
      </c>
      <c r="K11" s="9">
        <f>'0908分析標準表 '!$L$5</f>
        <v>6595.1400000000012</v>
      </c>
      <c r="L11" s="15">
        <f t="shared" ref="L11" si="39">K11/C11</f>
        <v>0.43670755319177113</v>
      </c>
      <c r="M11" s="604" t="s">
        <v>442</v>
      </c>
      <c r="N11" s="604"/>
      <c r="O11" s="604"/>
      <c r="P11" s="604"/>
      <c r="Q11" s="604"/>
      <c r="R11" s="604"/>
      <c r="S11" s="604"/>
      <c r="T11" s="604"/>
      <c r="U11" s="604"/>
      <c r="V11" s="12">
        <v>174</v>
      </c>
    </row>
    <row r="12" spans="1:27" ht="18.75" x14ac:dyDescent="0.25">
      <c r="A12" s="2">
        <f t="shared" si="9"/>
        <v>45909</v>
      </c>
      <c r="B12" s="9">
        <f>'0909分析標準表 '!$C$3:$C$3</f>
        <v>5945144.4500000002</v>
      </c>
      <c r="C12" s="10">
        <f>'0909分析標準表 '!$D$5</f>
        <v>14548.479999999996</v>
      </c>
      <c r="D12" s="14">
        <f t="shared" ref="D12" si="40">C12/B12</f>
        <v>2.447119682684917E-3</v>
      </c>
      <c r="E12" s="9">
        <f>'0909分析標準表 '!$F$5</f>
        <v>46684.900000000045</v>
      </c>
      <c r="F12" s="3">
        <f t="shared" ref="F12" si="41">E12/B12</f>
        <v>7.8526098722462561E-3</v>
      </c>
      <c r="G12" s="9">
        <f>'0909分析標準表 '!$H$5</f>
        <v>4516.7199999999993</v>
      </c>
      <c r="H12" s="3">
        <f t="shared" ref="H12" si="42">G12/C12</f>
        <v>0.31045992433573821</v>
      </c>
      <c r="I12" s="11">
        <f>'0909分析標準表 '!$J$5</f>
        <v>18353.61</v>
      </c>
      <c r="J12" s="3">
        <f t="shared" ref="J12" si="43">I12/E12</f>
        <v>0.39313803820935639</v>
      </c>
      <c r="K12" s="9">
        <f>'0909分析標準表 '!$L$5</f>
        <v>5807.0999999999995</v>
      </c>
      <c r="L12" s="15">
        <f t="shared" ref="L12" si="44">K12/C12</f>
        <v>0.39915510073904636</v>
      </c>
      <c r="M12" s="604" t="s">
        <v>380</v>
      </c>
      <c r="N12" s="604"/>
      <c r="O12" s="604"/>
      <c r="P12" s="604"/>
      <c r="Q12" s="604"/>
      <c r="R12" s="604"/>
      <c r="S12" s="604"/>
      <c r="T12" s="604"/>
      <c r="U12" s="604"/>
      <c r="V12" s="12">
        <v>174</v>
      </c>
    </row>
    <row r="13" spans="1:27" ht="18.75" x14ac:dyDescent="0.25">
      <c r="A13" s="2">
        <f t="shared" si="9"/>
        <v>45910</v>
      </c>
      <c r="B13" s="9">
        <f>'0910分析標準表 '!$C$3:$C$3</f>
        <v>5803938.3200000003</v>
      </c>
      <c r="C13" s="10">
        <f>'0910分析標準表 '!$D$5</f>
        <v>14217.509999999997</v>
      </c>
      <c r="D13" s="14">
        <f t="shared" ref="D13" si="45">C13/B13</f>
        <v>2.4496314771312033E-3</v>
      </c>
      <c r="E13" s="9">
        <f>'0910分析標準表 '!$F$5</f>
        <v>46279.44999999999</v>
      </c>
      <c r="F13" s="3">
        <f t="shared" ref="F13" si="46">E13/B13</f>
        <v>7.9738011412912452E-3</v>
      </c>
      <c r="G13" s="9">
        <f>'0910分析標準表 '!$H$5</f>
        <v>4922.4799999999996</v>
      </c>
      <c r="H13" s="3">
        <f t="shared" ref="H13" si="47">G13/C13</f>
        <v>0.34622658960675962</v>
      </c>
      <c r="I13" s="11">
        <f>'0910分析標準表 '!$J$5</f>
        <v>22167.919999999998</v>
      </c>
      <c r="J13" s="3">
        <f t="shared" ref="J13" si="48">I13/E13</f>
        <v>0.4790013710188864</v>
      </c>
      <c r="K13" s="9">
        <f>'0910分析標準表 '!$L$5</f>
        <v>6156.1999999999989</v>
      </c>
      <c r="L13" s="15">
        <f t="shared" ref="L13" si="49">K13/C13</f>
        <v>0.43300127800156291</v>
      </c>
      <c r="M13" s="604" t="s">
        <v>620</v>
      </c>
      <c r="N13" s="604"/>
      <c r="O13" s="604"/>
      <c r="P13" s="604"/>
      <c r="Q13" s="604"/>
      <c r="R13" s="604"/>
      <c r="S13" s="604"/>
      <c r="T13" s="604"/>
      <c r="U13" s="604"/>
      <c r="V13" s="12">
        <v>174</v>
      </c>
    </row>
    <row r="14" spans="1:27" ht="18.75" x14ac:dyDescent="0.25">
      <c r="A14" s="2">
        <f t="shared" si="9"/>
        <v>45911</v>
      </c>
      <c r="B14" s="9">
        <f>'0911分析標準表 '!$C$3:$C$3</f>
        <v>5409403.6100000003</v>
      </c>
      <c r="C14" s="10">
        <f>'0911分析標準表 '!$D$5</f>
        <v>13174.849999999999</v>
      </c>
      <c r="D14" s="14">
        <f t="shared" ref="D14:D15" si="50">C14/B14</f>
        <v>2.4355457551077423E-3</v>
      </c>
      <c r="E14" s="9">
        <f>'0911分析標準表 '!$F$5</f>
        <v>43256.479999999981</v>
      </c>
      <c r="F14" s="3">
        <f t="shared" ref="F14:F15" si="51">E14/B14</f>
        <v>7.9965340208733252E-3</v>
      </c>
      <c r="G14" s="9">
        <f>'0911分析標準表 '!$H$5</f>
        <v>4031.6799999999994</v>
      </c>
      <c r="H14" s="3">
        <f t="shared" ref="H14:H15" si="52">G14/C14</f>
        <v>0.30601335119564926</v>
      </c>
      <c r="I14" s="11">
        <f>'0911分析標準表 '!$J$5</f>
        <v>18960.46</v>
      </c>
      <c r="J14" s="3">
        <f t="shared" ref="J14:J15" si="53">I14/E14</f>
        <v>0.43832646576882833</v>
      </c>
      <c r="K14" s="9">
        <f>'0911分析標準表 '!$L$5</f>
        <v>5740.0500000000011</v>
      </c>
      <c r="L14" s="15">
        <f t="shared" ref="L14:L15" si="54">K14/C14</f>
        <v>0.43568237968553736</v>
      </c>
      <c r="M14" s="604" t="s">
        <v>379</v>
      </c>
      <c r="N14" s="604"/>
      <c r="O14" s="604"/>
      <c r="P14" s="604"/>
      <c r="Q14" s="604"/>
      <c r="R14" s="604"/>
      <c r="S14" s="604"/>
      <c r="T14" s="604"/>
      <c r="U14" s="604"/>
      <c r="V14" s="12">
        <v>174</v>
      </c>
    </row>
    <row r="15" spans="1:27" ht="18.75" x14ac:dyDescent="0.25">
      <c r="A15" s="2">
        <f t="shared" si="9"/>
        <v>45912</v>
      </c>
      <c r="B15" s="9">
        <f>'0912分析標準表 '!$C$3:$C$3</f>
        <v>4572248.96</v>
      </c>
      <c r="C15" s="10">
        <f>'0912分析標準表 '!$D$5</f>
        <v>11169.539999999999</v>
      </c>
      <c r="D15" s="14">
        <f t="shared" si="50"/>
        <v>2.4428984724401358E-3</v>
      </c>
      <c r="E15" s="9">
        <f>'0912分析標準表 '!$F$5</f>
        <v>34705.800000000003</v>
      </c>
      <c r="F15" s="3">
        <f t="shared" si="51"/>
        <v>7.5905315532074618E-3</v>
      </c>
      <c r="G15" s="9">
        <f>'0912分析標準表 '!$H$5</f>
        <v>3939.91</v>
      </c>
      <c r="H15" s="3">
        <f t="shared" si="52"/>
        <v>0.35273699722638535</v>
      </c>
      <c r="I15" s="11">
        <f>'0912分析標準表 '!$J$5</f>
        <v>11846.59</v>
      </c>
      <c r="J15" s="3">
        <f t="shared" si="53"/>
        <v>0.34134323369580877</v>
      </c>
      <c r="K15" s="9">
        <f>'0912分析標準表 '!$L$5</f>
        <v>4417.4199999999992</v>
      </c>
      <c r="L15" s="15">
        <f t="shared" si="54"/>
        <v>0.39548808634912447</v>
      </c>
      <c r="M15" s="604" t="s">
        <v>381</v>
      </c>
      <c r="N15" s="604"/>
      <c r="O15" s="604"/>
      <c r="P15" s="604"/>
      <c r="Q15" s="604"/>
      <c r="R15" s="604"/>
      <c r="S15" s="604"/>
      <c r="T15" s="604"/>
      <c r="U15" s="604"/>
      <c r="V15" s="12">
        <v>168</v>
      </c>
      <c r="Y15" s="5"/>
      <c r="Z15" s="5"/>
      <c r="AA15" s="5"/>
    </row>
    <row r="16" spans="1:27" ht="18.75" x14ac:dyDescent="0.25">
      <c r="A16" s="2">
        <f t="shared" si="9"/>
        <v>45913</v>
      </c>
      <c r="B16" s="9">
        <f>'0913分析標準表 '!$C$3:$C$3</f>
        <v>4851151.87</v>
      </c>
      <c r="C16" s="10">
        <f>'0913分析標準表 '!$D$5</f>
        <v>11694.87</v>
      </c>
      <c r="D16" s="14">
        <f t="shared" ref="D16" si="55">C16/B16</f>
        <v>2.4107408535944271E-3</v>
      </c>
      <c r="E16" s="9">
        <f>'0913分析標準表 '!$F$5</f>
        <v>38597.409999999996</v>
      </c>
      <c r="F16" s="3">
        <f t="shared" ref="F16" si="56">E16/B16</f>
        <v>7.9563392436114346E-3</v>
      </c>
      <c r="G16" s="9">
        <f>'0913分析標準表 '!$H$5</f>
        <v>5542.9000000000005</v>
      </c>
      <c r="H16" s="3">
        <f t="shared" ref="H16" si="57">G16/C16</f>
        <v>0.4739599499609658</v>
      </c>
      <c r="I16" s="11">
        <f>'0913分析標準表 '!$J$5</f>
        <v>13624.790000000003</v>
      </c>
      <c r="J16" s="3">
        <f t="shared" ref="J16" si="58">I16/E16</f>
        <v>0.35299751978176785</v>
      </c>
      <c r="K16" s="9">
        <f>'0913分析標準表 '!$L$5</f>
        <v>3831.6899999999991</v>
      </c>
      <c r="L16" s="15">
        <f t="shared" ref="L16" si="59">K16/C16</f>
        <v>0.32763852868821963</v>
      </c>
      <c r="M16" s="604" t="s">
        <v>621</v>
      </c>
      <c r="N16" s="604"/>
      <c r="O16" s="604"/>
      <c r="P16" s="604"/>
      <c r="Q16" s="604"/>
      <c r="R16" s="604"/>
      <c r="S16" s="604"/>
      <c r="T16" s="604"/>
      <c r="U16" s="604"/>
      <c r="V16" s="12">
        <v>168</v>
      </c>
    </row>
    <row r="17" spans="1:26" ht="18.75" x14ac:dyDescent="0.25">
      <c r="A17" s="2">
        <f t="shared" si="9"/>
        <v>45914</v>
      </c>
      <c r="B17" s="9">
        <f>'0914分析標準表 '!$C$3:$C$3</f>
        <v>6253868.8200000003</v>
      </c>
      <c r="C17" s="10">
        <f>'0914分析標準表 '!$D$5</f>
        <v>15093.100000000002</v>
      </c>
      <c r="D17" s="14">
        <f t="shared" ref="D17:D18" si="60">C17/B17</f>
        <v>2.4134020770841817E-3</v>
      </c>
      <c r="E17" s="9">
        <f>'0914分析標準表 '!$F$5</f>
        <v>47716.809999999983</v>
      </c>
      <c r="F17" s="3">
        <f t="shared" ref="F17:F18" si="61">E17/B17</f>
        <v>7.6299665652404874E-3</v>
      </c>
      <c r="G17" s="9">
        <f>'0914分析標準表 '!$H$5</f>
        <v>5946.23</v>
      </c>
      <c r="H17" s="3">
        <f t="shared" ref="H17:H18" si="62">G17/C17</f>
        <v>0.39397009229382957</v>
      </c>
      <c r="I17" s="11">
        <f>'0914分析標準表 '!$J$5</f>
        <v>24315.37</v>
      </c>
      <c r="J17" s="3">
        <f t="shared" ref="J17:J18" si="63">I17/E17</f>
        <v>0.50957660413594308</v>
      </c>
      <c r="K17" s="9">
        <f>'0914分析標準表 '!$L$5</f>
        <v>5278.0000000000009</v>
      </c>
      <c r="L17" s="15">
        <f t="shared" ref="L17:L18" si="64">K17/C17</f>
        <v>0.34969621880196911</v>
      </c>
      <c r="M17" s="604" t="s">
        <v>622</v>
      </c>
      <c r="N17" s="604"/>
      <c r="O17" s="604"/>
      <c r="P17" s="604"/>
      <c r="Q17" s="604"/>
      <c r="R17" s="604"/>
      <c r="S17" s="604"/>
      <c r="T17" s="604"/>
      <c r="U17" s="604"/>
      <c r="V17" s="12">
        <v>163</v>
      </c>
      <c r="Y17" s="6"/>
      <c r="Z17" s="6"/>
    </row>
    <row r="18" spans="1:26" ht="18.75" x14ac:dyDescent="0.25">
      <c r="A18" s="2">
        <f t="shared" si="9"/>
        <v>45915</v>
      </c>
      <c r="B18" s="9">
        <f>'0915分析標準表 '!$C$3:$C$3</f>
        <v>6231365.4199999999</v>
      </c>
      <c r="C18" s="10">
        <f>'0915分析標準表 '!$D$5</f>
        <v>15102.440000000002</v>
      </c>
      <c r="D18" s="14">
        <f t="shared" si="60"/>
        <v>2.4236164920657154E-3</v>
      </c>
      <c r="E18" s="9">
        <f>'0915分析標準表 '!$F$5</f>
        <v>47950.77</v>
      </c>
      <c r="F18" s="3">
        <f t="shared" si="61"/>
        <v>7.6950662925494104E-3</v>
      </c>
      <c r="G18" s="9">
        <f>'0915分析標準表 '!$H$5</f>
        <v>5807.3200000000006</v>
      </c>
      <c r="H18" s="3">
        <f t="shared" si="62"/>
        <v>0.38452859273071105</v>
      </c>
      <c r="I18" s="11">
        <f>'0915分析標準表 '!$J$5</f>
        <v>26383.560000000005</v>
      </c>
      <c r="J18" s="3">
        <f t="shared" si="63"/>
        <v>0.55022182125542518</v>
      </c>
      <c r="K18" s="9">
        <f>'0915分析標準表 '!$L$5</f>
        <v>6462.9900000000007</v>
      </c>
      <c r="L18" s="15">
        <f t="shared" si="64"/>
        <v>0.42794343165740101</v>
      </c>
      <c r="M18" s="610" t="s">
        <v>274</v>
      </c>
      <c r="N18" s="611"/>
      <c r="O18" s="611"/>
      <c r="P18" s="611"/>
      <c r="Q18" s="611"/>
      <c r="R18" s="611"/>
      <c r="S18" s="611"/>
      <c r="T18" s="611"/>
      <c r="U18" s="612"/>
      <c r="V18" s="12">
        <v>163</v>
      </c>
    </row>
    <row r="19" spans="1:26" ht="18.75" x14ac:dyDescent="0.25">
      <c r="A19" s="2">
        <f t="shared" si="9"/>
        <v>45916</v>
      </c>
      <c r="B19" s="9">
        <f>'0916分析標準表 '!$C$3:$C$3</f>
        <v>6265697.0700000003</v>
      </c>
      <c r="C19" s="10">
        <f>'0916分析標準表 '!$D$5</f>
        <v>15335.710000000001</v>
      </c>
      <c r="D19" s="14">
        <f t="shared" ref="D19" si="65">C19/B19</f>
        <v>2.4475664604704547E-3</v>
      </c>
      <c r="E19" s="9">
        <f>'0916分析標準表 '!$F$5</f>
        <v>48098.490000000005</v>
      </c>
      <c r="F19" s="3">
        <f t="shared" ref="F19" si="66">E19/B19</f>
        <v>7.6764786842783003E-3</v>
      </c>
      <c r="G19" s="9">
        <f>'0916分析標準表 '!$H$5</f>
        <v>5825</v>
      </c>
      <c r="H19" s="3">
        <f t="shared" ref="H19" si="67">G19/C19</f>
        <v>0.37983243032112629</v>
      </c>
      <c r="I19" s="11">
        <f>'0916分析標準表 '!$J$5</f>
        <v>20638.819999999996</v>
      </c>
      <c r="J19" s="3">
        <f t="shared" ref="J19" si="68">I19/E19</f>
        <v>0.42909496743037034</v>
      </c>
      <c r="K19" s="9">
        <f>'0916分析標準表 '!$L$5</f>
        <v>7325.93</v>
      </c>
      <c r="L19" s="15">
        <f t="shared" ref="L19" si="69">K19/C19</f>
        <v>0.47770399935836033</v>
      </c>
      <c r="M19" s="610" t="s">
        <v>664</v>
      </c>
      <c r="N19" s="611"/>
      <c r="O19" s="611"/>
      <c r="P19" s="611"/>
      <c r="Q19" s="611"/>
      <c r="R19" s="611"/>
      <c r="S19" s="611"/>
      <c r="T19" s="611"/>
      <c r="U19" s="612"/>
      <c r="V19" s="12">
        <v>168</v>
      </c>
    </row>
    <row r="20" spans="1:26" ht="18.75" x14ac:dyDescent="0.25">
      <c r="A20" s="2">
        <f t="shared" si="9"/>
        <v>45917</v>
      </c>
      <c r="B20" s="9">
        <f>'0917分析標準表 '!$C$3:$C$3</f>
        <v>6072276.2599999998</v>
      </c>
      <c r="C20" s="10">
        <f>'0917分析標準表 '!$D$5</f>
        <v>14879.510000000002</v>
      </c>
      <c r="D20" s="14">
        <f t="shared" ref="D20" si="70">C20/B20</f>
        <v>2.4504007003133292E-3</v>
      </c>
      <c r="E20" s="9">
        <f>'0917分析標準表 '!$F$5</f>
        <v>45707.799999999981</v>
      </c>
      <c r="F20" s="3">
        <f t="shared" ref="F20" si="71">E20/B20</f>
        <v>7.5272925741359442E-3</v>
      </c>
      <c r="G20" s="9">
        <f>'0917分析標準表 '!$H$5</f>
        <v>5611.95</v>
      </c>
      <c r="H20" s="3">
        <f t="shared" ref="H20" si="72">G20/C20</f>
        <v>0.37715959732544951</v>
      </c>
      <c r="I20" s="11">
        <f>'0917分析標準表 '!$J$5</f>
        <v>16065.099999999997</v>
      </c>
      <c r="J20" s="3">
        <f t="shared" ref="J20" si="73">I20/E20</f>
        <v>0.35147392786351572</v>
      </c>
      <c r="K20" s="9">
        <f>'0917分析標準表 '!$L$5</f>
        <v>4588.3599999999979</v>
      </c>
      <c r="L20" s="15">
        <f t="shared" ref="L20" si="74">K20/C20</f>
        <v>0.30836768146262861</v>
      </c>
      <c r="M20" s="610" t="s">
        <v>621</v>
      </c>
      <c r="N20" s="611"/>
      <c r="O20" s="611"/>
      <c r="P20" s="611"/>
      <c r="Q20" s="611"/>
      <c r="R20" s="611"/>
      <c r="S20" s="611"/>
      <c r="T20" s="611"/>
      <c r="U20" s="612"/>
      <c r="V20" s="12">
        <v>168</v>
      </c>
    </row>
    <row r="21" spans="1:26" ht="18.75" x14ac:dyDescent="0.25">
      <c r="A21" s="2">
        <f t="shared" si="9"/>
        <v>45918</v>
      </c>
      <c r="B21" s="9">
        <f>'0918分析標準表 '!$C$3:$C$3</f>
        <v>5709151.7199999997</v>
      </c>
      <c r="C21" s="10">
        <f>'0918分析標準表 '!$D$5</f>
        <v>13988.339999999993</v>
      </c>
      <c r="D21" s="14">
        <f t="shared" ref="D21" si="75">C21/B21</f>
        <v>2.4501608445606335E-3</v>
      </c>
      <c r="E21" s="9">
        <f>'0918分析標準表 '!$F$5</f>
        <v>42117.219999999987</v>
      </c>
      <c r="F21" s="3">
        <f t="shared" ref="F21" si="76">E21/B21</f>
        <v>7.3771414853904052E-3</v>
      </c>
      <c r="G21" s="9">
        <f>'0918分析標準表 '!$H$5</f>
        <v>5013.6399999999994</v>
      </c>
      <c r="H21" s="3">
        <f t="shared" ref="H21" si="77">G21/C21</f>
        <v>0.35841565189293384</v>
      </c>
      <c r="I21" s="11">
        <f>'0918分析標準表 '!$J$5</f>
        <v>16166.460000000001</v>
      </c>
      <c r="J21" s="3">
        <f t="shared" ref="J21" si="78">I21/E21</f>
        <v>0.38384442278004116</v>
      </c>
      <c r="K21" s="9">
        <f>'0918分析標準表 '!$L$5</f>
        <v>5812.9600000000009</v>
      </c>
      <c r="L21" s="15">
        <f t="shared" ref="L21" si="79">K21/C21</f>
        <v>0.41555752862741424</v>
      </c>
      <c r="M21" s="604" t="s">
        <v>380</v>
      </c>
      <c r="N21" s="604"/>
      <c r="O21" s="604"/>
      <c r="P21" s="604"/>
      <c r="Q21" s="604"/>
      <c r="R21" s="604"/>
      <c r="S21" s="604"/>
      <c r="T21" s="604"/>
      <c r="U21" s="604"/>
      <c r="V21" s="12">
        <v>168</v>
      </c>
    </row>
    <row r="22" spans="1:26" ht="18.75" x14ac:dyDescent="0.25">
      <c r="A22" s="2">
        <f t="shared" si="9"/>
        <v>45919</v>
      </c>
      <c r="B22" s="9">
        <f>'0919分析標準表 '!$C$3:$C$3</f>
        <v>4674568.32</v>
      </c>
      <c r="C22" s="10">
        <f>'0919分析標準表 '!$D$5</f>
        <v>11259.97</v>
      </c>
      <c r="D22" s="14">
        <f t="shared" ref="D22" si="80">C22/B22</f>
        <v>2.4087721537461664E-3</v>
      </c>
      <c r="E22" s="9">
        <f>'0919分析標準表 '!$F$5</f>
        <v>35142.329999999987</v>
      </c>
      <c r="F22" s="3">
        <f t="shared" ref="F22" si="81">E22/B22</f>
        <v>7.5177701114442124E-3</v>
      </c>
      <c r="G22" s="9">
        <f>'0919分析標準表 '!$H$5</f>
        <v>7911.7799999999988</v>
      </c>
      <c r="H22" s="3">
        <f t="shared" ref="H22" si="82">G22/C22</f>
        <v>0.70264663227344293</v>
      </c>
      <c r="I22" s="11">
        <f>'0919分析標準表 '!$J$5</f>
        <v>11626.099999999999</v>
      </c>
      <c r="J22" s="3">
        <f t="shared" ref="J22" si="83">I22/E22</f>
        <v>0.33082894617403008</v>
      </c>
      <c r="K22" s="9">
        <f>'0919分析標準表 '!$L$5</f>
        <v>8404.2899999999991</v>
      </c>
      <c r="L22" s="15">
        <f t="shared" ref="L22" si="84">K22/C22</f>
        <v>0.74638653566572555</v>
      </c>
      <c r="M22" s="604" t="s">
        <v>381</v>
      </c>
      <c r="N22" s="604"/>
      <c r="O22" s="604"/>
      <c r="P22" s="604"/>
      <c r="Q22" s="604"/>
      <c r="R22" s="604"/>
      <c r="S22" s="604"/>
      <c r="T22" s="604"/>
      <c r="U22" s="604"/>
      <c r="V22" s="12">
        <v>168</v>
      </c>
    </row>
    <row r="23" spans="1:26" ht="18.75" x14ac:dyDescent="0.25">
      <c r="A23" s="2">
        <f t="shared" si="9"/>
        <v>45920</v>
      </c>
      <c r="B23" s="9">
        <f>'0920分析標準表 '!$C$3:$C$3</f>
        <v>4900519.26</v>
      </c>
      <c r="C23" s="10">
        <f>'0920分析標準表 '!$D$5</f>
        <v>11821.340000000006</v>
      </c>
      <c r="D23" s="14">
        <f t="shared" ref="D23" si="85">C23/B23</f>
        <v>2.4122627364186722E-3</v>
      </c>
      <c r="E23" s="9">
        <f>'0920分析標準表 '!$F$5</f>
        <v>35740.400000000001</v>
      </c>
      <c r="F23" s="3">
        <f t="shared" ref="F23" si="86">E23/B23</f>
        <v>7.2931863143009057E-3</v>
      </c>
      <c r="G23" s="9">
        <f>'0920分析標準表 '!$H$5</f>
        <v>4332.34</v>
      </c>
      <c r="H23" s="3">
        <f t="shared" ref="H23" si="87">G23/C23</f>
        <v>0.36648467940182738</v>
      </c>
      <c r="I23" s="11">
        <f>'0920分析標準表 '!$J$5</f>
        <v>19739.989999999998</v>
      </c>
      <c r="J23" s="3">
        <f t="shared" ref="J23" si="88">I23/E23</f>
        <v>0.552315866638314</v>
      </c>
      <c r="K23" s="9">
        <f>'0920分析標準表 '!$L$5</f>
        <v>5762.6100000000006</v>
      </c>
      <c r="L23" s="15">
        <f t="shared" ref="L23" si="89">K23/C23</f>
        <v>0.48747519316761023</v>
      </c>
      <c r="M23" s="610" t="s">
        <v>381</v>
      </c>
      <c r="N23" s="611"/>
      <c r="O23" s="611"/>
      <c r="P23" s="611"/>
      <c r="Q23" s="611"/>
      <c r="R23" s="611"/>
      <c r="S23" s="611"/>
      <c r="T23" s="611"/>
      <c r="U23" s="612"/>
      <c r="V23" s="12">
        <v>168</v>
      </c>
    </row>
    <row r="24" spans="1:26" ht="18.75" x14ac:dyDescent="0.25">
      <c r="A24" s="2">
        <f t="shared" si="9"/>
        <v>45921</v>
      </c>
      <c r="B24" s="9">
        <f>'0921分析標準表 '!$C$3:$C$3</f>
        <v>6327228.8799999999</v>
      </c>
      <c r="C24" s="10">
        <f>'0921分析標準表 '!$D$5</f>
        <v>15236.53</v>
      </c>
      <c r="D24" s="14">
        <f t="shared" ref="D24" si="90">C24/B24</f>
        <v>2.4080889578946291E-3</v>
      </c>
      <c r="E24" s="9">
        <f>'0921分析標準表 '!$F$5</f>
        <v>47269.140000000014</v>
      </c>
      <c r="F24" s="3">
        <f t="shared" ref="F24" si="91">E24/B24</f>
        <v>7.4707491852262524E-3</v>
      </c>
      <c r="G24" s="9">
        <f>'0921分析標準表 '!$H$5</f>
        <v>5852.1599999999989</v>
      </c>
      <c r="H24" s="3">
        <f t="shared" ref="H24" si="92">G24/C24</f>
        <v>0.38408745298306102</v>
      </c>
      <c r="I24" s="11">
        <f>'0921分析標準表 '!$J$5</f>
        <v>29421.099999999995</v>
      </c>
      <c r="J24" s="3">
        <f t="shared" ref="J24" si="93">I24/E24</f>
        <v>0.62241665492539078</v>
      </c>
      <c r="K24" s="9">
        <f>'0921分析標準表 '!$L$5</f>
        <v>7145.8299999999981</v>
      </c>
      <c r="L24" s="15">
        <f t="shared" ref="L24" si="94">K24/C24</f>
        <v>0.46899326815226289</v>
      </c>
      <c r="M24" s="604" t="s">
        <v>621</v>
      </c>
      <c r="N24" s="604"/>
      <c r="O24" s="604"/>
      <c r="P24" s="604"/>
      <c r="Q24" s="604"/>
      <c r="R24" s="604"/>
      <c r="S24" s="604"/>
      <c r="T24" s="604"/>
      <c r="U24" s="604"/>
      <c r="V24" s="12">
        <v>168</v>
      </c>
    </row>
    <row r="25" spans="1:26" ht="18.75" x14ac:dyDescent="0.25">
      <c r="A25" s="2">
        <f t="shared" si="9"/>
        <v>45922</v>
      </c>
      <c r="B25" s="9">
        <f>'0922分析標準表 '!$C$3:$C$3</f>
        <v>6192295.3499999996</v>
      </c>
      <c r="C25" s="10">
        <f>'0922分析標準表 '!$D$5</f>
        <v>15139.460000000005</v>
      </c>
      <c r="D25" s="14">
        <f t="shared" ref="D25" si="95">C25/B25</f>
        <v>2.4448866121994659E-3</v>
      </c>
      <c r="E25" s="9">
        <f>'0922分析標準表 '!$F$5</f>
        <v>46173.88</v>
      </c>
      <c r="F25" s="3">
        <f t="shared" ref="F25" si="96">E25/B25</f>
        <v>7.4566662909578436E-3</v>
      </c>
      <c r="G25" s="9">
        <f>'0922分析標準表 '!$H$5</f>
        <v>6077.3899999999994</v>
      </c>
      <c r="H25" s="3">
        <f t="shared" ref="H25" si="97">G25/C25</f>
        <v>0.40142713148289288</v>
      </c>
      <c r="I25" s="11">
        <f>'0922分析標準表 '!$J$5</f>
        <v>26810.7</v>
      </c>
      <c r="J25" s="3">
        <f t="shared" ref="J25" si="98">I25/E25</f>
        <v>0.58064646072628079</v>
      </c>
      <c r="K25" s="9">
        <f>'0922分析標準表 '!$L$5</f>
        <v>6900.4400000000014</v>
      </c>
      <c r="L25" s="15">
        <f t="shared" ref="L25" si="99">K25/C25</f>
        <v>0.45579168609712628</v>
      </c>
      <c r="M25" s="610" t="s">
        <v>381</v>
      </c>
      <c r="N25" s="611"/>
      <c r="O25" s="611"/>
      <c r="P25" s="611"/>
      <c r="Q25" s="611"/>
      <c r="R25" s="611"/>
      <c r="S25" s="611"/>
      <c r="T25" s="611"/>
      <c r="U25" s="612"/>
      <c r="V25" s="12">
        <v>168</v>
      </c>
    </row>
    <row r="26" spans="1:26" ht="18.75" x14ac:dyDescent="0.25">
      <c r="A26" s="2">
        <f t="shared" si="9"/>
        <v>45923</v>
      </c>
      <c r="B26" s="9">
        <f>'0923分析標準表 '!$C$3:$C$3</f>
        <v>6204692.0999999996</v>
      </c>
      <c r="C26" s="10">
        <f>'0923分析標準表 '!$D$5</f>
        <v>15162.659999999991</v>
      </c>
      <c r="D26" s="14">
        <f t="shared" ref="D26" si="100">C26/B26</f>
        <v>2.4437409230991481E-3</v>
      </c>
      <c r="E26" s="9">
        <f>'0923分析標準表 '!$F$5</f>
        <v>47064.899999999994</v>
      </c>
      <c r="F26" s="3">
        <f t="shared" ref="F26" si="101">E26/B26</f>
        <v>7.5853723668254215E-3</v>
      </c>
      <c r="G26" s="9">
        <f>'0923分析標準表 '!$H$5</f>
        <v>5397.74</v>
      </c>
      <c r="H26" s="3">
        <f t="shared" ref="H26" si="102">G26/C26</f>
        <v>0.35598898873944301</v>
      </c>
      <c r="I26" s="11">
        <f>'0923分析標準表 '!$J$5</f>
        <v>24833.93</v>
      </c>
      <c r="J26" s="3">
        <f t="shared" ref="J26" si="103">I26/E26</f>
        <v>0.52765287932195759</v>
      </c>
      <c r="K26" s="9">
        <f>'0923分析標準表 '!$L$5</f>
        <v>6848.9699999999984</v>
      </c>
      <c r="L26" s="15">
        <f t="shared" ref="L26" si="104">K26/C26</f>
        <v>0.45169976771885689</v>
      </c>
      <c r="M26" s="604" t="s">
        <v>983</v>
      </c>
      <c r="N26" s="604"/>
      <c r="O26" s="604"/>
      <c r="P26" s="604"/>
      <c r="Q26" s="604"/>
      <c r="R26" s="604"/>
      <c r="S26" s="604"/>
      <c r="T26" s="604"/>
      <c r="U26" s="604"/>
      <c r="V26" s="12">
        <v>170</v>
      </c>
    </row>
    <row r="27" spans="1:26" ht="18.75" x14ac:dyDescent="0.25">
      <c r="A27" s="2">
        <f t="shared" si="9"/>
        <v>45924</v>
      </c>
      <c r="B27" s="9">
        <f>'0924分析標準表 '!$C$3:$C$3</f>
        <v>6068582.8799999999</v>
      </c>
      <c r="C27" s="10">
        <f>'0924分析標準表 '!$D$5</f>
        <v>14813.970000000003</v>
      </c>
      <c r="D27" s="14">
        <f t="shared" ref="D27" si="105">C27/B27</f>
        <v>2.4410921450577607E-3</v>
      </c>
      <c r="E27" s="9">
        <f>'0924分析標準表 '!$F$5</f>
        <v>44604.219999999965</v>
      </c>
      <c r="F27" s="3">
        <f t="shared" ref="F27" si="106">E27/B27</f>
        <v>7.350022382820281E-3</v>
      </c>
      <c r="G27" s="9">
        <f>'0924分析標準表 '!$H$5</f>
        <v>5286.27</v>
      </c>
      <c r="H27" s="3">
        <f t="shared" ref="H27" si="107">G27/C27</f>
        <v>0.3568435740048076</v>
      </c>
      <c r="I27" s="11">
        <f>'0924分析標準表 '!$J$5</f>
        <v>22623.269999999997</v>
      </c>
      <c r="J27" s="3">
        <f t="shared" ref="J27" si="108">I27/E27</f>
        <v>0.50720021558498307</v>
      </c>
      <c r="K27" s="9">
        <f>'0924分析標準表 '!$L$5</f>
        <v>5923.4800000000005</v>
      </c>
      <c r="L27" s="15">
        <f t="shared" ref="L27" si="109">K27/C27</f>
        <v>0.39985770188544995</v>
      </c>
      <c r="M27" s="604" t="s">
        <v>984</v>
      </c>
      <c r="N27" s="604"/>
      <c r="O27" s="604"/>
      <c r="P27" s="604"/>
      <c r="Q27" s="604"/>
      <c r="R27" s="604"/>
      <c r="S27" s="604"/>
      <c r="T27" s="604"/>
      <c r="U27" s="604"/>
      <c r="V27" s="12">
        <v>170</v>
      </c>
    </row>
    <row r="28" spans="1:26" ht="18.75" x14ac:dyDescent="0.25">
      <c r="A28" s="2">
        <f t="shared" si="9"/>
        <v>45925</v>
      </c>
      <c r="B28" s="9">
        <f>'0925分析標準表 '!$C$3:$C$3</f>
        <v>5545534.8899999997</v>
      </c>
      <c r="C28" s="10">
        <f>'0925分析標準表 '!$D$5</f>
        <v>13469.400000000005</v>
      </c>
      <c r="D28" s="14">
        <f t="shared" ref="D28" si="110">C28/B28</f>
        <v>2.4288730063332098E-3</v>
      </c>
      <c r="E28" s="9">
        <f>'0925分析標準表 '!$F$5</f>
        <v>41918.040000000023</v>
      </c>
      <c r="F28" s="3">
        <f t="shared" ref="F28" si="111">E28/B28</f>
        <v>7.558881303873651E-3</v>
      </c>
      <c r="G28" s="9">
        <f>'0925分析標準表 '!$H$5</f>
        <v>9556.0500000000029</v>
      </c>
      <c r="H28" s="3">
        <f t="shared" ref="H28" si="112">G28/C28</f>
        <v>0.70946367321484249</v>
      </c>
      <c r="I28" s="11">
        <f>'0925分析標準表 '!$J$5</f>
        <v>18735.579999999998</v>
      </c>
      <c r="J28" s="3">
        <f t="shared" ref="J28" si="113">I28/E28</f>
        <v>0.44695744362093237</v>
      </c>
      <c r="K28" s="9">
        <f>'0925分析標準表 '!$L$5</f>
        <v>9883.6499999999978</v>
      </c>
      <c r="L28" s="15">
        <f t="shared" ref="L28" si="114">K28/C28</f>
        <v>0.73378546928593658</v>
      </c>
      <c r="M28" s="604" t="s">
        <v>664</v>
      </c>
      <c r="N28" s="604"/>
      <c r="O28" s="604"/>
      <c r="P28" s="604"/>
      <c r="Q28" s="604"/>
      <c r="R28" s="604"/>
      <c r="S28" s="604"/>
      <c r="T28" s="604"/>
      <c r="U28" s="604"/>
      <c r="V28" s="12">
        <v>170</v>
      </c>
    </row>
    <row r="29" spans="1:26" ht="18.75" x14ac:dyDescent="0.25">
      <c r="A29" s="2">
        <f t="shared" si="9"/>
        <v>45926</v>
      </c>
      <c r="B29" s="9">
        <f>'0926分析標準表 '!$C$3:$C$3</f>
        <v>4389261.03</v>
      </c>
      <c r="C29" s="10">
        <f>'0926分析標準表 '!$D$5</f>
        <v>10529.22000000001</v>
      </c>
      <c r="D29" s="14">
        <f t="shared" ref="D29" si="115">C29/B29</f>
        <v>2.3988593815756749E-3</v>
      </c>
      <c r="E29" s="9">
        <f>'0926分析標準表 '!$F$5</f>
        <v>33245.569999999985</v>
      </c>
      <c r="F29" s="3">
        <f t="shared" ref="F29" si="116">E29/B29</f>
        <v>7.5742977628286516E-3</v>
      </c>
      <c r="G29" s="9">
        <f>'0926分析標準表 '!$H$5</f>
        <v>4222.1500000000005</v>
      </c>
      <c r="H29" s="3">
        <f t="shared" ref="H29" si="117">G29/C29</f>
        <v>0.40099361586138349</v>
      </c>
      <c r="I29" s="11">
        <f>'0926分析標準表 '!$J$5</f>
        <v>18059.48</v>
      </c>
      <c r="J29" s="3">
        <f t="shared" ref="J29" si="118">I29/E29</f>
        <v>0.54321462979879753</v>
      </c>
      <c r="K29" s="9">
        <f>'0926分析標準表 '!$L$5</f>
        <v>3343.82</v>
      </c>
      <c r="L29" s="15">
        <f t="shared" ref="L29" si="119">K29/C29</f>
        <v>0.31757528097997734</v>
      </c>
      <c r="M29" s="604" t="s">
        <v>1156</v>
      </c>
      <c r="N29" s="604"/>
      <c r="O29" s="604"/>
      <c r="P29" s="604"/>
      <c r="Q29" s="604"/>
      <c r="R29" s="604"/>
      <c r="S29" s="604"/>
      <c r="T29" s="604"/>
      <c r="U29" s="604"/>
      <c r="V29" s="12">
        <v>170</v>
      </c>
    </row>
    <row r="30" spans="1:26" ht="18.75" x14ac:dyDescent="0.25">
      <c r="A30" s="2">
        <f t="shared" si="9"/>
        <v>45927</v>
      </c>
      <c r="B30" s="9">
        <f>'0927分析標準表 '!$C$3:$C$3</f>
        <v>4423149.7600000016</v>
      </c>
      <c r="C30" s="10">
        <f>'0927分析標準表 '!$D$5</f>
        <v>10619.510000000007</v>
      </c>
      <c r="D30" s="14">
        <f t="shared" ref="D30" si="120">C30/B30</f>
        <v>2.4008931589962722E-3</v>
      </c>
      <c r="E30" s="9">
        <f>'0927分析標準表 '!$F$5</f>
        <v>33137.939999999988</v>
      </c>
      <c r="F30" s="3">
        <f t="shared" ref="F30" si="121">E30/B30</f>
        <v>7.491932626762331E-3</v>
      </c>
      <c r="G30" s="9">
        <f>'0927分析標準表 '!$H$5</f>
        <v>3691.1499999999996</v>
      </c>
      <c r="H30" s="3">
        <f t="shared" ref="H30" si="122">G30/C30</f>
        <v>0.34758195057964042</v>
      </c>
      <c r="I30" s="11">
        <f>'0927分析標準表 '!$J$5</f>
        <v>15895.300000000003</v>
      </c>
      <c r="J30" s="3">
        <f t="shared" ref="J30" si="123">I30/E30</f>
        <v>0.47967073390802228</v>
      </c>
      <c r="K30" s="9">
        <f>'0927分析標準表 '!$L$5</f>
        <v>4273.3599999999997</v>
      </c>
      <c r="L30" s="15">
        <f t="shared" ref="L30" si="124">K30/C30</f>
        <v>0.40240651404819966</v>
      </c>
      <c r="M30" s="604" t="s">
        <v>1157</v>
      </c>
      <c r="N30" s="604"/>
      <c r="O30" s="604"/>
      <c r="P30" s="604"/>
      <c r="Q30" s="604"/>
      <c r="R30" s="604"/>
      <c r="S30" s="604"/>
      <c r="T30" s="604"/>
      <c r="U30" s="604"/>
      <c r="V30" s="12">
        <v>170</v>
      </c>
    </row>
    <row r="31" spans="1:26" ht="18.75" x14ac:dyDescent="0.25">
      <c r="A31" s="2">
        <f t="shared" si="9"/>
        <v>45928</v>
      </c>
      <c r="B31" s="9">
        <f>'0928分析標準表 '!$C$3:$C$3</f>
        <v>4811205.5599999996</v>
      </c>
      <c r="C31" s="10">
        <f>'0928分析標準表 '!$D$5</f>
        <v>11593.48</v>
      </c>
      <c r="D31" s="14">
        <f t="shared" ref="D31" si="125">C31/B31</f>
        <v>2.4096829485705865E-3</v>
      </c>
      <c r="E31" s="9">
        <f>'0928分析標準表 '!$F$5</f>
        <v>36480.86</v>
      </c>
      <c r="F31" s="3">
        <f t="shared" ref="F31" si="126">E31/B31</f>
        <v>7.5824779351144588E-3</v>
      </c>
      <c r="G31" s="9">
        <f>'0928分析標準表 '!$H$5</f>
        <v>4491.5</v>
      </c>
      <c r="H31" s="3">
        <f t="shared" ref="H31" si="127">G31/C31</f>
        <v>0.38741603038949479</v>
      </c>
      <c r="I31" s="11">
        <f>'0928分析標準表 '!$J$5</f>
        <v>26313.58</v>
      </c>
      <c r="J31" s="3">
        <f t="shared" ref="J31" si="128">I31/E31</f>
        <v>0.72129823693849326</v>
      </c>
      <c r="K31" s="9">
        <f>'0928分析標準表 '!$L$5</f>
        <v>4670.33</v>
      </c>
      <c r="L31" s="15">
        <f t="shared" ref="L31" si="129">K31/C31</f>
        <v>0.40284107964131566</v>
      </c>
      <c r="M31" s="604" t="s">
        <v>1158</v>
      </c>
      <c r="N31" s="604"/>
      <c r="O31" s="604"/>
      <c r="P31" s="604"/>
      <c r="Q31" s="604"/>
      <c r="R31" s="604"/>
      <c r="S31" s="604"/>
      <c r="T31" s="604"/>
      <c r="U31" s="604"/>
      <c r="V31" s="12">
        <v>170</v>
      </c>
    </row>
    <row r="32" spans="1:26" ht="18.75" x14ac:dyDescent="0.25">
      <c r="A32" s="2">
        <f t="shared" si="9"/>
        <v>45929</v>
      </c>
      <c r="B32" s="9">
        <f>'0929分析標準表 '!$C$3:$C$3</f>
        <v>6458149.9500000002</v>
      </c>
      <c r="C32" s="10">
        <f>'0929分析標準表 '!$D$5</f>
        <v>15820.380000000005</v>
      </c>
      <c r="D32" s="14">
        <f t="shared" ref="D32" si="130">C32/B32</f>
        <v>2.4496767839836241E-3</v>
      </c>
      <c r="E32" s="9">
        <f>'0929分析標準表 '!$F$5</f>
        <v>49069.360000000015</v>
      </c>
      <c r="F32" s="3">
        <f t="shared" ref="F32" si="131">E32/B32</f>
        <v>7.5980521325615885E-3</v>
      </c>
      <c r="G32" s="9">
        <f>'0929分析標準表 '!$H$5</f>
        <v>5971.09</v>
      </c>
      <c r="H32" s="3">
        <f t="shared" ref="H32" si="132">G32/C32</f>
        <v>0.37743025135932251</v>
      </c>
      <c r="I32" s="11">
        <f>'0929分析標準表 '!$J$5</f>
        <v>36921.979999999996</v>
      </c>
      <c r="J32" s="3">
        <f t="shared" ref="J32" si="133">I32/E32</f>
        <v>0.75244470276359798</v>
      </c>
      <c r="K32" s="9">
        <f>'0929分析標準表 '!$L$5</f>
        <v>6866.83</v>
      </c>
      <c r="L32" s="15">
        <f t="shared" ref="L32" si="134">K32/C32</f>
        <v>0.43404962459814478</v>
      </c>
      <c r="M32" s="604" t="s">
        <v>1158</v>
      </c>
      <c r="N32" s="604"/>
      <c r="O32" s="604"/>
      <c r="P32" s="604"/>
      <c r="Q32" s="604"/>
      <c r="R32" s="604"/>
      <c r="S32" s="604"/>
      <c r="T32" s="604"/>
      <c r="U32" s="604"/>
      <c r="V32" s="12">
        <v>170</v>
      </c>
    </row>
    <row r="33" spans="1:22" ht="18.75" x14ac:dyDescent="0.25">
      <c r="A33" s="2">
        <f t="shared" si="9"/>
        <v>45930</v>
      </c>
      <c r="B33" s="9">
        <f>'0930分析標準表 '!$C$3:$C$3</f>
        <v>6240376.5599999996</v>
      </c>
      <c r="C33" s="10">
        <f>'0930分析標準表 '!$D$5</f>
        <v>15252.089999999997</v>
      </c>
      <c r="D33" s="14">
        <f t="shared" ref="D33" si="135">C33/B33</f>
        <v>2.444097700411848E-3</v>
      </c>
      <c r="E33" s="9">
        <f>'0930分析標準表 '!$F$5</f>
        <v>47299.719999999994</v>
      </c>
      <c r="F33" s="3">
        <f t="shared" ref="F33" si="136">E33/B33</f>
        <v>7.5796259320607406E-3</v>
      </c>
      <c r="G33" s="9">
        <f>'0930分析標準表 '!$H$5</f>
        <v>6038.19</v>
      </c>
      <c r="H33" s="3">
        <f t="shared" ref="H33" si="137">G33/C33</f>
        <v>0.39589262848566992</v>
      </c>
      <c r="I33" s="11">
        <f>'0930分析標準表 '!$J$5</f>
        <v>30851.15</v>
      </c>
      <c r="J33" s="3">
        <f t="shared" ref="J33" si="138">I33/E33</f>
        <v>0.65224804713431717</v>
      </c>
      <c r="K33" s="9">
        <f>'0930分析標準表 '!$L$5</f>
        <v>6747.82</v>
      </c>
      <c r="L33" s="15">
        <f t="shared" ref="L33" si="139">K33/C33</f>
        <v>0.44241936678842053</v>
      </c>
      <c r="M33" s="604" t="s">
        <v>1157</v>
      </c>
      <c r="N33" s="604"/>
      <c r="O33" s="604"/>
      <c r="P33" s="604"/>
      <c r="Q33" s="604"/>
      <c r="R33" s="604"/>
      <c r="S33" s="604"/>
      <c r="T33" s="604"/>
      <c r="U33" s="604"/>
      <c r="V33" s="12">
        <v>170</v>
      </c>
    </row>
    <row r="34" spans="1:22" ht="27" x14ac:dyDescent="0.25">
      <c r="A34" s="613" t="s">
        <v>14</v>
      </c>
      <c r="B34" s="613"/>
      <c r="C34" s="613"/>
      <c r="D34" s="613"/>
      <c r="E34" s="613"/>
      <c r="F34" s="7"/>
      <c r="G34" s="7"/>
      <c r="H34" s="7"/>
      <c r="I34" s="7"/>
      <c r="J34" s="7"/>
      <c r="K34" s="7"/>
      <c r="L34" s="7"/>
    </row>
    <row r="35" spans="1:22" ht="27" x14ac:dyDescent="0.25">
      <c r="A35" s="613" t="s">
        <v>15</v>
      </c>
      <c r="B35" s="613"/>
      <c r="C35" s="613"/>
      <c r="D35" s="613"/>
      <c r="E35" s="613"/>
      <c r="F35" s="7"/>
      <c r="G35" s="7"/>
      <c r="H35" s="7"/>
      <c r="I35" s="7"/>
      <c r="J35" s="7"/>
      <c r="K35" s="7"/>
      <c r="L35" s="7"/>
    </row>
    <row r="36" spans="1:22" ht="18.7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3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13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13"/>
    </row>
    <row r="49" spans="1:12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</sheetData>
  <mergeCells count="44">
    <mergeCell ref="M32:U32"/>
    <mergeCell ref="A34:E34"/>
    <mergeCell ref="A35:E35"/>
    <mergeCell ref="M31:U31"/>
    <mergeCell ref="M33:U33"/>
    <mergeCell ref="M28:U28"/>
    <mergeCell ref="M29:U29"/>
    <mergeCell ref="M20:U20"/>
    <mergeCell ref="M21:U21"/>
    <mergeCell ref="M22:U22"/>
    <mergeCell ref="M23:U23"/>
    <mergeCell ref="M24:U24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223" type="noConversion"/>
  <conditionalFormatting sqref="D4:D12">
    <cfRule type="cellIs" dxfId="1187" priority="77" operator="greaterThan">
      <formula>0.0025</formula>
    </cfRule>
  </conditionalFormatting>
  <conditionalFormatting sqref="H4:H12 J4:J12">
    <cfRule type="cellIs" dxfId="1186" priority="78" operator="greaterThan">
      <formula>0.16</formula>
    </cfRule>
  </conditionalFormatting>
  <conditionalFormatting sqref="L4:L12">
    <cfRule type="cellIs" dxfId="1185" priority="76" operator="greaterThan">
      <formula>0.15</formula>
    </cfRule>
  </conditionalFormatting>
  <conditionalFormatting sqref="D13:D14">
    <cfRule type="cellIs" dxfId="1184" priority="74" operator="greaterThan">
      <formula>0.0025</formula>
    </cfRule>
  </conditionalFormatting>
  <conditionalFormatting sqref="H13:H14 J13:J14">
    <cfRule type="cellIs" dxfId="1183" priority="75" operator="greaterThan">
      <formula>0.16</formula>
    </cfRule>
  </conditionalFormatting>
  <conditionalFormatting sqref="L13:L14">
    <cfRule type="cellIs" dxfId="1182" priority="73" operator="greaterThan">
      <formula>0.15</formula>
    </cfRule>
  </conditionalFormatting>
  <conditionalFormatting sqref="D15:D18">
    <cfRule type="cellIs" dxfId="1181" priority="59" operator="greaterThan">
      <formula>0.0025</formula>
    </cfRule>
  </conditionalFormatting>
  <conditionalFormatting sqref="H15:H18 J15:J18">
    <cfRule type="cellIs" dxfId="1180" priority="60" operator="greaterThan">
      <formula>0.16</formula>
    </cfRule>
  </conditionalFormatting>
  <conditionalFormatting sqref="L15:L18">
    <cfRule type="cellIs" dxfId="1179" priority="58" operator="greaterThan">
      <formula>0.15</formula>
    </cfRule>
  </conditionalFormatting>
  <conditionalFormatting sqref="D19">
    <cfRule type="cellIs" dxfId="1178" priority="56" operator="greaterThan">
      <formula>0.0025</formula>
    </cfRule>
  </conditionalFormatting>
  <conditionalFormatting sqref="H19 J19">
    <cfRule type="cellIs" dxfId="1177" priority="57" operator="greaterThan">
      <formula>0.16</formula>
    </cfRule>
  </conditionalFormatting>
  <conditionalFormatting sqref="L19">
    <cfRule type="cellIs" dxfId="1176" priority="55" operator="greaterThan">
      <formula>0.15</formula>
    </cfRule>
  </conditionalFormatting>
  <conditionalFormatting sqref="D23:D24">
    <cfRule type="cellIs" dxfId="1175" priority="44" operator="greaterThan">
      <formula>0.0025</formula>
    </cfRule>
  </conditionalFormatting>
  <conditionalFormatting sqref="H23:H24 J23:J24">
    <cfRule type="cellIs" dxfId="1174" priority="45" operator="greaterThan">
      <formula>0.16</formula>
    </cfRule>
  </conditionalFormatting>
  <conditionalFormatting sqref="L23:L24">
    <cfRule type="cellIs" dxfId="1173" priority="43" operator="greaterThan">
      <formula>0.15</formula>
    </cfRule>
  </conditionalFormatting>
  <conditionalFormatting sqref="D20">
    <cfRule type="cellIs" dxfId="1172" priority="35" operator="greaterThan">
      <formula>0.0025</formula>
    </cfRule>
  </conditionalFormatting>
  <conditionalFormatting sqref="H20 J20">
    <cfRule type="cellIs" dxfId="1171" priority="36" operator="greaterThan">
      <formula>0.16</formula>
    </cfRule>
  </conditionalFormatting>
  <conditionalFormatting sqref="L20">
    <cfRule type="cellIs" dxfId="1170" priority="34" operator="greaterThan">
      <formula>0.15</formula>
    </cfRule>
  </conditionalFormatting>
  <conditionalFormatting sqref="D21">
    <cfRule type="cellIs" dxfId="1169" priority="32" operator="greaterThan">
      <formula>0.0025</formula>
    </cfRule>
  </conditionalFormatting>
  <conditionalFormatting sqref="H21 J21">
    <cfRule type="cellIs" dxfId="1168" priority="33" operator="greaterThan">
      <formula>0.16</formula>
    </cfRule>
  </conditionalFormatting>
  <conditionalFormatting sqref="L21">
    <cfRule type="cellIs" dxfId="1167" priority="31" operator="greaterThan">
      <formula>0.15</formula>
    </cfRule>
  </conditionalFormatting>
  <conditionalFormatting sqref="D22">
    <cfRule type="cellIs" dxfId="1166" priority="29" operator="greaterThan">
      <formula>0.0025</formula>
    </cfRule>
  </conditionalFormatting>
  <conditionalFormatting sqref="H22 J22">
    <cfRule type="cellIs" dxfId="1165" priority="30" operator="greaterThan">
      <formula>0.16</formula>
    </cfRule>
  </conditionalFormatting>
  <conditionalFormatting sqref="L22">
    <cfRule type="cellIs" dxfId="1164" priority="28" operator="greaterThan">
      <formula>0.15</formula>
    </cfRule>
  </conditionalFormatting>
  <conditionalFormatting sqref="D25">
    <cfRule type="cellIs" dxfId="1163" priority="26" operator="greaterThan">
      <formula>0.0025</formula>
    </cfRule>
  </conditionalFormatting>
  <conditionalFormatting sqref="H25 J25">
    <cfRule type="cellIs" dxfId="1162" priority="27" operator="greaterThan">
      <formula>0.16</formula>
    </cfRule>
  </conditionalFormatting>
  <conditionalFormatting sqref="L25">
    <cfRule type="cellIs" dxfId="1161" priority="25" operator="greaterThan">
      <formula>0.15</formula>
    </cfRule>
  </conditionalFormatting>
  <conditionalFormatting sqref="D26">
    <cfRule type="cellIs" dxfId="1160" priority="23" operator="greaterThan">
      <formula>0.0025</formula>
    </cfRule>
  </conditionalFormatting>
  <conditionalFormatting sqref="H26 J26">
    <cfRule type="cellIs" dxfId="1159" priority="24" operator="greaterThan">
      <formula>0.16</formula>
    </cfRule>
  </conditionalFormatting>
  <conditionalFormatting sqref="L26">
    <cfRule type="cellIs" dxfId="1158" priority="22" operator="greaterThan">
      <formula>0.15</formula>
    </cfRule>
  </conditionalFormatting>
  <conditionalFormatting sqref="D27">
    <cfRule type="cellIs" dxfId="1157" priority="17" operator="greaterThan">
      <formula>0.0025</formula>
    </cfRule>
  </conditionalFormatting>
  <conditionalFormatting sqref="H27 J27">
    <cfRule type="cellIs" dxfId="1156" priority="18" operator="greaterThan">
      <formula>0.16</formula>
    </cfRule>
  </conditionalFormatting>
  <conditionalFormatting sqref="L27">
    <cfRule type="cellIs" dxfId="1155" priority="16" operator="greaterThan">
      <formula>0.15</formula>
    </cfRule>
  </conditionalFormatting>
  <conditionalFormatting sqref="D28">
    <cfRule type="cellIs" dxfId="1154" priority="14" operator="greaterThan">
      <formula>0.0025</formula>
    </cfRule>
  </conditionalFormatting>
  <conditionalFormatting sqref="H28 J28">
    <cfRule type="cellIs" dxfId="1153" priority="15" operator="greaterThan">
      <formula>0.16</formula>
    </cfRule>
  </conditionalFormatting>
  <conditionalFormatting sqref="L28">
    <cfRule type="cellIs" dxfId="1152" priority="13" operator="greaterThan">
      <formula>0.15</formula>
    </cfRule>
  </conditionalFormatting>
  <conditionalFormatting sqref="D29:D30">
    <cfRule type="cellIs" dxfId="1151" priority="11" operator="greaterThan">
      <formula>0.0025</formula>
    </cfRule>
  </conditionalFormatting>
  <conditionalFormatting sqref="H29:H30 J29:J30">
    <cfRule type="cellIs" dxfId="1150" priority="12" operator="greaterThan">
      <formula>0.16</formula>
    </cfRule>
  </conditionalFormatting>
  <conditionalFormatting sqref="L29:L30">
    <cfRule type="cellIs" dxfId="1149" priority="10" operator="greaterThan">
      <formula>0.15</formula>
    </cfRule>
  </conditionalFormatting>
  <conditionalFormatting sqref="D31">
    <cfRule type="cellIs" dxfId="1148" priority="8" operator="greaterThan">
      <formula>0.0025</formula>
    </cfRule>
  </conditionalFormatting>
  <conditionalFormatting sqref="H31 J31">
    <cfRule type="cellIs" dxfId="1147" priority="9" operator="greaterThan">
      <formula>0.16</formula>
    </cfRule>
  </conditionalFormatting>
  <conditionalFormatting sqref="L31">
    <cfRule type="cellIs" dxfId="1146" priority="7" operator="greaterThan">
      <formula>0.15</formula>
    </cfRule>
  </conditionalFormatting>
  <conditionalFormatting sqref="D32">
    <cfRule type="cellIs" dxfId="1145" priority="5" operator="greaterThan">
      <formula>0.0025</formula>
    </cfRule>
  </conditionalFormatting>
  <conditionalFormatting sqref="H32 J32">
    <cfRule type="cellIs" dxfId="1144" priority="6" operator="greaterThan">
      <formula>0.16</formula>
    </cfRule>
  </conditionalFormatting>
  <conditionalFormatting sqref="L32">
    <cfRule type="cellIs" dxfId="1143" priority="4" operator="greaterThan">
      <formula>0.15</formula>
    </cfRule>
  </conditionalFormatting>
  <conditionalFormatting sqref="D33">
    <cfRule type="cellIs" dxfId="1142" priority="2" operator="greaterThan">
      <formula>0.0025</formula>
    </cfRule>
  </conditionalFormatting>
  <conditionalFormatting sqref="H33 J33">
    <cfRule type="cellIs" dxfId="1141" priority="3" operator="greaterThan">
      <formula>0.16</formula>
    </cfRule>
  </conditionalFormatting>
  <conditionalFormatting sqref="L33">
    <cfRule type="cellIs" dxfId="114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abSelected="1" zoomScale="70" zoomScaleNormal="70" zoomScaleSheetLayoutView="70" workbookViewId="0">
      <selection activeCell="C3" sqref="C3:C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659" t="s">
        <v>31</v>
      </c>
      <c r="B2" s="660"/>
      <c r="C2" s="602" t="s">
        <v>32</v>
      </c>
      <c r="D2" s="661" t="s">
        <v>33</v>
      </c>
      <c r="E2" s="661"/>
      <c r="F2" s="661" t="s">
        <v>34</v>
      </c>
      <c r="G2" s="661"/>
      <c r="H2" s="661" t="s">
        <v>33</v>
      </c>
      <c r="I2" s="661"/>
      <c r="J2" s="661" t="s">
        <v>34</v>
      </c>
      <c r="K2" s="661"/>
      <c r="L2" s="661" t="s">
        <v>33</v>
      </c>
      <c r="M2" s="662"/>
      <c r="R2" s="17"/>
    </row>
    <row r="3" spans="1:18" s="18" customFormat="1" ht="28.5" x14ac:dyDescent="0.45">
      <c r="A3" s="652">
        <v>45930</v>
      </c>
      <c r="B3" s="653"/>
      <c r="C3" s="654">
        <v>6240376.5599999996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652"/>
      <c r="B4" s="653"/>
      <c r="C4" s="654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650" t="s">
        <v>44</v>
      </c>
      <c r="B5" s="651"/>
      <c r="C5" s="651"/>
      <c r="D5" s="603">
        <v>15252.089999999997</v>
      </c>
      <c r="E5" s="22">
        <f>D5/C3</f>
        <v>2.444097700411848E-3</v>
      </c>
      <c r="F5" s="603">
        <v>47299.719999999994</v>
      </c>
      <c r="G5" s="23">
        <f>F5/C3</f>
        <v>7.5796259320607406E-3</v>
      </c>
      <c r="H5" s="24">
        <f>SUM(C12:C21)</f>
        <v>6038.19</v>
      </c>
      <c r="I5" s="25">
        <f>H5/D5</f>
        <v>0.39589262848566992</v>
      </c>
      <c r="J5" s="24">
        <f>SUM(C28:C37)</f>
        <v>30851.15</v>
      </c>
      <c r="K5" s="26">
        <f>J5/F5</f>
        <v>0.65224804713431717</v>
      </c>
      <c r="L5" s="27">
        <v>6747.82</v>
      </c>
      <c r="M5" s="601">
        <f>L5/D5</f>
        <v>0.44241936678842053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1113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229</v>
      </c>
      <c r="B8" s="620"/>
      <c r="C8" s="620"/>
      <c r="D8" s="620" t="s">
        <v>1114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1115</v>
      </c>
      <c r="P8" s="630" t="s">
        <v>1116</v>
      </c>
      <c r="Q8" s="629" t="s">
        <v>1117</v>
      </c>
      <c r="R8" s="627" t="s">
        <v>1118</v>
      </c>
    </row>
    <row r="9" spans="1:18" ht="20.45" customHeight="1" x14ac:dyDescent="0.25">
      <c r="A9" s="631" t="s">
        <v>1119</v>
      </c>
      <c r="B9" s="634" t="s">
        <v>1120</v>
      </c>
      <c r="C9" s="635"/>
      <c r="D9" s="636" t="s">
        <v>1121</v>
      </c>
      <c r="E9" s="636"/>
      <c r="F9" s="636"/>
      <c r="G9" s="636"/>
      <c r="H9" s="636"/>
      <c r="I9" s="636"/>
      <c r="J9" s="637" t="s">
        <v>1122</v>
      </c>
      <c r="K9" s="637"/>
      <c r="L9" s="637"/>
      <c r="M9" s="638"/>
      <c r="N9" s="638"/>
      <c r="O9" s="629"/>
      <c r="P9" s="629"/>
      <c r="Q9" s="629"/>
      <c r="R9" s="627"/>
    </row>
    <row r="10" spans="1:18" ht="20.45" customHeight="1" x14ac:dyDescent="0.3">
      <c r="A10" s="632"/>
      <c r="B10" s="639" t="s">
        <v>1123</v>
      </c>
      <c r="C10" s="641" t="s">
        <v>1124</v>
      </c>
      <c r="D10" s="643" t="s">
        <v>1125</v>
      </c>
      <c r="E10" s="643"/>
      <c r="F10" s="643"/>
      <c r="G10" s="643"/>
      <c r="H10" s="643"/>
      <c r="I10" s="643"/>
      <c r="J10" s="644" t="s">
        <v>1126</v>
      </c>
      <c r="K10" s="646"/>
      <c r="L10" s="647" t="s">
        <v>1127</v>
      </c>
      <c r="M10" s="644"/>
      <c r="N10" s="644"/>
      <c r="O10" s="629"/>
      <c r="P10" s="629"/>
      <c r="Q10" s="629"/>
      <c r="R10" s="627"/>
    </row>
    <row r="11" spans="1:18" s="29" customFormat="1" ht="47.25" customHeight="1" x14ac:dyDescent="0.25">
      <c r="A11" s="633"/>
      <c r="B11" s="640"/>
      <c r="C11" s="642"/>
      <c r="D11" s="585" t="s">
        <v>1128</v>
      </c>
      <c r="E11" s="585" t="s">
        <v>1129</v>
      </c>
      <c r="F11" s="585" t="s">
        <v>1130</v>
      </c>
      <c r="G11" s="585" t="s">
        <v>1131</v>
      </c>
      <c r="H11" s="585" t="s">
        <v>1132</v>
      </c>
      <c r="I11" s="585" t="s">
        <v>1133</v>
      </c>
      <c r="J11" s="586" t="s">
        <v>1134</v>
      </c>
      <c r="K11" s="586" t="s">
        <v>1135</v>
      </c>
      <c r="L11" s="586" t="s">
        <v>1134</v>
      </c>
      <c r="M11" s="586" t="s">
        <v>1135</v>
      </c>
      <c r="N11" s="587" t="s">
        <v>1136</v>
      </c>
      <c r="O11" s="629"/>
      <c r="P11" s="629"/>
      <c r="Q11" s="629"/>
      <c r="R11" s="627"/>
    </row>
    <row r="12" spans="1:18" s="38" customFormat="1" ht="24.95" customHeight="1" x14ac:dyDescent="0.25">
      <c r="A12" s="588">
        <v>1</v>
      </c>
      <c r="B12" s="30" t="s">
        <v>61</v>
      </c>
      <c r="C12" s="31">
        <v>2803.08</v>
      </c>
      <c r="D12" s="32">
        <v>7764</v>
      </c>
      <c r="E12" s="32">
        <v>7764</v>
      </c>
      <c r="F12" s="32">
        <v>426</v>
      </c>
      <c r="G12" s="31">
        <v>6.58</v>
      </c>
      <c r="H12" s="33">
        <f t="shared" ref="H12:H21" si="0">(E12+F12)/D12</f>
        <v>1.0548686244204017</v>
      </c>
      <c r="I12" s="31">
        <v>2803.08</v>
      </c>
      <c r="J12" s="32">
        <v>426</v>
      </c>
      <c r="K12" s="34">
        <f t="shared" ref="K12:K21" si="1">J12/D12</f>
        <v>5.4868624420401857E-2</v>
      </c>
      <c r="L12" s="589">
        <f t="shared" ref="L12:L21" si="2">((E12+F12)-D12)-J12</f>
        <v>0</v>
      </c>
      <c r="M12" s="35">
        <f t="shared" ref="M12:M21" si="3">L12/D12</f>
        <v>0</v>
      </c>
      <c r="N12" s="590">
        <f t="shared" ref="N12:N21" si="4">L12*G12</f>
        <v>0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591">
        <v>2</v>
      </c>
      <c r="B13" s="30" t="s">
        <v>58</v>
      </c>
      <c r="C13" s="31">
        <v>986.06</v>
      </c>
      <c r="D13" s="32">
        <v>15900</v>
      </c>
      <c r="E13" s="32">
        <v>15900</v>
      </c>
      <c r="F13" s="32">
        <v>170.01</v>
      </c>
      <c r="G13" s="31">
        <v>5.8</v>
      </c>
      <c r="H13" s="33">
        <f t="shared" si="0"/>
        <v>1.0106924528301886</v>
      </c>
      <c r="I13" s="31">
        <v>986.06</v>
      </c>
      <c r="J13" s="32">
        <v>170.01</v>
      </c>
      <c r="K13" s="34">
        <f t="shared" si="1"/>
        <v>1.0692452830188678E-2</v>
      </c>
      <c r="L13" s="589">
        <f t="shared" si="2"/>
        <v>2.2737367544323206E-13</v>
      </c>
      <c r="M13" s="35">
        <f t="shared" si="3"/>
        <v>1.4300231159951701E-17</v>
      </c>
      <c r="N13" s="590">
        <f t="shared" si="4"/>
        <v>1.3187673175707459E-12</v>
      </c>
      <c r="O13" s="456" t="s">
        <v>139</v>
      </c>
      <c r="P13" s="456" t="s">
        <v>28</v>
      </c>
      <c r="Q13" s="456" t="s">
        <v>982</v>
      </c>
      <c r="R13" s="37" t="s">
        <v>59</v>
      </c>
    </row>
    <row r="14" spans="1:18" s="39" customFormat="1" ht="24.95" customHeight="1" x14ac:dyDescent="0.25">
      <c r="A14" s="591">
        <v>3</v>
      </c>
      <c r="B14" s="30" t="s">
        <v>604</v>
      </c>
      <c r="C14" s="31">
        <v>512.22</v>
      </c>
      <c r="D14" s="32">
        <v>95.06</v>
      </c>
      <c r="E14" s="32">
        <v>95.06</v>
      </c>
      <c r="F14" s="32">
        <v>9</v>
      </c>
      <c r="G14" s="31">
        <v>119.12</v>
      </c>
      <c r="H14" s="33">
        <f t="shared" si="0"/>
        <v>1.0946770460761623</v>
      </c>
      <c r="I14" s="31">
        <v>1072.08</v>
      </c>
      <c r="J14" s="32">
        <v>4.3</v>
      </c>
      <c r="K14" s="34">
        <f t="shared" si="1"/>
        <v>4.5234588680833153E-2</v>
      </c>
      <c r="L14" s="589">
        <f t="shared" si="2"/>
        <v>4.7</v>
      </c>
      <c r="M14" s="35">
        <f t="shared" si="3"/>
        <v>4.9442457395329265E-2</v>
      </c>
      <c r="N14" s="590">
        <f t="shared" si="4"/>
        <v>559.86400000000003</v>
      </c>
      <c r="O14" s="456" t="s">
        <v>139</v>
      </c>
      <c r="P14" s="456" t="s">
        <v>1155</v>
      </c>
      <c r="Q14" s="456" t="s">
        <v>144</v>
      </c>
      <c r="R14" s="37" t="s">
        <v>335</v>
      </c>
    </row>
    <row r="15" spans="1:18" s="38" customFormat="1" ht="24.95" customHeight="1" x14ac:dyDescent="0.25">
      <c r="A15" s="588">
        <v>4</v>
      </c>
      <c r="B15" s="30" t="s">
        <v>69</v>
      </c>
      <c r="C15" s="31">
        <v>374.85</v>
      </c>
      <c r="D15" s="32">
        <v>8712</v>
      </c>
      <c r="E15" s="32">
        <v>8712</v>
      </c>
      <c r="F15" s="32">
        <v>53.55</v>
      </c>
      <c r="G15" s="31">
        <v>7</v>
      </c>
      <c r="H15" s="33">
        <f t="shared" si="0"/>
        <v>1.006146694214876</v>
      </c>
      <c r="I15" s="31">
        <v>374.85</v>
      </c>
      <c r="J15" s="32">
        <v>53.55</v>
      </c>
      <c r="K15" s="34">
        <f t="shared" si="1"/>
        <v>6.1466942148760331E-3</v>
      </c>
      <c r="L15" s="589">
        <f t="shared" si="2"/>
        <v>-7.2475359047530219E-13</v>
      </c>
      <c r="M15" s="35">
        <f t="shared" si="3"/>
        <v>-8.3190265206072338E-17</v>
      </c>
      <c r="N15" s="590">
        <f t="shared" si="4"/>
        <v>-5.0732751333271153E-12</v>
      </c>
      <c r="O15" s="456" t="s">
        <v>142</v>
      </c>
      <c r="P15" s="456" t="s">
        <v>26</v>
      </c>
      <c r="Q15" s="456" t="s">
        <v>143</v>
      </c>
      <c r="R15" s="37" t="s">
        <v>59</v>
      </c>
    </row>
    <row r="16" spans="1:18" s="39" customFormat="1" ht="24.95" customHeight="1" x14ac:dyDescent="0.25">
      <c r="A16" s="591">
        <v>5</v>
      </c>
      <c r="B16" s="30" t="s">
        <v>648</v>
      </c>
      <c r="C16" s="31">
        <v>277.25</v>
      </c>
      <c r="D16" s="32">
        <v>50.48</v>
      </c>
      <c r="E16" s="32">
        <v>50.48</v>
      </c>
      <c r="F16" s="32">
        <v>4.9400000000000004</v>
      </c>
      <c r="G16" s="31">
        <v>118.99</v>
      </c>
      <c r="H16" s="33">
        <f t="shared" si="0"/>
        <v>1.0978605388272582</v>
      </c>
      <c r="I16" s="31">
        <v>587.80999999999995</v>
      </c>
      <c r="J16" s="32">
        <v>2.33</v>
      </c>
      <c r="K16" s="34">
        <f t="shared" si="1"/>
        <v>4.6156893819334396E-2</v>
      </c>
      <c r="L16" s="589">
        <f t="shared" si="2"/>
        <v>2.6099999999999977</v>
      </c>
      <c r="M16" s="35">
        <f t="shared" si="3"/>
        <v>5.170364500792389E-2</v>
      </c>
      <c r="N16" s="590">
        <f t="shared" si="4"/>
        <v>310.56389999999971</v>
      </c>
      <c r="O16" s="456" t="s">
        <v>139</v>
      </c>
      <c r="P16" s="456" t="s">
        <v>1155</v>
      </c>
      <c r="Q16" s="456" t="s">
        <v>141</v>
      </c>
      <c r="R16" s="37" t="s">
        <v>657</v>
      </c>
    </row>
    <row r="17" spans="1:18" s="38" customFormat="1" ht="24.95" customHeight="1" x14ac:dyDescent="0.25">
      <c r="A17" s="588">
        <v>6</v>
      </c>
      <c r="B17" s="30" t="s">
        <v>713</v>
      </c>
      <c r="C17" s="31">
        <v>277.04000000000002</v>
      </c>
      <c r="D17" s="32">
        <v>168.25</v>
      </c>
      <c r="E17" s="32">
        <v>168.25</v>
      </c>
      <c r="F17" s="32">
        <v>14.3</v>
      </c>
      <c r="G17" s="31">
        <v>39.020000000000003</v>
      </c>
      <c r="H17" s="33">
        <f t="shared" si="0"/>
        <v>1.0849925705794949</v>
      </c>
      <c r="I17" s="31">
        <v>557.99</v>
      </c>
      <c r="J17" s="32">
        <v>7.1</v>
      </c>
      <c r="K17" s="34">
        <f t="shared" si="1"/>
        <v>4.2199108469539372E-2</v>
      </c>
      <c r="L17" s="589">
        <f t="shared" si="2"/>
        <v>7.2000000000000117</v>
      </c>
      <c r="M17" s="35">
        <f t="shared" si="3"/>
        <v>4.2793462109955493E-2</v>
      </c>
      <c r="N17" s="590">
        <f t="shared" si="4"/>
        <v>280.94400000000047</v>
      </c>
      <c r="O17" s="456" t="s">
        <v>139</v>
      </c>
      <c r="P17" s="456" t="s">
        <v>1155</v>
      </c>
      <c r="Q17" s="456" t="s">
        <v>134</v>
      </c>
      <c r="R17" s="37" t="s">
        <v>657</v>
      </c>
    </row>
    <row r="18" spans="1:18" s="39" customFormat="1" ht="24.95" customHeight="1" x14ac:dyDescent="0.25">
      <c r="A18" s="591">
        <v>7</v>
      </c>
      <c r="B18" s="30" t="s">
        <v>1137</v>
      </c>
      <c r="C18" s="31">
        <v>227.44</v>
      </c>
      <c r="D18" s="32">
        <v>41.28</v>
      </c>
      <c r="E18" s="32">
        <v>41.28</v>
      </c>
      <c r="F18" s="32">
        <v>4.01</v>
      </c>
      <c r="G18" s="31">
        <v>113.72</v>
      </c>
      <c r="H18" s="33">
        <f t="shared" si="0"/>
        <v>1.0971414728682169</v>
      </c>
      <c r="I18" s="31">
        <v>456.02</v>
      </c>
      <c r="J18" s="32">
        <v>2</v>
      </c>
      <c r="K18" s="34">
        <f t="shared" si="1"/>
        <v>4.8449612403100771E-2</v>
      </c>
      <c r="L18" s="589">
        <f t="shared" si="2"/>
        <v>2.009999999999998</v>
      </c>
      <c r="M18" s="35">
        <f t="shared" si="3"/>
        <v>4.8691860465116227E-2</v>
      </c>
      <c r="N18" s="590">
        <f t="shared" si="4"/>
        <v>228.57719999999978</v>
      </c>
      <c r="O18" s="456" t="s">
        <v>139</v>
      </c>
      <c r="P18" s="456" t="s">
        <v>1155</v>
      </c>
      <c r="Q18" s="456" t="s">
        <v>144</v>
      </c>
      <c r="R18" s="37" t="s">
        <v>1138</v>
      </c>
    </row>
    <row r="19" spans="1:18" s="38" customFormat="1" ht="24.95" customHeight="1" x14ac:dyDescent="0.25">
      <c r="A19" s="588">
        <v>8</v>
      </c>
      <c r="B19" s="30" t="s">
        <v>1139</v>
      </c>
      <c r="C19" s="31">
        <v>204.87</v>
      </c>
      <c r="D19" s="32">
        <v>58.28</v>
      </c>
      <c r="E19" s="32">
        <v>58.28</v>
      </c>
      <c r="F19" s="32">
        <v>5.76</v>
      </c>
      <c r="G19" s="31">
        <v>74.23</v>
      </c>
      <c r="H19" s="33">
        <f t="shared" si="0"/>
        <v>1.0988332189430337</v>
      </c>
      <c r="I19" s="31">
        <v>427.56</v>
      </c>
      <c r="J19" s="32">
        <v>2.76</v>
      </c>
      <c r="K19" s="34">
        <f t="shared" si="1"/>
        <v>4.7357584076870275E-2</v>
      </c>
      <c r="L19" s="589">
        <f t="shared" si="2"/>
        <v>3.0000000000000053</v>
      </c>
      <c r="M19" s="35">
        <f t="shared" si="3"/>
        <v>5.1475634866163439E-2</v>
      </c>
      <c r="N19" s="590">
        <f t="shared" si="4"/>
        <v>222.6900000000004</v>
      </c>
      <c r="O19" s="456" t="s">
        <v>142</v>
      </c>
      <c r="P19" s="456" t="s">
        <v>26</v>
      </c>
      <c r="Q19" s="456" t="s">
        <v>619</v>
      </c>
      <c r="R19" s="37" t="s">
        <v>82</v>
      </c>
    </row>
    <row r="20" spans="1:18" s="38" customFormat="1" ht="24.95" customHeight="1" x14ac:dyDescent="0.25">
      <c r="A20" s="591">
        <v>9</v>
      </c>
      <c r="B20" s="30" t="s">
        <v>301</v>
      </c>
      <c r="C20" s="31">
        <v>188.12</v>
      </c>
      <c r="D20" s="32">
        <v>9.16</v>
      </c>
      <c r="E20" s="32">
        <v>9.16</v>
      </c>
      <c r="F20" s="32">
        <v>0.28000000000000003</v>
      </c>
      <c r="G20" s="31">
        <v>1567.63</v>
      </c>
      <c r="H20" s="33">
        <f t="shared" si="0"/>
        <v>1.0305676855895196</v>
      </c>
      <c r="I20" s="31">
        <v>438.94</v>
      </c>
      <c r="J20" s="32">
        <v>0.12</v>
      </c>
      <c r="K20" s="34">
        <f t="shared" si="1"/>
        <v>1.3100436681222707E-2</v>
      </c>
      <c r="L20" s="589">
        <f t="shared" si="2"/>
        <v>0.15999999999999936</v>
      </c>
      <c r="M20" s="35">
        <f t="shared" si="3"/>
        <v>1.7467248908296873E-2</v>
      </c>
      <c r="N20" s="590">
        <f t="shared" si="4"/>
        <v>250.82079999999902</v>
      </c>
      <c r="O20" s="456" t="s">
        <v>139</v>
      </c>
      <c r="P20" s="456" t="s">
        <v>1155</v>
      </c>
      <c r="Q20" s="456" t="s">
        <v>141</v>
      </c>
      <c r="R20" s="37" t="s">
        <v>79</v>
      </c>
    </row>
    <row r="21" spans="1:18" s="38" customFormat="1" ht="24.95" customHeight="1" thickBot="1" x14ac:dyDescent="0.3">
      <c r="A21" s="592">
        <v>10</v>
      </c>
      <c r="B21" s="40" t="s">
        <v>70</v>
      </c>
      <c r="C21" s="41">
        <v>187.26</v>
      </c>
      <c r="D21" s="42">
        <v>38.42</v>
      </c>
      <c r="E21" s="42">
        <v>38.42</v>
      </c>
      <c r="F21" s="42">
        <v>2.2999999999999998</v>
      </c>
      <c r="G21" s="41">
        <v>814.16</v>
      </c>
      <c r="H21" s="43">
        <f t="shared" si="0"/>
        <v>1.059864653826132</v>
      </c>
      <c r="I21" s="41">
        <v>1872.57</v>
      </c>
      <c r="J21" s="42">
        <v>0.23</v>
      </c>
      <c r="K21" s="44">
        <f t="shared" si="1"/>
        <v>5.9864653826132222E-3</v>
      </c>
      <c r="L21" s="593">
        <f t="shared" si="2"/>
        <v>2.0699999999999972</v>
      </c>
      <c r="M21" s="45">
        <f t="shared" si="3"/>
        <v>5.3878188443518923E-2</v>
      </c>
      <c r="N21" s="594">
        <f t="shared" si="4"/>
        <v>1685.3111999999976</v>
      </c>
      <c r="O21" s="457" t="s">
        <v>139</v>
      </c>
      <c r="P21" s="457" t="s">
        <v>1155</v>
      </c>
      <c r="Q21" s="457" t="s">
        <v>134</v>
      </c>
      <c r="R21" s="47" t="s">
        <v>71</v>
      </c>
    </row>
    <row r="22" spans="1:18" s="53" customFormat="1" ht="24.95" customHeight="1" thickBot="1" x14ac:dyDescent="0.3">
      <c r="A22" s="595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596"/>
      <c r="M22" s="51"/>
      <c r="N22" s="597"/>
      <c r="O22" s="52"/>
      <c r="P22" s="52"/>
      <c r="Q22" s="52"/>
      <c r="R22" s="48"/>
    </row>
    <row r="23" spans="1:18" s="53" customFormat="1" ht="40.5" customHeight="1" x14ac:dyDescent="0.25">
      <c r="A23" s="616" t="s">
        <v>1140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1141</v>
      </c>
      <c r="B24" s="620"/>
      <c r="C24" s="620"/>
      <c r="D24" s="620" t="s">
        <v>1114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1115</v>
      </c>
      <c r="P24" s="630" t="s">
        <v>1116</v>
      </c>
      <c r="Q24" s="629" t="s">
        <v>1117</v>
      </c>
      <c r="R24" s="627" t="s">
        <v>1118</v>
      </c>
    </row>
    <row r="25" spans="1:18" s="53" customFormat="1" ht="24.95" customHeight="1" x14ac:dyDescent="0.25">
      <c r="A25" s="631" t="s">
        <v>1142</v>
      </c>
      <c r="B25" s="634" t="s">
        <v>1143</v>
      </c>
      <c r="C25" s="635"/>
      <c r="D25" s="636" t="s">
        <v>1144</v>
      </c>
      <c r="E25" s="636"/>
      <c r="F25" s="636"/>
      <c r="G25" s="636"/>
      <c r="H25" s="636"/>
      <c r="I25" s="636"/>
      <c r="J25" s="637" t="s">
        <v>1145</v>
      </c>
      <c r="K25" s="637"/>
      <c r="L25" s="637"/>
      <c r="M25" s="638"/>
      <c r="N25" s="638"/>
      <c r="O25" s="629"/>
      <c r="P25" s="629"/>
      <c r="Q25" s="629"/>
      <c r="R25" s="627"/>
    </row>
    <row r="26" spans="1:18" s="53" customFormat="1" ht="24.95" customHeight="1" x14ac:dyDescent="0.3">
      <c r="A26" s="632"/>
      <c r="B26" s="639" t="s">
        <v>1123</v>
      </c>
      <c r="C26" s="641" t="s">
        <v>1146</v>
      </c>
      <c r="D26" s="643" t="s">
        <v>1125</v>
      </c>
      <c r="E26" s="643"/>
      <c r="F26" s="643"/>
      <c r="G26" s="643"/>
      <c r="H26" s="643"/>
      <c r="I26" s="643"/>
      <c r="J26" s="644" t="s">
        <v>1147</v>
      </c>
      <c r="K26" s="645"/>
      <c r="L26" s="646"/>
      <c r="M26" s="644" t="s">
        <v>1148</v>
      </c>
      <c r="N26" s="646"/>
      <c r="O26" s="629"/>
      <c r="P26" s="629"/>
      <c r="Q26" s="629"/>
      <c r="R26" s="627"/>
    </row>
    <row r="27" spans="1:18" s="53" customFormat="1" ht="50.1" customHeight="1" x14ac:dyDescent="0.25">
      <c r="A27" s="633"/>
      <c r="B27" s="640"/>
      <c r="C27" s="642"/>
      <c r="D27" s="585" t="s">
        <v>1128</v>
      </c>
      <c r="E27" s="585" t="s">
        <v>1129</v>
      </c>
      <c r="F27" s="585" t="s">
        <v>1130</v>
      </c>
      <c r="G27" s="585" t="s">
        <v>1131</v>
      </c>
      <c r="H27" s="585" t="s">
        <v>1149</v>
      </c>
      <c r="I27" s="585" t="s">
        <v>1133</v>
      </c>
      <c r="J27" s="586" t="s">
        <v>1134</v>
      </c>
      <c r="K27" s="586" t="s">
        <v>1135</v>
      </c>
      <c r="L27" s="587" t="s">
        <v>1136</v>
      </c>
      <c r="M27" s="586" t="s">
        <v>1134</v>
      </c>
      <c r="N27" s="586" t="s">
        <v>1150</v>
      </c>
      <c r="O27" s="629"/>
      <c r="P27" s="629"/>
      <c r="Q27" s="629"/>
      <c r="R27" s="627"/>
    </row>
    <row r="28" spans="1:18" s="53" customFormat="1" ht="24.95" customHeight="1" x14ac:dyDescent="0.25">
      <c r="A28" s="588">
        <v>1</v>
      </c>
      <c r="B28" s="30" t="s">
        <v>714</v>
      </c>
      <c r="C28" s="31">
        <v>14726.36</v>
      </c>
      <c r="D28" s="32">
        <v>115.68</v>
      </c>
      <c r="E28" s="32">
        <v>167.91</v>
      </c>
      <c r="F28" s="32">
        <v>0.6</v>
      </c>
      <c r="G28" s="31">
        <v>278.75</v>
      </c>
      <c r="H28" s="54">
        <f t="shared" ref="H28:H37" si="5">(E28+F28)/D28</f>
        <v>1.4566908713692945</v>
      </c>
      <c r="I28" s="31">
        <v>14726.36</v>
      </c>
      <c r="J28" s="32">
        <v>0</v>
      </c>
      <c r="K28" s="34">
        <f t="shared" ref="K28:K37" si="6">J28/D28</f>
        <v>0</v>
      </c>
      <c r="L28" s="590">
        <f t="shared" ref="L28:L37" si="7">J28*G28</f>
        <v>0</v>
      </c>
      <c r="M28" s="589">
        <f t="shared" ref="M28:M37" si="8">((E28+F28)-D28)-J28</f>
        <v>52.829999999999984</v>
      </c>
      <c r="N28" s="35">
        <f t="shared" ref="N28:N37" si="9">M28/D28</f>
        <v>0.45669087136929443</v>
      </c>
      <c r="O28" s="451"/>
      <c r="P28" s="458"/>
      <c r="Q28" s="458"/>
      <c r="R28" s="37" t="s">
        <v>59</v>
      </c>
    </row>
    <row r="29" spans="1:18" s="53" customFormat="1" ht="24.75" customHeight="1" x14ac:dyDescent="0.25">
      <c r="A29" s="591">
        <v>2</v>
      </c>
      <c r="B29" s="30" t="s">
        <v>607</v>
      </c>
      <c r="C29" s="31">
        <v>3550</v>
      </c>
      <c r="D29" s="32">
        <v>10712</v>
      </c>
      <c r="E29" s="32">
        <v>10712</v>
      </c>
      <c r="F29" s="32">
        <v>200</v>
      </c>
      <c r="G29" s="31">
        <v>17.75</v>
      </c>
      <c r="H29" s="54">
        <f t="shared" si="5"/>
        <v>1.0186706497386109</v>
      </c>
      <c r="I29" s="31">
        <v>3550</v>
      </c>
      <c r="J29" s="32">
        <v>0</v>
      </c>
      <c r="K29" s="34">
        <f t="shared" si="6"/>
        <v>0</v>
      </c>
      <c r="L29" s="590">
        <f t="shared" si="7"/>
        <v>0</v>
      </c>
      <c r="M29" s="589">
        <f t="shared" si="8"/>
        <v>200</v>
      </c>
      <c r="N29" s="35">
        <f t="shared" si="9"/>
        <v>1.8670649738610903E-2</v>
      </c>
      <c r="O29" s="451"/>
      <c r="P29" s="458"/>
      <c r="Q29" s="458"/>
      <c r="R29" s="37" t="s">
        <v>608</v>
      </c>
    </row>
    <row r="30" spans="1:18" s="53" customFormat="1" ht="24.95" customHeight="1" x14ac:dyDescent="0.25">
      <c r="A30" s="591">
        <v>3</v>
      </c>
      <c r="B30" s="30" t="s">
        <v>531</v>
      </c>
      <c r="C30" s="31">
        <v>2007.04</v>
      </c>
      <c r="D30" s="32">
        <v>116.46</v>
      </c>
      <c r="E30" s="32">
        <v>116.46</v>
      </c>
      <c r="F30" s="32">
        <v>6.99</v>
      </c>
      <c r="G30" s="31">
        <v>313.60000000000002</v>
      </c>
      <c r="H30" s="54">
        <f t="shared" si="5"/>
        <v>1.0600206079340546</v>
      </c>
      <c r="I30" s="31">
        <v>2192.06</v>
      </c>
      <c r="J30" s="57">
        <v>0.59</v>
      </c>
      <c r="K30" s="34">
        <f t="shared" si="6"/>
        <v>5.0661171217585435E-3</v>
      </c>
      <c r="L30" s="590">
        <f t="shared" si="7"/>
        <v>185.024</v>
      </c>
      <c r="M30" s="589">
        <f t="shared" si="8"/>
        <v>6.399999999999995</v>
      </c>
      <c r="N30" s="35">
        <f t="shared" si="9"/>
        <v>5.4954490812296031E-2</v>
      </c>
      <c r="O30" s="451"/>
      <c r="P30" s="458"/>
      <c r="Q30" s="458"/>
      <c r="R30" s="37" t="s">
        <v>59</v>
      </c>
    </row>
    <row r="31" spans="1:18" s="53" customFormat="1" ht="24.95" customHeight="1" x14ac:dyDescent="0.25">
      <c r="A31" s="588">
        <v>4</v>
      </c>
      <c r="B31" s="30" t="s">
        <v>651</v>
      </c>
      <c r="C31" s="31">
        <v>1874.93</v>
      </c>
      <c r="D31" s="32">
        <v>82.24</v>
      </c>
      <c r="E31" s="32">
        <v>82.24</v>
      </c>
      <c r="F31" s="32">
        <v>4.93</v>
      </c>
      <c r="G31" s="31">
        <v>417.58</v>
      </c>
      <c r="H31" s="54">
        <f t="shared" si="5"/>
        <v>1.0599464980544746</v>
      </c>
      <c r="I31" s="31">
        <v>2058.67</v>
      </c>
      <c r="J31" s="32">
        <v>0.44</v>
      </c>
      <c r="K31" s="34">
        <f t="shared" si="6"/>
        <v>5.350194552529183E-3</v>
      </c>
      <c r="L31" s="590">
        <f t="shared" si="7"/>
        <v>183.73519999999999</v>
      </c>
      <c r="M31" s="589">
        <f t="shared" si="8"/>
        <v>4.4899999999999922</v>
      </c>
      <c r="N31" s="35">
        <f t="shared" si="9"/>
        <v>5.4596303501945435E-2</v>
      </c>
      <c r="O31" s="451"/>
      <c r="P31" s="458"/>
      <c r="Q31" s="458"/>
      <c r="R31" s="37" t="s">
        <v>656</v>
      </c>
    </row>
    <row r="32" spans="1:18" s="53" customFormat="1" ht="24.95" customHeight="1" x14ac:dyDescent="0.25">
      <c r="A32" s="591">
        <v>5</v>
      </c>
      <c r="B32" s="30" t="s">
        <v>87</v>
      </c>
      <c r="C32" s="31">
        <v>1769.64</v>
      </c>
      <c r="D32" s="32">
        <v>239.73</v>
      </c>
      <c r="E32" s="32">
        <v>239.73</v>
      </c>
      <c r="F32" s="32">
        <v>10.07</v>
      </c>
      <c r="G32" s="31">
        <v>194.04</v>
      </c>
      <c r="H32" s="54">
        <f t="shared" si="5"/>
        <v>1.0420055896216576</v>
      </c>
      <c r="I32" s="31">
        <v>1953.98</v>
      </c>
      <c r="J32" s="32">
        <v>0.95</v>
      </c>
      <c r="K32" s="34">
        <f t="shared" si="6"/>
        <v>3.9627914737412921E-3</v>
      </c>
      <c r="L32" s="590">
        <f t="shared" si="7"/>
        <v>184.33799999999999</v>
      </c>
      <c r="M32" s="589">
        <f t="shared" si="8"/>
        <v>9.1199999999999939</v>
      </c>
      <c r="N32" s="35">
        <f t="shared" si="9"/>
        <v>3.8042798147916383E-2</v>
      </c>
      <c r="O32" s="451"/>
      <c r="P32" s="458"/>
      <c r="Q32" s="458"/>
      <c r="R32" s="37" t="s">
        <v>88</v>
      </c>
    </row>
    <row r="33" spans="1:18" s="53" customFormat="1" ht="24.95" customHeight="1" x14ac:dyDescent="0.25">
      <c r="A33" s="588">
        <v>6</v>
      </c>
      <c r="B33" s="30" t="s">
        <v>70</v>
      </c>
      <c r="C33" s="31">
        <v>1685.31</v>
      </c>
      <c r="D33" s="32">
        <v>38.42</v>
      </c>
      <c r="E33" s="32">
        <v>38.42</v>
      </c>
      <c r="F33" s="32">
        <v>2.2999999999999998</v>
      </c>
      <c r="G33" s="31">
        <v>814.16</v>
      </c>
      <c r="H33" s="54">
        <f t="shared" si="5"/>
        <v>1.059864653826132</v>
      </c>
      <c r="I33" s="31">
        <v>1872.57</v>
      </c>
      <c r="J33" s="32">
        <v>0.23</v>
      </c>
      <c r="K33" s="34">
        <f t="shared" si="6"/>
        <v>5.9864653826132222E-3</v>
      </c>
      <c r="L33" s="590">
        <f t="shared" si="7"/>
        <v>187.2568</v>
      </c>
      <c r="M33" s="589">
        <f t="shared" si="8"/>
        <v>2.0699999999999972</v>
      </c>
      <c r="N33" s="35">
        <f t="shared" si="9"/>
        <v>5.3878188443518923E-2</v>
      </c>
      <c r="O33" s="451"/>
      <c r="P33" s="458"/>
      <c r="Q33" s="458"/>
      <c r="R33" s="37" t="s">
        <v>71</v>
      </c>
    </row>
    <row r="34" spans="1:18" s="53" customFormat="1" ht="24.95" customHeight="1" x14ac:dyDescent="0.25">
      <c r="A34" s="591">
        <v>7</v>
      </c>
      <c r="B34" s="30" t="s">
        <v>897</v>
      </c>
      <c r="C34" s="31">
        <v>1342.7</v>
      </c>
      <c r="D34" s="32">
        <v>162.55000000000001</v>
      </c>
      <c r="E34" s="32">
        <v>162.55000000000001</v>
      </c>
      <c r="F34" s="32">
        <v>7.8</v>
      </c>
      <c r="G34" s="31">
        <v>195.73</v>
      </c>
      <c r="H34" s="54">
        <f t="shared" si="5"/>
        <v>1.0479852353122117</v>
      </c>
      <c r="I34" s="31">
        <v>1526.69</v>
      </c>
      <c r="J34" s="32">
        <v>0.94</v>
      </c>
      <c r="K34" s="34">
        <f t="shared" si="6"/>
        <v>5.7828360504460158E-3</v>
      </c>
      <c r="L34" s="590">
        <f t="shared" si="7"/>
        <v>183.98619999999997</v>
      </c>
      <c r="M34" s="589">
        <f t="shared" si="8"/>
        <v>6.8600000000000119</v>
      </c>
      <c r="N34" s="35">
        <f t="shared" si="9"/>
        <v>4.220239926176568E-2</v>
      </c>
      <c r="O34" s="451"/>
      <c r="P34" s="458"/>
      <c r="Q34" s="458"/>
      <c r="R34" s="37" t="s">
        <v>898</v>
      </c>
    </row>
    <row r="35" spans="1:18" s="53" customFormat="1" ht="24.95" customHeight="1" x14ac:dyDescent="0.25">
      <c r="A35" s="588">
        <v>8</v>
      </c>
      <c r="B35" s="30" t="s">
        <v>183</v>
      </c>
      <c r="C35" s="31">
        <v>1333.02</v>
      </c>
      <c r="D35" s="32">
        <v>102.84</v>
      </c>
      <c r="E35" s="32">
        <v>102.84</v>
      </c>
      <c r="F35" s="32">
        <v>3.7</v>
      </c>
      <c r="G35" s="31">
        <v>410.16</v>
      </c>
      <c r="H35" s="54">
        <f t="shared" si="5"/>
        <v>1.0359782185919877</v>
      </c>
      <c r="I35" s="31">
        <v>1517.59</v>
      </c>
      <c r="J35" s="32">
        <v>0.45</v>
      </c>
      <c r="K35" s="34">
        <f t="shared" si="6"/>
        <v>4.3757292882147022E-3</v>
      </c>
      <c r="L35" s="590">
        <f t="shared" si="7"/>
        <v>184.572</v>
      </c>
      <c r="M35" s="589">
        <f t="shared" si="8"/>
        <v>3.2500000000000027</v>
      </c>
      <c r="N35" s="35">
        <f t="shared" si="9"/>
        <v>3.1602489303772879E-2</v>
      </c>
      <c r="O35" s="451"/>
      <c r="P35" s="458"/>
      <c r="Q35" s="458"/>
      <c r="R35" s="37" t="s">
        <v>59</v>
      </c>
    </row>
    <row r="36" spans="1:18" s="53" customFormat="1" ht="24.95" customHeight="1" x14ac:dyDescent="0.25">
      <c r="A36" s="591">
        <v>9</v>
      </c>
      <c r="B36" s="30" t="s">
        <v>92</v>
      </c>
      <c r="C36" s="31">
        <v>1320.71</v>
      </c>
      <c r="D36" s="32">
        <v>123.43</v>
      </c>
      <c r="E36" s="32">
        <v>123.43</v>
      </c>
      <c r="F36" s="32">
        <v>7.4</v>
      </c>
      <c r="G36" s="31">
        <v>203.5</v>
      </c>
      <c r="H36" s="54">
        <f t="shared" si="5"/>
        <v>1.0599530098031273</v>
      </c>
      <c r="I36" s="31">
        <v>1505.9</v>
      </c>
      <c r="J36" s="32">
        <v>0.91</v>
      </c>
      <c r="K36" s="34">
        <f t="shared" si="6"/>
        <v>7.3725998541683546E-3</v>
      </c>
      <c r="L36" s="590">
        <f t="shared" si="7"/>
        <v>185.185</v>
      </c>
      <c r="M36" s="589">
        <f t="shared" si="8"/>
        <v>6.4900000000000055</v>
      </c>
      <c r="N36" s="35">
        <f t="shared" si="9"/>
        <v>5.2580409948958969E-2</v>
      </c>
      <c r="O36" s="451"/>
      <c r="P36" s="458"/>
      <c r="Q36" s="458"/>
      <c r="R36" s="37" t="s">
        <v>59</v>
      </c>
    </row>
    <row r="37" spans="1:18" s="53" customFormat="1" ht="24.95" customHeight="1" thickBot="1" x14ac:dyDescent="0.3">
      <c r="A37" s="592">
        <v>10</v>
      </c>
      <c r="B37" s="40" t="s">
        <v>304</v>
      </c>
      <c r="C37" s="41">
        <v>1241.44</v>
      </c>
      <c r="D37" s="42">
        <v>93.24</v>
      </c>
      <c r="E37" s="42">
        <v>93.24</v>
      </c>
      <c r="F37" s="42">
        <v>4.4800000000000004</v>
      </c>
      <c r="G37" s="41">
        <v>318.32</v>
      </c>
      <c r="H37" s="58">
        <f t="shared" si="5"/>
        <v>1.0480480480480481</v>
      </c>
      <c r="I37" s="41">
        <v>1426.07</v>
      </c>
      <c r="J37" s="42">
        <v>0.57999999999999996</v>
      </c>
      <c r="K37" s="44">
        <f t="shared" si="6"/>
        <v>6.2205062205062207E-3</v>
      </c>
      <c r="L37" s="594">
        <f t="shared" si="7"/>
        <v>184.62559999999999</v>
      </c>
      <c r="M37" s="593">
        <f t="shared" si="8"/>
        <v>3.9000000000000039</v>
      </c>
      <c r="N37" s="45">
        <f t="shared" si="9"/>
        <v>4.1827541827541871E-2</v>
      </c>
      <c r="O37" s="59"/>
      <c r="P37" s="60"/>
      <c r="Q37" s="60"/>
      <c r="R37" s="61" t="s">
        <v>77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1151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229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622" t="s">
        <v>1142</v>
      </c>
      <c r="B41" s="623" t="s">
        <v>1120</v>
      </c>
      <c r="C41" s="623"/>
      <c r="D41" s="624"/>
      <c r="E41" s="62"/>
      <c r="G41" s="64"/>
      <c r="H41" s="65"/>
    </row>
    <row r="42" spans="1:18" ht="20.45" customHeight="1" x14ac:dyDescent="0.35">
      <c r="A42" s="622"/>
      <c r="B42" s="625" t="s">
        <v>1123</v>
      </c>
      <c r="C42" s="626" t="s">
        <v>1124</v>
      </c>
      <c r="D42" s="627" t="s">
        <v>1152</v>
      </c>
      <c r="E42" s="62"/>
      <c r="G42" s="64"/>
      <c r="H42" s="65"/>
    </row>
    <row r="43" spans="1:18" ht="20.45" customHeight="1" x14ac:dyDescent="0.35">
      <c r="A43" s="622"/>
      <c r="B43" s="625"/>
      <c r="C43" s="626"/>
      <c r="D43" s="627"/>
      <c r="E43" s="62"/>
      <c r="G43" s="64"/>
      <c r="H43" s="65"/>
    </row>
    <row r="44" spans="1:18" s="68" customFormat="1" ht="24.95" customHeight="1" x14ac:dyDescent="0.35">
      <c r="A44" s="598">
        <v>1</v>
      </c>
      <c r="B44" s="30" t="s">
        <v>61</v>
      </c>
      <c r="C44" s="31">
        <v>2803.08</v>
      </c>
      <c r="D44" s="66">
        <f t="shared" ref="D44:D53" si="10">C44/$L$5</f>
        <v>0.41540527162846669</v>
      </c>
      <c r="E44" s="67"/>
      <c r="G44" s="64"/>
      <c r="H44" s="65"/>
    </row>
    <row r="45" spans="1:18" s="68" customFormat="1" ht="24.95" customHeight="1" x14ac:dyDescent="0.35">
      <c r="A45" s="599">
        <v>2</v>
      </c>
      <c r="B45" s="30" t="s">
        <v>58</v>
      </c>
      <c r="C45" s="31">
        <v>986.06</v>
      </c>
      <c r="D45" s="66">
        <f t="shared" si="10"/>
        <v>0.146130157591637</v>
      </c>
      <c r="E45" s="67"/>
      <c r="G45" s="64"/>
      <c r="H45" s="65"/>
    </row>
    <row r="46" spans="1:18" s="68" customFormat="1" ht="24.95" customHeight="1" x14ac:dyDescent="0.35">
      <c r="A46" s="599">
        <v>3</v>
      </c>
      <c r="B46" s="30" t="s">
        <v>69</v>
      </c>
      <c r="C46" s="31">
        <v>374.85</v>
      </c>
      <c r="D46" s="66">
        <f t="shared" si="10"/>
        <v>5.5551274337489742E-2</v>
      </c>
      <c r="E46" s="67"/>
      <c r="G46" s="64"/>
      <c r="H46" s="65"/>
    </row>
    <row r="47" spans="1:18" s="68" customFormat="1" ht="24.95" customHeight="1" x14ac:dyDescent="0.35">
      <c r="A47" s="598">
        <v>4</v>
      </c>
      <c r="B47" s="30" t="s">
        <v>91</v>
      </c>
      <c r="C47" s="31">
        <v>185.21</v>
      </c>
      <c r="D47" s="66">
        <f t="shared" si="10"/>
        <v>2.7447383006659932E-2</v>
      </c>
      <c r="E47" s="67"/>
      <c r="G47" s="64"/>
      <c r="H47" s="65"/>
    </row>
    <row r="48" spans="1:18" s="68" customFormat="1" ht="24.95" customHeight="1" x14ac:dyDescent="0.35">
      <c r="A48" s="599">
        <v>5</v>
      </c>
      <c r="B48" s="30" t="s">
        <v>92</v>
      </c>
      <c r="C48" s="31">
        <v>185.19</v>
      </c>
      <c r="D48" s="66">
        <f t="shared" si="10"/>
        <v>2.7444419086460517E-2</v>
      </c>
      <c r="E48" s="67"/>
      <c r="G48" s="64"/>
      <c r="H48" s="65"/>
    </row>
    <row r="49" spans="1:5" s="68" customFormat="1" ht="24.95" customHeight="1" x14ac:dyDescent="0.25">
      <c r="A49" s="598">
        <v>6</v>
      </c>
      <c r="B49" s="30" t="s">
        <v>531</v>
      </c>
      <c r="C49" s="31">
        <v>185.02</v>
      </c>
      <c r="D49" s="66">
        <f t="shared" si="10"/>
        <v>2.7419225764765513E-2</v>
      </c>
      <c r="E49" s="67"/>
    </row>
    <row r="50" spans="1:5" s="68" customFormat="1" ht="24.95" customHeight="1" x14ac:dyDescent="0.25">
      <c r="A50" s="599">
        <v>7</v>
      </c>
      <c r="B50" s="30" t="s">
        <v>254</v>
      </c>
      <c r="C50" s="31">
        <v>184.97</v>
      </c>
      <c r="D50" s="66">
        <f t="shared" si="10"/>
        <v>2.7411815964266978E-2</v>
      </c>
      <c r="E50" s="67"/>
    </row>
    <row r="51" spans="1:5" s="68" customFormat="1" ht="24.95" customHeight="1" x14ac:dyDescent="0.25">
      <c r="A51" s="598">
        <v>8</v>
      </c>
      <c r="B51" s="30" t="s">
        <v>483</v>
      </c>
      <c r="C51" s="31">
        <v>184.64</v>
      </c>
      <c r="D51" s="66">
        <f t="shared" si="10"/>
        <v>2.7362911280976669E-2</v>
      </c>
      <c r="E51" s="67"/>
    </row>
    <row r="52" spans="1:5" s="68" customFormat="1" ht="24.95" customHeight="1" x14ac:dyDescent="0.25">
      <c r="A52" s="599">
        <v>9</v>
      </c>
      <c r="B52" s="30" t="s">
        <v>166</v>
      </c>
      <c r="C52" s="31">
        <v>184.62</v>
      </c>
      <c r="D52" s="66">
        <f t="shared" si="10"/>
        <v>2.7359947360777261E-2</v>
      </c>
      <c r="E52" s="67"/>
    </row>
    <row r="53" spans="1:5" s="68" customFormat="1" ht="24.95" customHeight="1" thickBot="1" x14ac:dyDescent="0.3">
      <c r="A53" s="600">
        <v>10</v>
      </c>
      <c r="B53" s="40" t="s">
        <v>65</v>
      </c>
      <c r="C53" s="41">
        <v>184.58</v>
      </c>
      <c r="D53" s="69">
        <f t="shared" si="10"/>
        <v>2.7354019520378435E-2</v>
      </c>
      <c r="E53" s="67"/>
    </row>
    <row r="54" spans="1:5" x14ac:dyDescent="0.25">
      <c r="A54" s="614" t="s">
        <v>1153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1154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1139" priority="44" operator="containsText" text="024">
      <formula>NOT(ISERROR(SEARCH("024",A12)))</formula>
    </cfRule>
    <cfRule type="containsText" dxfId="1138" priority="45" operator="containsText" text="白醬">
      <formula>NOT(ISERROR(SEARCH("白醬",A12)))</formula>
    </cfRule>
    <cfRule type="containsText" dxfId="1137" priority="46" operator="containsText" text="青蔥">
      <formula>NOT(ISERROR(SEARCH("青蔥",A12)))</formula>
    </cfRule>
    <cfRule type="containsText" dxfId="1136" priority="47" operator="containsText" text=")川燙小青花菜">
      <formula>NOT(ISERROR(SEARCH(")川燙小青花菜",A12)))</formula>
    </cfRule>
    <cfRule type="containsText" dxfId="1135" priority="48" operator="containsText" text="湯凍">
      <formula>NOT(ISERROR(SEARCH("湯凍",A12)))</formula>
    </cfRule>
    <cfRule type="containsText" dxfId="1134" priority="49" operator="containsText" text="中華">
      <formula>NOT(ISERROR(SEARCH("中華",A12)))</formula>
    </cfRule>
  </conditionalFormatting>
  <conditionalFormatting sqref="A12:A22">
    <cfRule type="containsText" dxfId="1133" priority="42" operator="containsText" text="綠豆芽">
      <formula>NOT(ISERROR(SEARCH("綠豆芽",A12)))</formula>
    </cfRule>
    <cfRule type="containsText" dxfId="1132" priority="43" operator="containsText" text="煮白細麵生(方#12)">
      <formula>NOT(ISERROR(SEARCH("煮白細麵生(方#12)",A12)))</formula>
    </cfRule>
  </conditionalFormatting>
  <conditionalFormatting sqref="A44:A53">
    <cfRule type="containsText" dxfId="1131" priority="33" operator="containsText" text="024">
      <formula>NOT(ISERROR(SEARCH("024",A44)))</formula>
    </cfRule>
    <cfRule type="containsText" dxfId="1130" priority="34" operator="containsText" text="白醬">
      <formula>NOT(ISERROR(SEARCH("白醬",A44)))</formula>
    </cfRule>
    <cfRule type="containsText" dxfId="1129" priority="35" operator="containsText" text="青蔥">
      <formula>NOT(ISERROR(SEARCH("青蔥",A44)))</formula>
    </cfRule>
    <cfRule type="containsText" dxfId="1128" priority="36" operator="containsText" text=")川燙小青花菜">
      <formula>NOT(ISERROR(SEARCH(")川燙小青花菜",A44)))</formula>
    </cfRule>
    <cfRule type="containsText" dxfId="1127" priority="37" operator="containsText" text="湯凍">
      <formula>NOT(ISERROR(SEARCH("湯凍",A44)))</formula>
    </cfRule>
    <cfRule type="containsText" dxfId="1126" priority="38" operator="containsText" text="中華">
      <formula>NOT(ISERROR(SEARCH("中華",A44)))</formula>
    </cfRule>
  </conditionalFormatting>
  <conditionalFormatting sqref="A44:A53">
    <cfRule type="containsText" dxfId="1125" priority="31" operator="containsText" text="綠豆芽">
      <formula>NOT(ISERROR(SEARCH("綠豆芽",A44)))</formula>
    </cfRule>
    <cfRule type="containsText" dxfId="1124" priority="32" operator="containsText" text="煮白細麵生(方#12)">
      <formula>NOT(ISERROR(SEARCH("煮白細麵生(方#12)",A44)))</formula>
    </cfRule>
  </conditionalFormatting>
  <conditionalFormatting sqref="D44:D53">
    <cfRule type="cellIs" dxfId="1123" priority="29" operator="greaterThan">
      <formula>0.146</formula>
    </cfRule>
  </conditionalFormatting>
  <conditionalFormatting sqref="H12:H22">
    <cfRule type="cellIs" dxfId="1122" priority="28" operator="greaterThan">
      <formula>1.1</formula>
    </cfRule>
  </conditionalFormatting>
  <conditionalFormatting sqref="A28:A37">
    <cfRule type="containsText" dxfId="1121" priority="20" operator="containsText" text="024">
      <formula>NOT(ISERROR(SEARCH("024",A28)))</formula>
    </cfRule>
    <cfRule type="containsText" dxfId="1120" priority="21" operator="containsText" text="白醬">
      <formula>NOT(ISERROR(SEARCH("白醬",A28)))</formula>
    </cfRule>
    <cfRule type="containsText" dxfId="1119" priority="22" operator="containsText" text="青蔥">
      <formula>NOT(ISERROR(SEARCH("青蔥",A28)))</formula>
    </cfRule>
    <cfRule type="containsText" dxfId="1118" priority="23" operator="containsText" text=")川燙小青花菜">
      <formula>NOT(ISERROR(SEARCH(")川燙小青花菜",A28)))</formula>
    </cfRule>
    <cfRule type="containsText" dxfId="1117" priority="24" operator="containsText" text="湯凍">
      <formula>NOT(ISERROR(SEARCH("湯凍",A28)))</formula>
    </cfRule>
    <cfRule type="containsText" dxfId="1116" priority="25" operator="containsText" text="中華">
      <formula>NOT(ISERROR(SEARCH("中華",A28)))</formula>
    </cfRule>
  </conditionalFormatting>
  <conditionalFormatting sqref="A28:A37">
    <cfRule type="containsText" dxfId="1115" priority="18" operator="containsText" text="綠豆芽">
      <formula>NOT(ISERROR(SEARCH("綠豆芽",A28)))</formula>
    </cfRule>
    <cfRule type="containsText" dxfId="1114" priority="19" operator="containsText" text="煮白細麵生(方#12)">
      <formula>NOT(ISERROR(SEARCH("煮白細麵生(方#12)",A28)))</formula>
    </cfRule>
  </conditionalFormatting>
  <conditionalFormatting sqref="H28:H37">
    <cfRule type="cellIs" dxfId="1113" priority="17" operator="greaterThan">
      <formula>1.1</formula>
    </cfRule>
  </conditionalFormatting>
  <conditionalFormatting sqref="E5">
    <cfRule type="cellIs" dxfId="1112" priority="7" operator="greaterThan">
      <formula>0.0025</formula>
    </cfRule>
    <cfRule type="cellIs" dxfId="1111" priority="8" operator="greaterThan">
      <formula>0.0025</formula>
    </cfRule>
    <cfRule type="cellIs" dxfId="1110" priority="10" operator="greaterThan">
      <formula>0.072</formula>
    </cfRule>
    <cfRule type="cellIs" dxfId="1109" priority="11" operator="greaterThan">
      <formula>7.2</formula>
    </cfRule>
  </conditionalFormatting>
  <conditionalFormatting sqref="E5">
    <cfRule type="cellIs" dxfId="1108" priority="9" operator="greaterThan">
      <formula>0.0025</formula>
    </cfRule>
  </conditionalFormatting>
  <conditionalFormatting sqref="I5">
    <cfRule type="cellIs" dxfId="1107" priority="6" operator="greaterThan">
      <formula>0.2</formula>
    </cfRule>
  </conditionalFormatting>
  <conditionalFormatting sqref="G5">
    <cfRule type="cellIs" dxfId="1106" priority="1" operator="greaterThan">
      <formula>0.0025</formula>
    </cfRule>
    <cfRule type="cellIs" dxfId="1105" priority="2" operator="greaterThan">
      <formula>0.0025</formula>
    </cfRule>
    <cfRule type="cellIs" dxfId="1104" priority="4" operator="greaterThan">
      <formula>0.072</formula>
    </cfRule>
    <cfRule type="cellIs" dxfId="1103" priority="5" operator="greaterThan">
      <formula>7.2</formula>
    </cfRule>
  </conditionalFormatting>
  <conditionalFormatting sqref="G5">
    <cfRule type="cellIs" dxfId="1102" priority="3" operator="greaterThan">
      <formula>0.0025</formula>
    </cfRule>
  </conditionalFormatting>
  <dataValidations count="2">
    <dataValidation type="list" allowBlank="1" showInputMessage="1" showErrorMessage="1" sqref="P28:P37 P12:P21">
      <formula1>#REF!</formula1>
    </dataValidation>
    <dataValidation type="list" allowBlank="1" showInputMessage="1" showErrorMessage="1" sqref="O28:O37 O12:O21">
      <formula1>#REF!</formula1>
    </dataValidation>
  </dataValidations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3" zoomScale="68" zoomScaleNormal="68" zoomScaleSheetLayoutView="70" workbookViewId="0">
      <selection activeCell="P34" sqref="P3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684" t="s">
        <v>31</v>
      </c>
      <c r="B2" s="685"/>
      <c r="C2" s="567" t="s">
        <v>32</v>
      </c>
      <c r="D2" s="686" t="s">
        <v>33</v>
      </c>
      <c r="E2" s="686"/>
      <c r="F2" s="686" t="s">
        <v>34</v>
      </c>
      <c r="G2" s="686"/>
      <c r="H2" s="686" t="s">
        <v>33</v>
      </c>
      <c r="I2" s="686"/>
      <c r="J2" s="686" t="s">
        <v>34</v>
      </c>
      <c r="K2" s="686"/>
      <c r="L2" s="686" t="s">
        <v>33</v>
      </c>
      <c r="M2" s="687"/>
      <c r="R2" s="17"/>
    </row>
    <row r="3" spans="1:18" s="18" customFormat="1" ht="28.5" x14ac:dyDescent="0.45">
      <c r="A3" s="681">
        <v>45929</v>
      </c>
      <c r="B3" s="682"/>
      <c r="C3" s="683">
        <v>6458149.9500000002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681"/>
      <c r="B4" s="682"/>
      <c r="C4" s="68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679" t="s">
        <v>44</v>
      </c>
      <c r="B5" s="680"/>
      <c r="C5" s="680"/>
      <c r="D5" s="568">
        <v>15820.380000000005</v>
      </c>
      <c r="E5" s="22">
        <f>D5/C3</f>
        <v>2.4496767839836241E-3</v>
      </c>
      <c r="F5" s="568">
        <v>49069.360000000015</v>
      </c>
      <c r="G5" s="23">
        <f>F5/C3</f>
        <v>7.5980521325615885E-3</v>
      </c>
      <c r="H5" s="24">
        <f>SUM(C12:C21)</f>
        <v>5971.09</v>
      </c>
      <c r="I5" s="25">
        <f>H5/D5</f>
        <v>0.37743025135932251</v>
      </c>
      <c r="J5" s="24">
        <f>SUM(C28:C37)</f>
        <v>36921.979999999996</v>
      </c>
      <c r="K5" s="26">
        <f>J5/F5</f>
        <v>0.75244470276359798</v>
      </c>
      <c r="L5" s="27">
        <v>6866.83</v>
      </c>
      <c r="M5" s="28">
        <f>L5/D5</f>
        <v>0.43404962459814478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1065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1066</v>
      </c>
      <c r="B8" s="620"/>
      <c r="C8" s="620"/>
      <c r="D8" s="620" t="s">
        <v>1067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1068</v>
      </c>
      <c r="P8" s="630" t="s">
        <v>1069</v>
      </c>
      <c r="Q8" s="629" t="s">
        <v>1070</v>
      </c>
      <c r="R8" s="666" t="s">
        <v>1071</v>
      </c>
    </row>
    <row r="9" spans="1:18" ht="20.45" customHeight="1" x14ac:dyDescent="0.25">
      <c r="A9" s="667" t="s">
        <v>1072</v>
      </c>
      <c r="B9" s="634" t="s">
        <v>1073</v>
      </c>
      <c r="C9" s="635"/>
      <c r="D9" s="636" t="s">
        <v>1074</v>
      </c>
      <c r="E9" s="636"/>
      <c r="F9" s="636"/>
      <c r="G9" s="636"/>
      <c r="H9" s="636"/>
      <c r="I9" s="636"/>
      <c r="J9" s="637" t="s">
        <v>1075</v>
      </c>
      <c r="K9" s="637"/>
      <c r="L9" s="637"/>
      <c r="M9" s="638"/>
      <c r="N9" s="638"/>
      <c r="O9" s="629"/>
      <c r="P9" s="629"/>
      <c r="Q9" s="629"/>
      <c r="R9" s="666"/>
    </row>
    <row r="10" spans="1:18" ht="20.45" customHeight="1" x14ac:dyDescent="0.3">
      <c r="A10" s="668"/>
      <c r="B10" s="670" t="s">
        <v>1076</v>
      </c>
      <c r="C10" s="672" t="s">
        <v>1077</v>
      </c>
      <c r="D10" s="674" t="s">
        <v>1078</v>
      </c>
      <c r="E10" s="674"/>
      <c r="F10" s="674"/>
      <c r="G10" s="674"/>
      <c r="H10" s="674"/>
      <c r="I10" s="674"/>
      <c r="J10" s="675" t="s">
        <v>1079</v>
      </c>
      <c r="K10" s="677"/>
      <c r="L10" s="678" t="s">
        <v>1080</v>
      </c>
      <c r="M10" s="675"/>
      <c r="N10" s="675"/>
      <c r="O10" s="629"/>
      <c r="P10" s="629"/>
      <c r="Q10" s="629"/>
      <c r="R10" s="666"/>
    </row>
    <row r="11" spans="1:18" s="29" customFormat="1" ht="47.25" customHeight="1" x14ac:dyDescent="0.25">
      <c r="A11" s="669"/>
      <c r="B11" s="671"/>
      <c r="C11" s="673"/>
      <c r="D11" s="569" t="s">
        <v>1081</v>
      </c>
      <c r="E11" s="569" t="s">
        <v>1082</v>
      </c>
      <c r="F11" s="569" t="s">
        <v>1083</v>
      </c>
      <c r="G11" s="569" t="s">
        <v>1084</v>
      </c>
      <c r="H11" s="569" t="s">
        <v>1085</v>
      </c>
      <c r="I11" s="569" t="s">
        <v>1086</v>
      </c>
      <c r="J11" s="570" t="s">
        <v>1087</v>
      </c>
      <c r="K11" s="570" t="s">
        <v>1088</v>
      </c>
      <c r="L11" s="570" t="s">
        <v>1089</v>
      </c>
      <c r="M11" s="570" t="s">
        <v>1088</v>
      </c>
      <c r="N11" s="571" t="s">
        <v>1090</v>
      </c>
      <c r="O11" s="629"/>
      <c r="P11" s="629"/>
      <c r="Q11" s="629"/>
      <c r="R11" s="666"/>
    </row>
    <row r="12" spans="1:18" s="38" customFormat="1" ht="24.95" customHeight="1" x14ac:dyDescent="0.25">
      <c r="A12" s="572">
        <v>1</v>
      </c>
      <c r="B12" s="30" t="s">
        <v>61</v>
      </c>
      <c r="C12" s="31">
        <v>1882.54</v>
      </c>
      <c r="D12" s="32">
        <v>7891</v>
      </c>
      <c r="E12" s="32">
        <v>7891</v>
      </c>
      <c r="F12" s="32">
        <v>286.10000000000002</v>
      </c>
      <c r="G12" s="31">
        <v>6.58</v>
      </c>
      <c r="H12" s="33">
        <f t="shared" ref="H12:H21" si="0">(E12+F12)/D12</f>
        <v>1.0362564947408441</v>
      </c>
      <c r="I12" s="31">
        <v>1882.54</v>
      </c>
      <c r="J12" s="32">
        <v>286.10000000000002</v>
      </c>
      <c r="K12" s="34">
        <f t="shared" ref="K12:K21" si="1">J12/D12</f>
        <v>3.6256494740844004E-2</v>
      </c>
      <c r="L12" s="573">
        <f t="shared" ref="L12:L21" si="2">((E12+F12)-D12)-J12</f>
        <v>0</v>
      </c>
      <c r="M12" s="35">
        <f t="shared" ref="M12:M21" si="3">L12/D12</f>
        <v>0</v>
      </c>
      <c r="N12" s="574">
        <f t="shared" ref="N12:N21" si="4">L12*G12</f>
        <v>0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575">
        <v>2</v>
      </c>
      <c r="B13" s="30" t="s">
        <v>58</v>
      </c>
      <c r="C13" s="31">
        <v>1516.7</v>
      </c>
      <c r="D13" s="32">
        <v>16819</v>
      </c>
      <c r="E13" s="32">
        <v>16819</v>
      </c>
      <c r="F13" s="32">
        <v>261.5</v>
      </c>
      <c r="G13" s="31">
        <v>5.8</v>
      </c>
      <c r="H13" s="33">
        <f t="shared" si="0"/>
        <v>1.0155478922647005</v>
      </c>
      <c r="I13" s="31">
        <v>1516.7</v>
      </c>
      <c r="J13" s="32">
        <v>261.5</v>
      </c>
      <c r="K13" s="34">
        <f t="shared" si="1"/>
        <v>1.5547892264700635E-2</v>
      </c>
      <c r="L13" s="573">
        <f t="shared" si="2"/>
        <v>0</v>
      </c>
      <c r="M13" s="35">
        <f t="shared" si="3"/>
        <v>0</v>
      </c>
      <c r="N13" s="574">
        <f t="shared" si="4"/>
        <v>0</v>
      </c>
      <c r="O13" s="456" t="s">
        <v>139</v>
      </c>
      <c r="P13" s="456" t="s">
        <v>28</v>
      </c>
      <c r="Q13" s="456" t="s">
        <v>982</v>
      </c>
      <c r="R13" s="37" t="s">
        <v>59</v>
      </c>
    </row>
    <row r="14" spans="1:18" s="39" customFormat="1" ht="24.95" customHeight="1" x14ac:dyDescent="0.25">
      <c r="A14" s="575">
        <v>3</v>
      </c>
      <c r="B14" s="30" t="s">
        <v>65</v>
      </c>
      <c r="C14" s="31">
        <v>797.69</v>
      </c>
      <c r="D14" s="32">
        <v>100.7</v>
      </c>
      <c r="E14" s="32">
        <v>100.7</v>
      </c>
      <c r="F14" s="32">
        <v>10.02</v>
      </c>
      <c r="G14" s="31">
        <v>160.5</v>
      </c>
      <c r="H14" s="33">
        <f t="shared" si="0"/>
        <v>1.0995034756703077</v>
      </c>
      <c r="I14" s="31">
        <v>1608.21</v>
      </c>
      <c r="J14" s="32">
        <v>4.97</v>
      </c>
      <c r="K14" s="34">
        <f t="shared" si="1"/>
        <v>4.9354518371400195E-2</v>
      </c>
      <c r="L14" s="573">
        <f t="shared" si="2"/>
        <v>5.0499999999999963</v>
      </c>
      <c r="M14" s="35">
        <f t="shared" si="3"/>
        <v>5.0148957298907608E-2</v>
      </c>
      <c r="N14" s="574">
        <f t="shared" si="4"/>
        <v>810.52499999999941</v>
      </c>
      <c r="O14" s="456" t="s">
        <v>139</v>
      </c>
      <c r="P14" s="456" t="s">
        <v>1155</v>
      </c>
      <c r="Q14" s="456" t="s">
        <v>141</v>
      </c>
      <c r="R14" s="37" t="s">
        <v>59</v>
      </c>
    </row>
    <row r="15" spans="1:18" s="38" customFormat="1" ht="24.95" customHeight="1" x14ac:dyDescent="0.25">
      <c r="A15" s="572">
        <v>4</v>
      </c>
      <c r="B15" s="30" t="s">
        <v>604</v>
      </c>
      <c r="C15" s="31">
        <v>385.95</v>
      </c>
      <c r="D15" s="32">
        <v>90.75</v>
      </c>
      <c r="E15" s="32">
        <v>90.75</v>
      </c>
      <c r="F15" s="32">
        <v>6.5</v>
      </c>
      <c r="G15" s="31">
        <v>119.12</v>
      </c>
      <c r="H15" s="33">
        <f t="shared" si="0"/>
        <v>1.0716253443526171</v>
      </c>
      <c r="I15" s="31">
        <v>774.28</v>
      </c>
      <c r="J15" s="32">
        <v>3.24</v>
      </c>
      <c r="K15" s="34">
        <f t="shared" si="1"/>
        <v>3.5702479338842977E-2</v>
      </c>
      <c r="L15" s="573">
        <f t="shared" si="2"/>
        <v>3.26</v>
      </c>
      <c r="M15" s="35">
        <f t="shared" si="3"/>
        <v>3.5922865013774105E-2</v>
      </c>
      <c r="N15" s="574">
        <f t="shared" si="4"/>
        <v>388.33119999999997</v>
      </c>
      <c r="O15" s="456" t="s">
        <v>139</v>
      </c>
      <c r="P15" s="456" t="s">
        <v>1155</v>
      </c>
      <c r="Q15" s="456" t="s">
        <v>144</v>
      </c>
      <c r="R15" s="37" t="s">
        <v>335</v>
      </c>
    </row>
    <row r="16" spans="1:18" s="39" customFormat="1" ht="24.95" customHeight="1" x14ac:dyDescent="0.25">
      <c r="A16" s="575">
        <v>5</v>
      </c>
      <c r="B16" s="30" t="s">
        <v>419</v>
      </c>
      <c r="C16" s="31">
        <v>297.33</v>
      </c>
      <c r="D16" s="32">
        <v>73.27</v>
      </c>
      <c r="E16" s="32">
        <v>73.27</v>
      </c>
      <c r="F16" s="32">
        <v>7.21</v>
      </c>
      <c r="G16" s="31">
        <v>90.1</v>
      </c>
      <c r="H16" s="33">
        <f t="shared" si="0"/>
        <v>1.0984031663709566</v>
      </c>
      <c r="I16" s="31">
        <v>649.62</v>
      </c>
      <c r="J16" s="32">
        <v>3.3</v>
      </c>
      <c r="K16" s="34">
        <f t="shared" si="1"/>
        <v>4.5038897229425411E-2</v>
      </c>
      <c r="L16" s="573">
        <f t="shared" si="2"/>
        <v>3.9099999999999939</v>
      </c>
      <c r="M16" s="35">
        <f t="shared" si="3"/>
        <v>5.3364269141531244E-2</v>
      </c>
      <c r="N16" s="574">
        <f t="shared" si="4"/>
        <v>352.29099999999943</v>
      </c>
      <c r="O16" s="456" t="s">
        <v>142</v>
      </c>
      <c r="P16" s="456" t="s">
        <v>26</v>
      </c>
      <c r="Q16" s="456" t="s">
        <v>619</v>
      </c>
      <c r="R16" s="37" t="s">
        <v>86</v>
      </c>
    </row>
    <row r="17" spans="1:18" s="38" customFormat="1" ht="24.95" customHeight="1" x14ac:dyDescent="0.25">
      <c r="A17" s="572">
        <v>6</v>
      </c>
      <c r="B17" s="30" t="s">
        <v>648</v>
      </c>
      <c r="C17" s="31">
        <v>282.01</v>
      </c>
      <c r="D17" s="32">
        <v>51.21</v>
      </c>
      <c r="E17" s="32">
        <v>51.21</v>
      </c>
      <c r="F17" s="32">
        <v>4.9000000000000004</v>
      </c>
      <c r="G17" s="31">
        <v>118.99</v>
      </c>
      <c r="H17" s="33">
        <f t="shared" si="0"/>
        <v>1.0956844366334699</v>
      </c>
      <c r="I17" s="31">
        <v>583.04999999999995</v>
      </c>
      <c r="J17" s="32">
        <v>2.37</v>
      </c>
      <c r="K17" s="34">
        <f t="shared" si="1"/>
        <v>4.6280023432923256E-2</v>
      </c>
      <c r="L17" s="573">
        <f t="shared" si="2"/>
        <v>2.5299999999999985</v>
      </c>
      <c r="M17" s="35">
        <f t="shared" si="3"/>
        <v>4.940441320054674E-2</v>
      </c>
      <c r="N17" s="574">
        <f t="shared" si="4"/>
        <v>301.04469999999981</v>
      </c>
      <c r="O17" s="456" t="s">
        <v>139</v>
      </c>
      <c r="P17" s="456" t="s">
        <v>1155</v>
      </c>
      <c r="Q17" s="456" t="s">
        <v>141</v>
      </c>
      <c r="R17" s="37" t="s">
        <v>657</v>
      </c>
    </row>
    <row r="18" spans="1:18" s="39" customFormat="1" ht="24.95" customHeight="1" x14ac:dyDescent="0.25">
      <c r="A18" s="575">
        <v>7</v>
      </c>
      <c r="B18" s="30" t="s">
        <v>166</v>
      </c>
      <c r="C18" s="31">
        <v>256.64999999999998</v>
      </c>
      <c r="D18" s="32">
        <v>6112</v>
      </c>
      <c r="E18" s="32">
        <v>6112</v>
      </c>
      <c r="F18" s="32">
        <v>58.33</v>
      </c>
      <c r="G18" s="31">
        <v>4.4000000000000004</v>
      </c>
      <c r="H18" s="33">
        <f t="shared" si="0"/>
        <v>1.0095435209424084</v>
      </c>
      <c r="I18" s="31">
        <v>256.64999999999998</v>
      </c>
      <c r="J18" s="32">
        <v>58.33</v>
      </c>
      <c r="K18" s="34">
        <f t="shared" si="1"/>
        <v>9.5435209424083768E-3</v>
      </c>
      <c r="L18" s="573">
        <f t="shared" si="2"/>
        <v>-7.1054273576010019E-14</v>
      </c>
      <c r="M18" s="35">
        <f t="shared" si="3"/>
        <v>-1.1625371985603733E-17</v>
      </c>
      <c r="N18" s="574">
        <f t="shared" si="4"/>
        <v>-3.1263880373444408E-13</v>
      </c>
      <c r="O18" s="456" t="s">
        <v>139</v>
      </c>
      <c r="P18" s="456" t="s">
        <v>28</v>
      </c>
      <c r="Q18" s="456" t="s">
        <v>140</v>
      </c>
      <c r="R18" s="37" t="s">
        <v>59</v>
      </c>
    </row>
    <row r="19" spans="1:18" s="38" customFormat="1" ht="24.95" customHeight="1" x14ac:dyDescent="0.25">
      <c r="A19" s="572">
        <v>8</v>
      </c>
      <c r="B19" s="30" t="s">
        <v>445</v>
      </c>
      <c r="C19" s="31">
        <v>191.27</v>
      </c>
      <c r="D19" s="32">
        <v>35.67</v>
      </c>
      <c r="E19" s="32">
        <v>35.67</v>
      </c>
      <c r="F19" s="32">
        <v>3.43</v>
      </c>
      <c r="G19" s="31">
        <v>113.18</v>
      </c>
      <c r="H19" s="33">
        <f t="shared" si="0"/>
        <v>1.0961592374544435</v>
      </c>
      <c r="I19" s="31">
        <v>388.21</v>
      </c>
      <c r="J19" s="32">
        <v>1.69</v>
      </c>
      <c r="K19" s="34">
        <f t="shared" si="1"/>
        <v>4.7378749649565455E-2</v>
      </c>
      <c r="L19" s="573">
        <f t="shared" si="2"/>
        <v>1.7399999999999998</v>
      </c>
      <c r="M19" s="35">
        <f t="shared" si="3"/>
        <v>4.8780487804878037E-2</v>
      </c>
      <c r="N19" s="574">
        <f t="shared" si="4"/>
        <v>196.9332</v>
      </c>
      <c r="O19" s="456" t="s">
        <v>139</v>
      </c>
      <c r="P19" s="456" t="s">
        <v>1155</v>
      </c>
      <c r="Q19" s="456" t="s">
        <v>141</v>
      </c>
      <c r="R19" s="37" t="s">
        <v>444</v>
      </c>
    </row>
    <row r="20" spans="1:18" s="38" customFormat="1" ht="24.95" customHeight="1" x14ac:dyDescent="0.25">
      <c r="A20" s="575">
        <v>9</v>
      </c>
      <c r="B20" s="30" t="s">
        <v>1009</v>
      </c>
      <c r="C20" s="31">
        <v>181.51</v>
      </c>
      <c r="D20" s="32">
        <v>33.450000000000003</v>
      </c>
      <c r="E20" s="32">
        <v>33.450000000000003</v>
      </c>
      <c r="F20" s="32">
        <v>3.21</v>
      </c>
      <c r="G20" s="31">
        <v>112.74</v>
      </c>
      <c r="H20" s="33">
        <f t="shared" si="0"/>
        <v>1.0959641255605381</v>
      </c>
      <c r="I20" s="31">
        <v>361.9</v>
      </c>
      <c r="J20" s="32">
        <v>1.61</v>
      </c>
      <c r="K20" s="34">
        <f t="shared" si="1"/>
        <v>4.8131539611360241E-2</v>
      </c>
      <c r="L20" s="573">
        <f t="shared" si="2"/>
        <v>1.6000000000000008</v>
      </c>
      <c r="M20" s="35">
        <f t="shared" si="3"/>
        <v>4.7832585949177893E-2</v>
      </c>
      <c r="N20" s="574">
        <f t="shared" si="4"/>
        <v>180.38400000000007</v>
      </c>
      <c r="O20" s="456" t="s">
        <v>139</v>
      </c>
      <c r="P20" s="456" t="s">
        <v>1155</v>
      </c>
      <c r="Q20" s="456" t="s">
        <v>141</v>
      </c>
      <c r="R20" s="37" t="s">
        <v>656</v>
      </c>
    </row>
    <row r="21" spans="1:18" s="38" customFormat="1" ht="24.95" customHeight="1" thickBot="1" x14ac:dyDescent="0.3">
      <c r="A21" s="576">
        <v>10</v>
      </c>
      <c r="B21" s="40" t="s">
        <v>213</v>
      </c>
      <c r="C21" s="41">
        <v>179.44</v>
      </c>
      <c r="D21" s="42">
        <v>5288</v>
      </c>
      <c r="E21" s="42">
        <v>5288</v>
      </c>
      <c r="F21" s="42">
        <v>41.25</v>
      </c>
      <c r="G21" s="41">
        <v>4.3499999999999996</v>
      </c>
      <c r="H21" s="43">
        <f t="shared" si="0"/>
        <v>1.0078006807866868</v>
      </c>
      <c r="I21" s="41">
        <v>179.44</v>
      </c>
      <c r="J21" s="42">
        <v>41.25</v>
      </c>
      <c r="K21" s="44">
        <f t="shared" si="1"/>
        <v>7.800680786686838E-3</v>
      </c>
      <c r="L21" s="577">
        <f t="shared" si="2"/>
        <v>0</v>
      </c>
      <c r="M21" s="45">
        <f t="shared" si="3"/>
        <v>0</v>
      </c>
      <c r="N21" s="578">
        <f t="shared" si="4"/>
        <v>0</v>
      </c>
      <c r="O21" s="457" t="s">
        <v>139</v>
      </c>
      <c r="P21" s="457" t="s">
        <v>28</v>
      </c>
      <c r="Q21" s="457" t="s">
        <v>140</v>
      </c>
      <c r="R21" s="47" t="s">
        <v>214</v>
      </c>
    </row>
    <row r="22" spans="1:18" s="53" customFormat="1" ht="24.95" customHeight="1" thickBot="1" x14ac:dyDescent="0.3">
      <c r="A22" s="579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580"/>
      <c r="M22" s="51"/>
      <c r="N22" s="581"/>
      <c r="O22" s="52"/>
      <c r="P22" s="52"/>
      <c r="Q22" s="52"/>
      <c r="R22" s="48"/>
    </row>
    <row r="23" spans="1:18" s="53" customFormat="1" ht="40.5" customHeight="1" x14ac:dyDescent="0.25">
      <c r="A23" s="616" t="s">
        <v>1091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1092</v>
      </c>
      <c r="B24" s="620"/>
      <c r="C24" s="620"/>
      <c r="D24" s="620" t="s">
        <v>230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1093</v>
      </c>
      <c r="P24" s="630" t="s">
        <v>1069</v>
      </c>
      <c r="Q24" s="629" t="s">
        <v>1094</v>
      </c>
      <c r="R24" s="666" t="s">
        <v>1095</v>
      </c>
    </row>
    <row r="25" spans="1:18" s="53" customFormat="1" ht="24.95" customHeight="1" x14ac:dyDescent="0.25">
      <c r="A25" s="667" t="s">
        <v>115</v>
      </c>
      <c r="B25" s="634" t="s">
        <v>1073</v>
      </c>
      <c r="C25" s="635"/>
      <c r="D25" s="636" t="s">
        <v>117</v>
      </c>
      <c r="E25" s="636"/>
      <c r="F25" s="636"/>
      <c r="G25" s="636"/>
      <c r="H25" s="636"/>
      <c r="I25" s="636"/>
      <c r="J25" s="637" t="s">
        <v>1096</v>
      </c>
      <c r="K25" s="637"/>
      <c r="L25" s="637"/>
      <c r="M25" s="638"/>
      <c r="N25" s="638"/>
      <c r="O25" s="629"/>
      <c r="P25" s="629"/>
      <c r="Q25" s="629"/>
      <c r="R25" s="666"/>
    </row>
    <row r="26" spans="1:18" s="53" customFormat="1" ht="24.95" customHeight="1" x14ac:dyDescent="0.3">
      <c r="A26" s="668"/>
      <c r="B26" s="670" t="s">
        <v>1097</v>
      </c>
      <c r="C26" s="672" t="s">
        <v>120</v>
      </c>
      <c r="D26" s="674" t="s">
        <v>1078</v>
      </c>
      <c r="E26" s="674"/>
      <c r="F26" s="674"/>
      <c r="G26" s="674"/>
      <c r="H26" s="674"/>
      <c r="I26" s="674"/>
      <c r="J26" s="675" t="s">
        <v>51</v>
      </c>
      <c r="K26" s="676"/>
      <c r="L26" s="677"/>
      <c r="M26" s="675" t="s">
        <v>1098</v>
      </c>
      <c r="N26" s="677"/>
      <c r="O26" s="629"/>
      <c r="P26" s="629"/>
      <c r="Q26" s="629"/>
      <c r="R26" s="666"/>
    </row>
    <row r="27" spans="1:18" s="53" customFormat="1" ht="50.1" customHeight="1" x14ac:dyDescent="0.25">
      <c r="A27" s="669"/>
      <c r="B27" s="671"/>
      <c r="C27" s="673"/>
      <c r="D27" s="569" t="s">
        <v>1099</v>
      </c>
      <c r="E27" s="569" t="s">
        <v>1100</v>
      </c>
      <c r="F27" s="569" t="s">
        <v>1083</v>
      </c>
      <c r="G27" s="569" t="s">
        <v>1084</v>
      </c>
      <c r="H27" s="569" t="s">
        <v>1101</v>
      </c>
      <c r="I27" s="569" t="s">
        <v>1102</v>
      </c>
      <c r="J27" s="570" t="s">
        <v>1087</v>
      </c>
      <c r="K27" s="570" t="s">
        <v>1103</v>
      </c>
      <c r="L27" s="571" t="s">
        <v>1104</v>
      </c>
      <c r="M27" s="570" t="s">
        <v>127</v>
      </c>
      <c r="N27" s="570" t="s">
        <v>1103</v>
      </c>
      <c r="O27" s="629"/>
      <c r="P27" s="629"/>
      <c r="Q27" s="629"/>
      <c r="R27" s="666"/>
    </row>
    <row r="28" spans="1:18" s="53" customFormat="1" ht="24.95" customHeight="1" x14ac:dyDescent="0.25">
      <c r="A28" s="572">
        <v>1</v>
      </c>
      <c r="B28" s="30" t="s">
        <v>714</v>
      </c>
      <c r="C28" s="31">
        <v>23741.14</v>
      </c>
      <c r="D28" s="32">
        <v>121.57</v>
      </c>
      <c r="E28" s="32">
        <v>206.26</v>
      </c>
      <c r="F28" s="32">
        <v>0.48</v>
      </c>
      <c r="G28" s="31">
        <v>278.75</v>
      </c>
      <c r="H28" s="54">
        <f t="shared" ref="H28:H37" si="5">(E28+F28)/D28</f>
        <v>1.7005840256642264</v>
      </c>
      <c r="I28" s="31">
        <v>23741.14</v>
      </c>
      <c r="J28" s="32">
        <v>0</v>
      </c>
      <c r="K28" s="34">
        <f t="shared" ref="K28:K37" si="6">J28/D28</f>
        <v>0</v>
      </c>
      <c r="L28" s="574">
        <f t="shared" ref="L28:L37" si="7">J28*G28</f>
        <v>0</v>
      </c>
      <c r="M28" s="573">
        <f t="shared" ref="M28:M37" si="8">((E28+F28)-D28)-J28</f>
        <v>85.169999999999987</v>
      </c>
      <c r="N28" s="35">
        <f t="shared" ref="N28:N37" si="9">M28/D28</f>
        <v>0.70058402566422628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575">
        <v>2</v>
      </c>
      <c r="B29" s="30" t="s">
        <v>607</v>
      </c>
      <c r="C29" s="31">
        <v>5325</v>
      </c>
      <c r="D29" s="32">
        <v>10726</v>
      </c>
      <c r="E29" s="32">
        <v>10726</v>
      </c>
      <c r="F29" s="32">
        <v>300</v>
      </c>
      <c r="G29" s="31">
        <v>17.75</v>
      </c>
      <c r="H29" s="54">
        <f t="shared" si="5"/>
        <v>1.0279694201006899</v>
      </c>
      <c r="I29" s="31">
        <v>5325</v>
      </c>
      <c r="J29" s="32">
        <v>0</v>
      </c>
      <c r="K29" s="34">
        <f t="shared" si="6"/>
        <v>0</v>
      </c>
      <c r="L29" s="574">
        <f t="shared" si="7"/>
        <v>0</v>
      </c>
      <c r="M29" s="573">
        <f t="shared" si="8"/>
        <v>300</v>
      </c>
      <c r="N29" s="35">
        <f t="shared" si="9"/>
        <v>2.7969420100689913E-2</v>
      </c>
      <c r="O29" s="451" t="s">
        <v>142</v>
      </c>
      <c r="P29" s="458" t="s">
        <v>26</v>
      </c>
      <c r="Q29" s="458" t="s">
        <v>894</v>
      </c>
      <c r="R29" s="37" t="s">
        <v>608</v>
      </c>
    </row>
    <row r="30" spans="1:18" s="53" customFormat="1" ht="24.95" customHeight="1" x14ac:dyDescent="0.25">
      <c r="A30" s="575">
        <v>3</v>
      </c>
      <c r="B30" s="30" t="s">
        <v>80</v>
      </c>
      <c r="C30" s="31">
        <v>1421.54</v>
      </c>
      <c r="D30" s="32">
        <v>342.34</v>
      </c>
      <c r="E30" s="32">
        <v>342.34</v>
      </c>
      <c r="F30" s="32">
        <v>10.17</v>
      </c>
      <c r="G30" s="31">
        <v>156.72999999999999</v>
      </c>
      <c r="H30" s="54">
        <f t="shared" si="5"/>
        <v>1.0297073085236899</v>
      </c>
      <c r="I30" s="31">
        <v>1593.94</v>
      </c>
      <c r="J30" s="57">
        <v>1.1000000000000001</v>
      </c>
      <c r="K30" s="34">
        <f t="shared" si="6"/>
        <v>3.2131798796518085E-3</v>
      </c>
      <c r="L30" s="574">
        <f t="shared" si="7"/>
        <v>172.40299999999999</v>
      </c>
      <c r="M30" s="573">
        <f t="shared" si="8"/>
        <v>9.0700000000000163</v>
      </c>
      <c r="N30" s="35">
        <f t="shared" si="9"/>
        <v>2.6494128644038141E-2</v>
      </c>
      <c r="O30" s="451" t="s">
        <v>133</v>
      </c>
      <c r="P30" s="458" t="s">
        <v>1155</v>
      </c>
      <c r="Q30" s="458" t="s">
        <v>136</v>
      </c>
      <c r="R30" s="37" t="s">
        <v>59</v>
      </c>
    </row>
    <row r="31" spans="1:18" s="53" customFormat="1" ht="24.95" customHeight="1" x14ac:dyDescent="0.25">
      <c r="A31" s="572">
        <v>4</v>
      </c>
      <c r="B31" s="30" t="s">
        <v>651</v>
      </c>
      <c r="C31" s="31">
        <v>1056.48</v>
      </c>
      <c r="D31" s="32">
        <v>89.2</v>
      </c>
      <c r="E31" s="32">
        <v>89.2</v>
      </c>
      <c r="F31" s="32">
        <v>2.94</v>
      </c>
      <c r="G31" s="31">
        <v>417.58</v>
      </c>
      <c r="H31" s="54">
        <f t="shared" si="5"/>
        <v>1.0329596412556055</v>
      </c>
      <c r="I31" s="31">
        <v>1227.69</v>
      </c>
      <c r="J31" s="32">
        <v>0.41</v>
      </c>
      <c r="K31" s="34">
        <f t="shared" si="6"/>
        <v>4.5964125560538109E-3</v>
      </c>
      <c r="L31" s="574">
        <f t="shared" si="7"/>
        <v>171.20779999999999</v>
      </c>
      <c r="M31" s="573">
        <f t="shared" si="8"/>
        <v>2.5299999999999976</v>
      </c>
      <c r="N31" s="35">
        <f t="shared" si="9"/>
        <v>2.8363228699551542E-2</v>
      </c>
      <c r="O31" s="451" t="s">
        <v>133</v>
      </c>
      <c r="P31" s="458" t="s">
        <v>1155</v>
      </c>
      <c r="Q31" s="458" t="s">
        <v>134</v>
      </c>
      <c r="R31" s="37" t="s">
        <v>656</v>
      </c>
    </row>
    <row r="32" spans="1:18" s="53" customFormat="1" ht="24.95" customHeight="1" x14ac:dyDescent="0.25">
      <c r="A32" s="575">
        <v>5</v>
      </c>
      <c r="B32" s="30" t="s">
        <v>531</v>
      </c>
      <c r="C32" s="31">
        <v>1053.7</v>
      </c>
      <c r="D32" s="32">
        <v>118.37</v>
      </c>
      <c r="E32" s="32">
        <v>118.37</v>
      </c>
      <c r="F32" s="32">
        <v>3.91</v>
      </c>
      <c r="G32" s="31">
        <v>313.60000000000002</v>
      </c>
      <c r="H32" s="54">
        <f t="shared" si="5"/>
        <v>1.0330320182478667</v>
      </c>
      <c r="I32" s="31">
        <v>1226.18</v>
      </c>
      <c r="J32" s="32">
        <v>0.55000000000000004</v>
      </c>
      <c r="K32" s="34">
        <f t="shared" si="6"/>
        <v>4.6464475796232155E-3</v>
      </c>
      <c r="L32" s="574">
        <f t="shared" si="7"/>
        <v>172.48000000000002</v>
      </c>
      <c r="M32" s="573">
        <f t="shared" si="8"/>
        <v>3.3599999999999968</v>
      </c>
      <c r="N32" s="35">
        <f t="shared" si="9"/>
        <v>2.8385570668243616E-2</v>
      </c>
      <c r="O32" s="451" t="s">
        <v>133</v>
      </c>
      <c r="P32" s="458" t="s">
        <v>1155</v>
      </c>
      <c r="Q32" s="458" t="s">
        <v>136</v>
      </c>
      <c r="R32" s="37" t="s">
        <v>59</v>
      </c>
    </row>
    <row r="33" spans="1:18" s="53" customFormat="1" ht="24.95" customHeight="1" x14ac:dyDescent="0.25">
      <c r="A33" s="572">
        <v>6</v>
      </c>
      <c r="B33" s="30" t="s">
        <v>70</v>
      </c>
      <c r="C33" s="31">
        <v>928.14999999999986</v>
      </c>
      <c r="D33" s="32">
        <v>40.79</v>
      </c>
      <c r="E33" s="32">
        <v>40.79</v>
      </c>
      <c r="F33" s="32">
        <v>1.35</v>
      </c>
      <c r="G33" s="31">
        <v>814.16</v>
      </c>
      <c r="H33" s="54">
        <f t="shared" si="5"/>
        <v>1.0330963471439079</v>
      </c>
      <c r="I33" s="31">
        <v>1099.1199999999999</v>
      </c>
      <c r="J33" s="32">
        <v>0.21</v>
      </c>
      <c r="K33" s="34">
        <f t="shared" si="6"/>
        <v>5.1483206668301055E-3</v>
      </c>
      <c r="L33" s="574">
        <f t="shared" si="7"/>
        <v>170.97359999999998</v>
      </c>
      <c r="M33" s="573">
        <f t="shared" si="8"/>
        <v>1.1400000000000015</v>
      </c>
      <c r="N33" s="35">
        <f t="shared" si="9"/>
        <v>2.7948026477077753E-2</v>
      </c>
      <c r="O33" s="451" t="s">
        <v>133</v>
      </c>
      <c r="P33" s="458" t="s">
        <v>27</v>
      </c>
      <c r="Q33" s="458" t="s">
        <v>659</v>
      </c>
      <c r="R33" s="37" t="s">
        <v>71</v>
      </c>
    </row>
    <row r="34" spans="1:18" s="53" customFormat="1" ht="24.95" customHeight="1" x14ac:dyDescent="0.25">
      <c r="A34" s="575">
        <v>7</v>
      </c>
      <c r="B34" s="30" t="s">
        <v>68</v>
      </c>
      <c r="C34" s="31">
        <v>898.12</v>
      </c>
      <c r="D34" s="32">
        <v>229.91</v>
      </c>
      <c r="E34" s="32">
        <v>229.91</v>
      </c>
      <c r="F34" s="32">
        <v>6.83</v>
      </c>
      <c r="G34" s="31">
        <v>156.74</v>
      </c>
      <c r="H34" s="54">
        <f t="shared" si="5"/>
        <v>1.0297072767604716</v>
      </c>
      <c r="I34" s="31">
        <v>1070.53</v>
      </c>
      <c r="J34" s="32">
        <v>1.1000000000000001</v>
      </c>
      <c r="K34" s="34">
        <f t="shared" si="6"/>
        <v>4.7844808838241057E-3</v>
      </c>
      <c r="L34" s="574">
        <f t="shared" si="7"/>
        <v>172.41400000000002</v>
      </c>
      <c r="M34" s="573">
        <f t="shared" si="8"/>
        <v>5.7300000000000129</v>
      </c>
      <c r="N34" s="35">
        <f t="shared" si="9"/>
        <v>2.492279587664744E-2</v>
      </c>
      <c r="O34" s="451" t="s">
        <v>133</v>
      </c>
      <c r="P34" s="458" t="s">
        <v>1155</v>
      </c>
      <c r="Q34" s="458" t="s">
        <v>136</v>
      </c>
      <c r="R34" s="37" t="s">
        <v>59</v>
      </c>
    </row>
    <row r="35" spans="1:18" s="53" customFormat="1" ht="24.95" customHeight="1" x14ac:dyDescent="0.25">
      <c r="A35" s="572">
        <v>8</v>
      </c>
      <c r="B35" s="30" t="s">
        <v>87</v>
      </c>
      <c r="C35" s="31">
        <v>882.87999999999988</v>
      </c>
      <c r="D35" s="32">
        <v>235.59</v>
      </c>
      <c r="E35" s="32">
        <v>235.59</v>
      </c>
      <c r="F35" s="32">
        <v>5.44</v>
      </c>
      <c r="G35" s="31">
        <v>194.04</v>
      </c>
      <c r="H35" s="54">
        <f t="shared" si="5"/>
        <v>1.0230909631138843</v>
      </c>
      <c r="I35" s="31">
        <v>1055.58</v>
      </c>
      <c r="J35" s="32">
        <v>0.89</v>
      </c>
      <c r="K35" s="34">
        <f t="shared" si="6"/>
        <v>3.7777494800288638E-3</v>
      </c>
      <c r="L35" s="574">
        <f t="shared" si="7"/>
        <v>172.69559999999998</v>
      </c>
      <c r="M35" s="573">
        <f t="shared" si="8"/>
        <v>4.549999999999998</v>
      </c>
      <c r="N35" s="35">
        <f t="shared" si="9"/>
        <v>1.9313213633855419E-2</v>
      </c>
      <c r="O35" s="451" t="s">
        <v>133</v>
      </c>
      <c r="P35" s="458" t="s">
        <v>1155</v>
      </c>
      <c r="Q35" s="458" t="s">
        <v>135</v>
      </c>
      <c r="R35" s="37" t="s">
        <v>88</v>
      </c>
    </row>
    <row r="36" spans="1:18" s="53" customFormat="1" ht="24.95" customHeight="1" x14ac:dyDescent="0.25">
      <c r="A36" s="575">
        <v>9</v>
      </c>
      <c r="B36" s="30" t="s">
        <v>65</v>
      </c>
      <c r="C36" s="31">
        <v>810.52</v>
      </c>
      <c r="D36" s="32">
        <v>100.7</v>
      </c>
      <c r="E36" s="32">
        <v>100.7</v>
      </c>
      <c r="F36" s="32">
        <v>10.02</v>
      </c>
      <c r="G36" s="31">
        <v>160.5</v>
      </c>
      <c r="H36" s="54">
        <f t="shared" si="5"/>
        <v>1.0995034756703077</v>
      </c>
      <c r="I36" s="31">
        <v>1608.21</v>
      </c>
      <c r="J36" s="32">
        <v>4.97</v>
      </c>
      <c r="K36" s="34">
        <f t="shared" si="6"/>
        <v>4.9354518371400195E-2</v>
      </c>
      <c r="L36" s="574">
        <f t="shared" si="7"/>
        <v>797.68499999999995</v>
      </c>
      <c r="M36" s="573">
        <f t="shared" si="8"/>
        <v>5.0499999999999963</v>
      </c>
      <c r="N36" s="35">
        <f t="shared" si="9"/>
        <v>5.0148957298907608E-2</v>
      </c>
      <c r="O36" s="451" t="s">
        <v>139</v>
      </c>
      <c r="P36" s="458" t="s">
        <v>1155</v>
      </c>
      <c r="Q36" s="458" t="s">
        <v>141</v>
      </c>
      <c r="R36" s="37" t="s">
        <v>59</v>
      </c>
    </row>
    <row r="37" spans="1:18" s="53" customFormat="1" ht="24.95" customHeight="1" thickBot="1" x14ac:dyDescent="0.3">
      <c r="A37" s="576">
        <v>10</v>
      </c>
      <c r="B37" s="40" t="s">
        <v>897</v>
      </c>
      <c r="C37" s="41">
        <v>804.45</v>
      </c>
      <c r="D37" s="42">
        <v>188.95</v>
      </c>
      <c r="E37" s="42">
        <v>188.95</v>
      </c>
      <c r="F37" s="42">
        <v>4.99</v>
      </c>
      <c r="G37" s="41">
        <v>195.73</v>
      </c>
      <c r="H37" s="58">
        <f t="shared" si="5"/>
        <v>1.026409102937285</v>
      </c>
      <c r="I37" s="41">
        <v>976.69</v>
      </c>
      <c r="J37" s="42">
        <v>0.88</v>
      </c>
      <c r="K37" s="44">
        <f t="shared" si="6"/>
        <v>4.6573167504630857E-3</v>
      </c>
      <c r="L37" s="578">
        <f t="shared" si="7"/>
        <v>172.2424</v>
      </c>
      <c r="M37" s="577">
        <f t="shared" si="8"/>
        <v>4.1100000000000092</v>
      </c>
      <c r="N37" s="45">
        <f t="shared" si="9"/>
        <v>2.1751786186821959E-2</v>
      </c>
      <c r="O37" s="59" t="s">
        <v>133</v>
      </c>
      <c r="P37" s="60" t="s">
        <v>1155</v>
      </c>
      <c r="Q37" s="60" t="s">
        <v>135</v>
      </c>
      <c r="R37" s="61" t="s">
        <v>898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1105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1106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663" t="s">
        <v>1107</v>
      </c>
      <c r="B41" s="623" t="s">
        <v>1108</v>
      </c>
      <c r="C41" s="623"/>
      <c r="D41" s="624"/>
      <c r="E41" s="62"/>
      <c r="G41" s="64"/>
      <c r="H41" s="65"/>
    </row>
    <row r="42" spans="1:18" ht="20.45" customHeight="1" x14ac:dyDescent="0.35">
      <c r="A42" s="663"/>
      <c r="B42" s="664" t="s">
        <v>1076</v>
      </c>
      <c r="C42" s="665" t="s">
        <v>1109</v>
      </c>
      <c r="D42" s="666" t="s">
        <v>1110</v>
      </c>
      <c r="E42" s="62"/>
      <c r="G42" s="64"/>
      <c r="H42" s="65"/>
    </row>
    <row r="43" spans="1:18" ht="20.45" customHeight="1" x14ac:dyDescent="0.35">
      <c r="A43" s="663"/>
      <c r="B43" s="664"/>
      <c r="C43" s="665"/>
      <c r="D43" s="666"/>
      <c r="E43" s="62"/>
      <c r="G43" s="64"/>
      <c r="H43" s="65"/>
    </row>
    <row r="44" spans="1:18" s="68" customFormat="1" ht="24.95" customHeight="1" x14ac:dyDescent="0.35">
      <c r="A44" s="582">
        <v>1</v>
      </c>
      <c r="B44" s="30" t="s">
        <v>61</v>
      </c>
      <c r="C44" s="31">
        <v>1882.54</v>
      </c>
      <c r="D44" s="66">
        <f t="shared" ref="D44:D53" si="10">C44/$L$5</f>
        <v>0.27414978964092601</v>
      </c>
      <c r="E44" s="67"/>
      <c r="G44" s="64"/>
      <c r="H44" s="65"/>
    </row>
    <row r="45" spans="1:18" s="68" customFormat="1" ht="24.95" customHeight="1" x14ac:dyDescent="0.35">
      <c r="A45" s="583">
        <v>2</v>
      </c>
      <c r="B45" s="30" t="s">
        <v>58</v>
      </c>
      <c r="C45" s="31">
        <v>1516.7</v>
      </c>
      <c r="D45" s="66">
        <f t="shared" si="10"/>
        <v>0.22087338699225117</v>
      </c>
      <c r="E45" s="67"/>
      <c r="G45" s="64"/>
      <c r="H45" s="65"/>
    </row>
    <row r="46" spans="1:18" s="68" customFormat="1" ht="24.95" customHeight="1" x14ac:dyDescent="0.35">
      <c r="A46" s="583">
        <v>3</v>
      </c>
      <c r="B46" s="30" t="s">
        <v>65</v>
      </c>
      <c r="C46" s="31">
        <v>797.69</v>
      </c>
      <c r="D46" s="66">
        <f t="shared" si="10"/>
        <v>0.11616568343762698</v>
      </c>
      <c r="E46" s="67"/>
      <c r="G46" s="64"/>
      <c r="H46" s="65"/>
    </row>
    <row r="47" spans="1:18" s="68" customFormat="1" ht="24.95" customHeight="1" x14ac:dyDescent="0.35">
      <c r="A47" s="582">
        <v>4</v>
      </c>
      <c r="B47" s="30" t="s">
        <v>166</v>
      </c>
      <c r="C47" s="31">
        <v>256.64999999999998</v>
      </c>
      <c r="D47" s="66">
        <f t="shared" si="10"/>
        <v>3.7375324567522419E-2</v>
      </c>
      <c r="E47" s="67"/>
      <c r="G47" s="64"/>
      <c r="H47" s="65"/>
    </row>
    <row r="48" spans="1:18" s="68" customFormat="1" ht="24.95" customHeight="1" x14ac:dyDescent="0.35">
      <c r="A48" s="583">
        <v>5</v>
      </c>
      <c r="B48" s="30" t="s">
        <v>92</v>
      </c>
      <c r="C48" s="31">
        <v>172.98</v>
      </c>
      <c r="D48" s="66">
        <f t="shared" si="10"/>
        <v>2.5190662940541703E-2</v>
      </c>
      <c r="E48" s="67"/>
      <c r="G48" s="64"/>
      <c r="H48" s="65"/>
    </row>
    <row r="49" spans="1:5" s="68" customFormat="1" ht="24.95" customHeight="1" x14ac:dyDescent="0.25">
      <c r="A49" s="582">
        <v>6</v>
      </c>
      <c r="B49" s="30" t="s">
        <v>618</v>
      </c>
      <c r="C49" s="31">
        <v>172.87</v>
      </c>
      <c r="D49" s="66">
        <f t="shared" si="10"/>
        <v>2.5174643904101311E-2</v>
      </c>
      <c r="E49" s="67"/>
    </row>
    <row r="50" spans="1:5" s="68" customFormat="1" ht="24.95" customHeight="1" x14ac:dyDescent="0.25">
      <c r="A50" s="583">
        <v>7</v>
      </c>
      <c r="B50" s="30" t="s">
        <v>253</v>
      </c>
      <c r="C50" s="31">
        <v>172.57</v>
      </c>
      <c r="D50" s="66">
        <f t="shared" si="10"/>
        <v>2.5130955622900231E-2</v>
      </c>
      <c r="E50" s="67"/>
    </row>
    <row r="51" spans="1:5" s="68" customFormat="1" ht="24.95" customHeight="1" x14ac:dyDescent="0.25">
      <c r="A51" s="582">
        <v>8</v>
      </c>
      <c r="B51" s="30" t="s">
        <v>531</v>
      </c>
      <c r="C51" s="31">
        <v>172.48</v>
      </c>
      <c r="D51" s="66">
        <f t="shared" si="10"/>
        <v>2.5117849138539906E-2</v>
      </c>
      <c r="E51" s="67"/>
    </row>
    <row r="52" spans="1:5" s="68" customFormat="1" ht="24.95" customHeight="1" x14ac:dyDescent="0.25">
      <c r="A52" s="583">
        <v>9</v>
      </c>
      <c r="B52" s="30" t="s">
        <v>60</v>
      </c>
      <c r="C52" s="31">
        <v>172.47</v>
      </c>
      <c r="D52" s="66">
        <f t="shared" si="10"/>
        <v>2.5116392862499871E-2</v>
      </c>
      <c r="E52" s="67"/>
    </row>
    <row r="53" spans="1:5" s="68" customFormat="1" ht="24.95" customHeight="1" thickBot="1" x14ac:dyDescent="0.3">
      <c r="A53" s="584">
        <v>10</v>
      </c>
      <c r="B53" s="40" t="s">
        <v>91</v>
      </c>
      <c r="C53" s="41">
        <v>172.44</v>
      </c>
      <c r="D53" s="69">
        <f t="shared" si="10"/>
        <v>2.5112024034379763E-2</v>
      </c>
      <c r="E53" s="67"/>
    </row>
    <row r="54" spans="1:5" x14ac:dyDescent="0.25">
      <c r="A54" s="614" t="s">
        <v>1111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1112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1101" priority="33" operator="containsText" text="024">
      <formula>NOT(ISERROR(SEARCH("024",A12)))</formula>
    </cfRule>
    <cfRule type="containsText" dxfId="1100" priority="34" operator="containsText" text="白醬">
      <formula>NOT(ISERROR(SEARCH("白醬",A12)))</formula>
    </cfRule>
    <cfRule type="containsText" dxfId="1099" priority="35" operator="containsText" text="青蔥">
      <formula>NOT(ISERROR(SEARCH("青蔥",A12)))</formula>
    </cfRule>
    <cfRule type="containsText" dxfId="1098" priority="36" operator="containsText" text=")川燙小青花菜">
      <formula>NOT(ISERROR(SEARCH(")川燙小青花菜",A12)))</formula>
    </cfRule>
    <cfRule type="containsText" dxfId="1097" priority="37" operator="containsText" text="湯凍">
      <formula>NOT(ISERROR(SEARCH("湯凍",A12)))</formula>
    </cfRule>
    <cfRule type="containsText" dxfId="1096" priority="38" operator="containsText" text="中華">
      <formula>NOT(ISERROR(SEARCH("中華",A12)))</formula>
    </cfRule>
  </conditionalFormatting>
  <conditionalFormatting sqref="A12:A22">
    <cfRule type="containsText" dxfId="1095" priority="31" operator="containsText" text="綠豆芽">
      <formula>NOT(ISERROR(SEARCH("綠豆芽",A12)))</formula>
    </cfRule>
    <cfRule type="containsText" dxfId="1094" priority="32" operator="containsText" text="煮白細麵生(方#12)">
      <formula>NOT(ISERROR(SEARCH("煮白細麵生(方#12)",A12)))</formula>
    </cfRule>
  </conditionalFormatting>
  <conditionalFormatting sqref="E5">
    <cfRule type="cellIs" dxfId="1093" priority="16" operator="greaterThan">
      <formula>0.0025</formula>
    </cfRule>
    <cfRule type="cellIs" dxfId="1092" priority="19" operator="greaterThan">
      <formula>0.0025</formula>
    </cfRule>
    <cfRule type="cellIs" dxfId="1091" priority="29" operator="greaterThan">
      <formula>0.072</formula>
    </cfRule>
    <cfRule type="cellIs" dxfId="1090" priority="30" operator="greaterThan">
      <formula>7.2</formula>
    </cfRule>
  </conditionalFormatting>
  <conditionalFormatting sqref="E5">
    <cfRule type="cellIs" dxfId="1089" priority="28" operator="greaterThan">
      <formula>0.0025</formula>
    </cfRule>
  </conditionalFormatting>
  <conditionalFormatting sqref="A44:A53">
    <cfRule type="containsText" dxfId="1088" priority="22" operator="containsText" text="024">
      <formula>NOT(ISERROR(SEARCH("024",A44)))</formula>
    </cfRule>
    <cfRule type="containsText" dxfId="1087" priority="23" operator="containsText" text="白醬">
      <formula>NOT(ISERROR(SEARCH("白醬",A44)))</formula>
    </cfRule>
    <cfRule type="containsText" dxfId="1086" priority="24" operator="containsText" text="青蔥">
      <formula>NOT(ISERROR(SEARCH("青蔥",A44)))</formula>
    </cfRule>
    <cfRule type="containsText" dxfId="1085" priority="25" operator="containsText" text=")川燙小青花菜">
      <formula>NOT(ISERROR(SEARCH(")川燙小青花菜",A44)))</formula>
    </cfRule>
    <cfRule type="containsText" dxfId="1084" priority="26" operator="containsText" text="湯凍">
      <formula>NOT(ISERROR(SEARCH("湯凍",A44)))</formula>
    </cfRule>
    <cfRule type="containsText" dxfId="1083" priority="27" operator="containsText" text="中華">
      <formula>NOT(ISERROR(SEARCH("中華",A44)))</formula>
    </cfRule>
  </conditionalFormatting>
  <conditionalFormatting sqref="A44:A53">
    <cfRule type="containsText" dxfId="1082" priority="20" operator="containsText" text="綠豆芽">
      <formula>NOT(ISERROR(SEARCH("綠豆芽",A44)))</formula>
    </cfRule>
    <cfRule type="containsText" dxfId="1081" priority="21" operator="containsText" text="煮白細麵生(方#12)">
      <formula>NOT(ISERROR(SEARCH("煮白細麵生(方#12)",A44)))</formula>
    </cfRule>
  </conditionalFormatting>
  <conditionalFormatting sqref="D44:D53">
    <cfRule type="cellIs" dxfId="1080" priority="18" operator="greaterThan">
      <formula>0.146</formula>
    </cfRule>
  </conditionalFormatting>
  <conditionalFormatting sqref="H12:H22">
    <cfRule type="cellIs" dxfId="1079" priority="17" operator="greaterThan">
      <formula>1.1</formula>
    </cfRule>
  </conditionalFormatting>
  <conditionalFormatting sqref="I5">
    <cfRule type="cellIs" dxfId="1078" priority="15" operator="greaterThan">
      <formula>0.2</formula>
    </cfRule>
  </conditionalFormatting>
  <conditionalFormatting sqref="A28:A37">
    <cfRule type="containsText" dxfId="1077" priority="9" operator="containsText" text="024">
      <formula>NOT(ISERROR(SEARCH("024",A28)))</formula>
    </cfRule>
    <cfRule type="containsText" dxfId="1076" priority="10" operator="containsText" text="白醬">
      <formula>NOT(ISERROR(SEARCH("白醬",A28)))</formula>
    </cfRule>
    <cfRule type="containsText" dxfId="1075" priority="11" operator="containsText" text="青蔥">
      <formula>NOT(ISERROR(SEARCH("青蔥",A28)))</formula>
    </cfRule>
    <cfRule type="containsText" dxfId="1074" priority="12" operator="containsText" text=")川燙小青花菜">
      <formula>NOT(ISERROR(SEARCH(")川燙小青花菜",A28)))</formula>
    </cfRule>
    <cfRule type="containsText" dxfId="1073" priority="13" operator="containsText" text="湯凍">
      <formula>NOT(ISERROR(SEARCH("湯凍",A28)))</formula>
    </cfRule>
    <cfRule type="containsText" dxfId="1072" priority="14" operator="containsText" text="中華">
      <formula>NOT(ISERROR(SEARCH("中華",A28)))</formula>
    </cfRule>
  </conditionalFormatting>
  <conditionalFormatting sqref="A28:A37">
    <cfRule type="containsText" dxfId="1071" priority="7" operator="containsText" text="綠豆芽">
      <formula>NOT(ISERROR(SEARCH("綠豆芽",A28)))</formula>
    </cfRule>
    <cfRule type="containsText" dxfId="1070" priority="8" operator="containsText" text="煮白細麵生(方#12)">
      <formula>NOT(ISERROR(SEARCH("煮白細麵生(方#12)",A28)))</formula>
    </cfRule>
  </conditionalFormatting>
  <conditionalFormatting sqref="H28:H37">
    <cfRule type="cellIs" dxfId="1069" priority="6" operator="greaterThan">
      <formula>1.1</formula>
    </cfRule>
  </conditionalFormatting>
  <conditionalFormatting sqref="G5">
    <cfRule type="cellIs" dxfId="1068" priority="1" operator="greaterThan">
      <formula>0.0025</formula>
    </cfRule>
    <cfRule type="cellIs" dxfId="1067" priority="2" operator="greaterThan">
      <formula>0.0025</formula>
    </cfRule>
    <cfRule type="cellIs" dxfId="1066" priority="4" operator="greaterThan">
      <formula>0.072</formula>
    </cfRule>
    <cfRule type="cellIs" dxfId="1065" priority="5" operator="greaterThan">
      <formula>7.2</formula>
    </cfRule>
  </conditionalFormatting>
  <conditionalFormatting sqref="G5">
    <cfRule type="cellIs" dxfId="106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709" t="s">
        <v>31</v>
      </c>
      <c r="B2" s="710"/>
      <c r="C2" s="549" t="s">
        <v>32</v>
      </c>
      <c r="D2" s="711" t="s">
        <v>33</v>
      </c>
      <c r="E2" s="711"/>
      <c r="F2" s="711" t="s">
        <v>34</v>
      </c>
      <c r="G2" s="711"/>
      <c r="H2" s="711" t="s">
        <v>33</v>
      </c>
      <c r="I2" s="711"/>
      <c r="J2" s="711" t="s">
        <v>34</v>
      </c>
      <c r="K2" s="711"/>
      <c r="L2" s="711" t="s">
        <v>33</v>
      </c>
      <c r="M2" s="712"/>
      <c r="R2" s="17"/>
    </row>
    <row r="3" spans="1:18" s="18" customFormat="1" ht="28.5" x14ac:dyDescent="0.45">
      <c r="A3" s="706">
        <v>45928</v>
      </c>
      <c r="B3" s="707"/>
      <c r="C3" s="708">
        <v>4811205.5599999996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706"/>
      <c r="B4" s="707"/>
      <c r="C4" s="70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704" t="s">
        <v>44</v>
      </c>
      <c r="B5" s="705"/>
      <c r="C5" s="705"/>
      <c r="D5" s="550">
        <v>11593.48</v>
      </c>
      <c r="E5" s="22">
        <f>D5/C3</f>
        <v>2.4096829485705865E-3</v>
      </c>
      <c r="F5" s="550">
        <v>36480.86</v>
      </c>
      <c r="G5" s="23">
        <f>F5/C3</f>
        <v>7.5824779351144588E-3</v>
      </c>
      <c r="H5" s="24">
        <f>SUM(C12:C21)</f>
        <v>4491.5</v>
      </c>
      <c r="I5" s="25">
        <f>H5/D5</f>
        <v>0.38741603038949479</v>
      </c>
      <c r="J5" s="24">
        <f>SUM(C28:C37)</f>
        <v>26313.58</v>
      </c>
      <c r="K5" s="26">
        <f>J5/F5</f>
        <v>0.72129823693849326</v>
      </c>
      <c r="L5" s="27">
        <v>4670.33</v>
      </c>
      <c r="M5" s="28">
        <f>L5/D5</f>
        <v>0.40284107964131566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1029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45</v>
      </c>
      <c r="B8" s="620"/>
      <c r="C8" s="620"/>
      <c r="D8" s="620" t="s">
        <v>1030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1031</v>
      </c>
      <c r="P8" s="630" t="s">
        <v>1032</v>
      </c>
      <c r="Q8" s="629" t="s">
        <v>1033</v>
      </c>
      <c r="R8" s="691" t="s">
        <v>114</v>
      </c>
    </row>
    <row r="9" spans="1:18" ht="20.45" customHeight="1" x14ac:dyDescent="0.25">
      <c r="A9" s="692" t="s">
        <v>97</v>
      </c>
      <c r="B9" s="634" t="s">
        <v>98</v>
      </c>
      <c r="C9" s="635"/>
      <c r="D9" s="636" t="s">
        <v>1034</v>
      </c>
      <c r="E9" s="636"/>
      <c r="F9" s="636"/>
      <c r="G9" s="636"/>
      <c r="H9" s="636"/>
      <c r="I9" s="636"/>
      <c r="J9" s="637" t="s">
        <v>1035</v>
      </c>
      <c r="K9" s="637"/>
      <c r="L9" s="637"/>
      <c r="M9" s="638"/>
      <c r="N9" s="638"/>
      <c r="O9" s="629"/>
      <c r="P9" s="629"/>
      <c r="Q9" s="629"/>
      <c r="R9" s="691"/>
    </row>
    <row r="10" spans="1:18" ht="20.45" customHeight="1" x14ac:dyDescent="0.3">
      <c r="A10" s="693"/>
      <c r="B10" s="695" t="s">
        <v>119</v>
      </c>
      <c r="C10" s="697" t="s">
        <v>1036</v>
      </c>
      <c r="D10" s="699" t="s">
        <v>1037</v>
      </c>
      <c r="E10" s="699"/>
      <c r="F10" s="699"/>
      <c r="G10" s="699"/>
      <c r="H10" s="699"/>
      <c r="I10" s="699"/>
      <c r="J10" s="700" t="s">
        <v>51</v>
      </c>
      <c r="K10" s="702"/>
      <c r="L10" s="703" t="s">
        <v>1038</v>
      </c>
      <c r="M10" s="700"/>
      <c r="N10" s="700"/>
      <c r="O10" s="629"/>
      <c r="P10" s="629"/>
      <c r="Q10" s="629"/>
      <c r="R10" s="691"/>
    </row>
    <row r="11" spans="1:18" s="29" customFormat="1" ht="47.25" customHeight="1" x14ac:dyDescent="0.25">
      <c r="A11" s="694"/>
      <c r="B11" s="696"/>
      <c r="C11" s="698"/>
      <c r="D11" s="551" t="s">
        <v>1039</v>
      </c>
      <c r="E11" s="551" t="s">
        <v>104</v>
      </c>
      <c r="F11" s="551" t="s">
        <v>1040</v>
      </c>
      <c r="G11" s="551" t="s">
        <v>1041</v>
      </c>
      <c r="H11" s="551" t="s">
        <v>1042</v>
      </c>
      <c r="I11" s="551" t="s">
        <v>1043</v>
      </c>
      <c r="J11" s="552" t="s">
        <v>1044</v>
      </c>
      <c r="K11" s="552" t="s">
        <v>1045</v>
      </c>
      <c r="L11" s="552" t="s">
        <v>1044</v>
      </c>
      <c r="M11" s="552" t="s">
        <v>57</v>
      </c>
      <c r="N11" s="553" t="s">
        <v>1046</v>
      </c>
      <c r="O11" s="629"/>
      <c r="P11" s="629"/>
      <c r="Q11" s="629"/>
      <c r="R11" s="691"/>
    </row>
    <row r="12" spans="1:18" s="38" customFormat="1" ht="24.95" customHeight="1" x14ac:dyDescent="0.25">
      <c r="A12" s="554">
        <v>1</v>
      </c>
      <c r="B12" s="30" t="s">
        <v>61</v>
      </c>
      <c r="C12" s="31">
        <v>1367.32</v>
      </c>
      <c r="D12" s="32">
        <v>5316</v>
      </c>
      <c r="E12" s="32">
        <v>5316</v>
      </c>
      <c r="F12" s="32">
        <v>207.8</v>
      </c>
      <c r="G12" s="31">
        <v>6.58</v>
      </c>
      <c r="H12" s="33">
        <f t="shared" ref="H12:H21" si="0">(E12+F12)/D12</f>
        <v>1.039089541008277</v>
      </c>
      <c r="I12" s="31">
        <v>1367.32</v>
      </c>
      <c r="J12" s="32">
        <v>207.8</v>
      </c>
      <c r="K12" s="34">
        <f t="shared" ref="K12:K21" si="1">J12/D12</f>
        <v>3.9089541008276905E-2</v>
      </c>
      <c r="L12" s="555">
        <f t="shared" ref="L12:L21" si="2">((E12+F12)-D12)-J12</f>
        <v>0</v>
      </c>
      <c r="M12" s="35">
        <f t="shared" ref="M12:M21" si="3">L12/D12</f>
        <v>0</v>
      </c>
      <c r="N12" s="556">
        <f t="shared" ref="N12:N21" si="4">L12*G12</f>
        <v>0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557">
        <v>2</v>
      </c>
      <c r="B13" s="30" t="s">
        <v>58</v>
      </c>
      <c r="C13" s="31">
        <v>704.06</v>
      </c>
      <c r="D13" s="32">
        <v>12896</v>
      </c>
      <c r="E13" s="32">
        <v>12896</v>
      </c>
      <c r="F13" s="32">
        <v>121.39</v>
      </c>
      <c r="G13" s="31">
        <v>5.8</v>
      </c>
      <c r="H13" s="33">
        <f t="shared" si="0"/>
        <v>1.0094129962779157</v>
      </c>
      <c r="I13" s="31">
        <v>704.06</v>
      </c>
      <c r="J13" s="32">
        <v>121.39</v>
      </c>
      <c r="K13" s="34">
        <f t="shared" si="1"/>
        <v>9.4129962779156331E-3</v>
      </c>
      <c r="L13" s="555">
        <f t="shared" si="2"/>
        <v>-5.8264504332328215E-13</v>
      </c>
      <c r="M13" s="35">
        <f t="shared" si="3"/>
        <v>-4.5180291820974113E-17</v>
      </c>
      <c r="N13" s="556">
        <f t="shared" si="4"/>
        <v>-3.3793412512750362E-12</v>
      </c>
      <c r="O13" s="456" t="s">
        <v>139</v>
      </c>
      <c r="P13" s="456" t="s">
        <v>28</v>
      </c>
      <c r="Q13" s="456" t="s">
        <v>982</v>
      </c>
      <c r="R13" s="37" t="s">
        <v>59</v>
      </c>
    </row>
    <row r="14" spans="1:18" s="39" customFormat="1" ht="24.95" customHeight="1" x14ac:dyDescent="0.25">
      <c r="A14" s="557">
        <v>3</v>
      </c>
      <c r="B14" s="30" t="s">
        <v>343</v>
      </c>
      <c r="C14" s="31">
        <v>606.30999999999995</v>
      </c>
      <c r="D14" s="32">
        <v>2662</v>
      </c>
      <c r="E14" s="32">
        <v>2662</v>
      </c>
      <c r="F14" s="32">
        <v>84.21</v>
      </c>
      <c r="G14" s="31">
        <v>7.2</v>
      </c>
      <c r="H14" s="33">
        <f t="shared" si="0"/>
        <v>1.031634109691961</v>
      </c>
      <c r="I14" s="31">
        <v>606.30999999999995</v>
      </c>
      <c r="J14" s="32">
        <v>84.21</v>
      </c>
      <c r="K14" s="34">
        <f t="shared" si="1"/>
        <v>3.1634109691960927E-2</v>
      </c>
      <c r="L14" s="555">
        <f t="shared" si="2"/>
        <v>0</v>
      </c>
      <c r="M14" s="35">
        <f t="shared" si="3"/>
        <v>0</v>
      </c>
      <c r="N14" s="556">
        <f t="shared" si="4"/>
        <v>0</v>
      </c>
      <c r="O14" s="456" t="s">
        <v>139</v>
      </c>
      <c r="P14" s="456" t="s">
        <v>28</v>
      </c>
      <c r="Q14" s="456" t="s">
        <v>140</v>
      </c>
      <c r="R14" s="37" t="s">
        <v>344</v>
      </c>
    </row>
    <row r="15" spans="1:18" s="38" customFormat="1" ht="24.95" customHeight="1" x14ac:dyDescent="0.25">
      <c r="A15" s="554">
        <v>4</v>
      </c>
      <c r="B15" s="30" t="s">
        <v>1047</v>
      </c>
      <c r="C15" s="31">
        <v>491.23</v>
      </c>
      <c r="D15" s="32">
        <v>259.7</v>
      </c>
      <c r="E15" s="32">
        <v>259.7</v>
      </c>
      <c r="F15" s="32">
        <v>16</v>
      </c>
      <c r="G15" s="31">
        <v>61.25</v>
      </c>
      <c r="H15" s="33">
        <f t="shared" si="0"/>
        <v>1.0616095494801694</v>
      </c>
      <c r="I15" s="31">
        <v>980</v>
      </c>
      <c r="J15" s="32">
        <v>8.02</v>
      </c>
      <c r="K15" s="34">
        <f t="shared" si="1"/>
        <v>3.0881786676934926E-2</v>
      </c>
      <c r="L15" s="555">
        <f t="shared" si="2"/>
        <v>7.98</v>
      </c>
      <c r="M15" s="35">
        <f t="shared" si="3"/>
        <v>3.0727762803234505E-2</v>
      </c>
      <c r="N15" s="556">
        <f t="shared" si="4"/>
        <v>488.77500000000003</v>
      </c>
      <c r="O15" s="456" t="s">
        <v>139</v>
      </c>
      <c r="P15" s="456" t="s">
        <v>1155</v>
      </c>
      <c r="Q15" s="456" t="s">
        <v>134</v>
      </c>
      <c r="R15" s="37" t="s">
        <v>444</v>
      </c>
    </row>
    <row r="16" spans="1:18" s="39" customFormat="1" ht="24.95" customHeight="1" x14ac:dyDescent="0.25">
      <c r="A16" s="557">
        <v>5</v>
      </c>
      <c r="B16" s="30" t="s">
        <v>69</v>
      </c>
      <c r="C16" s="31">
        <v>322.14</v>
      </c>
      <c r="D16" s="32">
        <v>6468</v>
      </c>
      <c r="E16" s="32">
        <v>6468</v>
      </c>
      <c r="F16" s="32">
        <v>46.02</v>
      </c>
      <c r="G16" s="31">
        <v>7</v>
      </c>
      <c r="H16" s="33">
        <f t="shared" si="0"/>
        <v>1.0071150278293135</v>
      </c>
      <c r="I16" s="31">
        <v>322.14</v>
      </c>
      <c r="J16" s="32">
        <v>46.02</v>
      </c>
      <c r="K16" s="34">
        <f t="shared" si="1"/>
        <v>7.1150278293135444E-3</v>
      </c>
      <c r="L16" s="555">
        <f t="shared" si="2"/>
        <v>4.3343106881366111E-13</v>
      </c>
      <c r="M16" s="35">
        <f t="shared" si="3"/>
        <v>6.7011606186404003E-17</v>
      </c>
      <c r="N16" s="556">
        <f t="shared" si="4"/>
        <v>3.0340174816956278E-12</v>
      </c>
      <c r="O16" s="456" t="s">
        <v>142</v>
      </c>
      <c r="P16" s="456" t="s">
        <v>26</v>
      </c>
      <c r="Q16" s="456" t="s">
        <v>143</v>
      </c>
      <c r="R16" s="37" t="s">
        <v>59</v>
      </c>
    </row>
    <row r="17" spans="1:18" s="38" customFormat="1" ht="24.95" customHeight="1" x14ac:dyDescent="0.25">
      <c r="A17" s="554">
        <v>6</v>
      </c>
      <c r="B17" s="30" t="s">
        <v>91</v>
      </c>
      <c r="C17" s="31">
        <v>223.53</v>
      </c>
      <c r="D17" s="32">
        <v>101.08</v>
      </c>
      <c r="E17" s="32">
        <v>101.08</v>
      </c>
      <c r="F17" s="32">
        <v>2.1</v>
      </c>
      <c r="G17" s="31">
        <v>212.89</v>
      </c>
      <c r="H17" s="33">
        <f t="shared" si="0"/>
        <v>1.020775623268698</v>
      </c>
      <c r="I17" s="31">
        <v>447.07</v>
      </c>
      <c r="J17" s="32">
        <v>1.05</v>
      </c>
      <c r="K17" s="34">
        <f t="shared" si="1"/>
        <v>1.0387811634349032E-2</v>
      </c>
      <c r="L17" s="555">
        <f t="shared" si="2"/>
        <v>1.0499999999999943</v>
      </c>
      <c r="M17" s="35">
        <f t="shared" si="3"/>
        <v>1.0387811634348975E-2</v>
      </c>
      <c r="N17" s="556">
        <f t="shared" si="4"/>
        <v>223.53449999999876</v>
      </c>
      <c r="O17" s="456" t="s">
        <v>139</v>
      </c>
      <c r="P17" s="456" t="s">
        <v>1155</v>
      </c>
      <c r="Q17" s="456" t="s">
        <v>141</v>
      </c>
      <c r="R17" s="37" t="s">
        <v>59</v>
      </c>
    </row>
    <row r="18" spans="1:18" s="39" customFormat="1" ht="24.95" customHeight="1" x14ac:dyDescent="0.25">
      <c r="A18" s="557">
        <v>7</v>
      </c>
      <c r="B18" s="30" t="s">
        <v>90</v>
      </c>
      <c r="C18" s="31">
        <v>207.58</v>
      </c>
      <c r="D18" s="32">
        <v>75.48</v>
      </c>
      <c r="E18" s="32">
        <v>75.48</v>
      </c>
      <c r="F18" s="32">
        <v>4.07</v>
      </c>
      <c r="G18" s="31">
        <v>104.84</v>
      </c>
      <c r="H18" s="33">
        <f t="shared" si="0"/>
        <v>1.053921568627451</v>
      </c>
      <c r="I18" s="31">
        <v>426.7</v>
      </c>
      <c r="J18" s="32">
        <v>1.98</v>
      </c>
      <c r="K18" s="34">
        <f t="shared" si="1"/>
        <v>2.6232114467408585E-2</v>
      </c>
      <c r="L18" s="555">
        <f t="shared" si="2"/>
        <v>2.0900000000000074</v>
      </c>
      <c r="M18" s="35">
        <f t="shared" si="3"/>
        <v>2.7689454160042492E-2</v>
      </c>
      <c r="N18" s="556">
        <f t="shared" si="4"/>
        <v>219.1156000000008</v>
      </c>
      <c r="O18" s="456" t="s">
        <v>139</v>
      </c>
      <c r="P18" s="456" t="s">
        <v>1155</v>
      </c>
      <c r="Q18" s="456" t="s">
        <v>141</v>
      </c>
      <c r="R18" s="37" t="s">
        <v>59</v>
      </c>
    </row>
    <row r="19" spans="1:18" s="38" customFormat="1" ht="24.95" customHeight="1" x14ac:dyDescent="0.25">
      <c r="A19" s="554">
        <v>8</v>
      </c>
      <c r="B19" s="30" t="s">
        <v>166</v>
      </c>
      <c r="C19" s="31">
        <v>191.84</v>
      </c>
      <c r="D19" s="32">
        <v>5507</v>
      </c>
      <c r="E19" s="32">
        <v>5507</v>
      </c>
      <c r="F19" s="32">
        <v>43.6</v>
      </c>
      <c r="G19" s="31">
        <v>4.4000000000000004</v>
      </c>
      <c r="H19" s="33">
        <f t="shared" si="0"/>
        <v>1.0079171962956237</v>
      </c>
      <c r="I19" s="31">
        <v>191.84</v>
      </c>
      <c r="J19" s="32">
        <v>43.6</v>
      </c>
      <c r="K19" s="34">
        <f t="shared" si="1"/>
        <v>7.9171962956237525E-3</v>
      </c>
      <c r="L19" s="555">
        <f t="shared" si="2"/>
        <v>3.6237679523765109E-13</v>
      </c>
      <c r="M19" s="35">
        <f t="shared" si="3"/>
        <v>6.5802940845769225E-17</v>
      </c>
      <c r="N19" s="556">
        <f t="shared" si="4"/>
        <v>1.5944578990456649E-12</v>
      </c>
      <c r="O19" s="456" t="s">
        <v>139</v>
      </c>
      <c r="P19" s="456" t="s">
        <v>28</v>
      </c>
      <c r="Q19" s="456" t="s">
        <v>140</v>
      </c>
      <c r="R19" s="37" t="s">
        <v>59</v>
      </c>
    </row>
    <row r="20" spans="1:18" s="38" customFormat="1" ht="24.95" customHeight="1" x14ac:dyDescent="0.25">
      <c r="A20" s="557">
        <v>9</v>
      </c>
      <c r="B20" s="30" t="s">
        <v>254</v>
      </c>
      <c r="C20" s="31">
        <v>189.37</v>
      </c>
      <c r="D20" s="32">
        <v>67.349999999999994</v>
      </c>
      <c r="E20" s="32">
        <v>67.349999999999994</v>
      </c>
      <c r="F20" s="32">
        <v>3.63</v>
      </c>
      <c r="G20" s="31">
        <v>110.1</v>
      </c>
      <c r="H20" s="33">
        <f t="shared" si="0"/>
        <v>1.0538975501113585</v>
      </c>
      <c r="I20" s="31">
        <v>399.66</v>
      </c>
      <c r="J20" s="32">
        <v>1.72</v>
      </c>
      <c r="K20" s="34">
        <f t="shared" si="1"/>
        <v>2.5538233110616187E-2</v>
      </c>
      <c r="L20" s="555">
        <f t="shared" si="2"/>
        <v>1.9099999999999955</v>
      </c>
      <c r="M20" s="35">
        <f t="shared" si="3"/>
        <v>2.8359317000742325E-2</v>
      </c>
      <c r="N20" s="556">
        <f t="shared" si="4"/>
        <v>210.29099999999949</v>
      </c>
      <c r="O20" s="456" t="s">
        <v>139</v>
      </c>
      <c r="P20" s="456" t="s">
        <v>1155</v>
      </c>
      <c r="Q20" s="456" t="s">
        <v>134</v>
      </c>
      <c r="R20" s="37" t="s">
        <v>59</v>
      </c>
    </row>
    <row r="21" spans="1:18" s="38" customFormat="1" ht="24.95" customHeight="1" thickBot="1" x14ac:dyDescent="0.3">
      <c r="A21" s="558">
        <v>10</v>
      </c>
      <c r="B21" s="40" t="s">
        <v>301</v>
      </c>
      <c r="C21" s="41">
        <v>188.12</v>
      </c>
      <c r="D21" s="42">
        <v>9.17</v>
      </c>
      <c r="E21" s="42">
        <v>9.17</v>
      </c>
      <c r="F21" s="42">
        <v>0.24</v>
      </c>
      <c r="G21" s="41">
        <v>1567.63</v>
      </c>
      <c r="H21" s="43">
        <f t="shared" si="0"/>
        <v>1.0261723009814614</v>
      </c>
      <c r="I21" s="41">
        <v>376.23</v>
      </c>
      <c r="J21" s="42">
        <v>0.12</v>
      </c>
      <c r="K21" s="44">
        <f t="shared" si="1"/>
        <v>1.3086150490730643E-2</v>
      </c>
      <c r="L21" s="559">
        <f t="shared" si="2"/>
        <v>0.12000000000000022</v>
      </c>
      <c r="M21" s="45">
        <f t="shared" si="3"/>
        <v>1.3086150490730667E-2</v>
      </c>
      <c r="N21" s="560">
        <f t="shared" si="4"/>
        <v>188.11560000000034</v>
      </c>
      <c r="O21" s="457" t="s">
        <v>139</v>
      </c>
      <c r="P21" s="457" t="s">
        <v>1155</v>
      </c>
      <c r="Q21" s="457" t="s">
        <v>141</v>
      </c>
      <c r="R21" s="47" t="s">
        <v>79</v>
      </c>
    </row>
    <row r="22" spans="1:18" s="53" customFormat="1" ht="24.95" customHeight="1" thickBot="1" x14ac:dyDescent="0.3">
      <c r="A22" s="561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562"/>
      <c r="M22" s="51"/>
      <c r="N22" s="563"/>
      <c r="O22" s="52"/>
      <c r="P22" s="52"/>
      <c r="Q22" s="52"/>
      <c r="R22" s="48"/>
    </row>
    <row r="23" spans="1:18" s="53" customFormat="1" ht="40.5" customHeight="1" x14ac:dyDescent="0.25">
      <c r="A23" s="616" t="s">
        <v>1048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1049</v>
      </c>
      <c r="B24" s="620"/>
      <c r="C24" s="620"/>
      <c r="D24" s="620" t="s">
        <v>1050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111</v>
      </c>
      <c r="P24" s="630" t="s">
        <v>1032</v>
      </c>
      <c r="Q24" s="629" t="s">
        <v>149</v>
      </c>
      <c r="R24" s="691" t="s">
        <v>114</v>
      </c>
    </row>
    <row r="25" spans="1:18" s="53" customFormat="1" ht="24.95" customHeight="1" x14ac:dyDescent="0.25">
      <c r="A25" s="692" t="s">
        <v>1051</v>
      </c>
      <c r="B25" s="634" t="s">
        <v>1052</v>
      </c>
      <c r="C25" s="635"/>
      <c r="D25" s="636" t="s">
        <v>1034</v>
      </c>
      <c r="E25" s="636"/>
      <c r="F25" s="636"/>
      <c r="G25" s="636"/>
      <c r="H25" s="636"/>
      <c r="I25" s="636"/>
      <c r="J25" s="637" t="s">
        <v>1053</v>
      </c>
      <c r="K25" s="637"/>
      <c r="L25" s="637"/>
      <c r="M25" s="638"/>
      <c r="N25" s="638"/>
      <c r="O25" s="629"/>
      <c r="P25" s="629"/>
      <c r="Q25" s="629"/>
      <c r="R25" s="691"/>
    </row>
    <row r="26" spans="1:18" s="53" customFormat="1" ht="24.95" customHeight="1" x14ac:dyDescent="0.3">
      <c r="A26" s="693"/>
      <c r="B26" s="695" t="s">
        <v>1054</v>
      </c>
      <c r="C26" s="697" t="s">
        <v>1055</v>
      </c>
      <c r="D26" s="699" t="s">
        <v>1056</v>
      </c>
      <c r="E26" s="699"/>
      <c r="F26" s="699"/>
      <c r="G26" s="699"/>
      <c r="H26" s="699"/>
      <c r="I26" s="699"/>
      <c r="J26" s="700" t="s">
        <v>51</v>
      </c>
      <c r="K26" s="701"/>
      <c r="L26" s="702"/>
      <c r="M26" s="700" t="s">
        <v>102</v>
      </c>
      <c r="N26" s="702"/>
      <c r="O26" s="629"/>
      <c r="P26" s="629"/>
      <c r="Q26" s="629"/>
      <c r="R26" s="691"/>
    </row>
    <row r="27" spans="1:18" s="53" customFormat="1" ht="50.1" customHeight="1" x14ac:dyDescent="0.25">
      <c r="A27" s="694"/>
      <c r="B27" s="696"/>
      <c r="C27" s="698"/>
      <c r="D27" s="551" t="s">
        <v>1057</v>
      </c>
      <c r="E27" s="551" t="s">
        <v>1058</v>
      </c>
      <c r="F27" s="551" t="s">
        <v>1040</v>
      </c>
      <c r="G27" s="551" t="s">
        <v>1041</v>
      </c>
      <c r="H27" s="551" t="s">
        <v>1042</v>
      </c>
      <c r="I27" s="551" t="s">
        <v>1059</v>
      </c>
      <c r="J27" s="552" t="s">
        <v>1044</v>
      </c>
      <c r="K27" s="552" t="s">
        <v>1060</v>
      </c>
      <c r="L27" s="553" t="s">
        <v>1046</v>
      </c>
      <c r="M27" s="552" t="s">
        <v>1061</v>
      </c>
      <c r="N27" s="552" t="s">
        <v>57</v>
      </c>
      <c r="O27" s="629"/>
      <c r="P27" s="629"/>
      <c r="Q27" s="629"/>
      <c r="R27" s="691"/>
    </row>
    <row r="28" spans="1:18" s="53" customFormat="1" ht="24.95" customHeight="1" x14ac:dyDescent="0.25">
      <c r="A28" s="554">
        <v>1</v>
      </c>
      <c r="B28" s="30" t="s">
        <v>714</v>
      </c>
      <c r="C28" s="31">
        <v>8933.94</v>
      </c>
      <c r="D28" s="32">
        <v>76.19</v>
      </c>
      <c r="E28" s="32">
        <v>108.24</v>
      </c>
      <c r="F28" s="32">
        <v>0</v>
      </c>
      <c r="G28" s="31">
        <v>278.75</v>
      </c>
      <c r="H28" s="54">
        <f t="shared" ref="H28:H37" si="5">(E28+F28)/D28</f>
        <v>1.4206588791179944</v>
      </c>
      <c r="I28" s="31">
        <v>8933.94</v>
      </c>
      <c r="J28" s="32">
        <v>0</v>
      </c>
      <c r="K28" s="34">
        <f t="shared" ref="K28:K37" si="6">J28/D28</f>
        <v>0</v>
      </c>
      <c r="L28" s="556">
        <f t="shared" ref="L28:L37" si="7">J28*G28</f>
        <v>0</v>
      </c>
      <c r="M28" s="555">
        <f t="shared" ref="M28:M37" si="8">((E28+F28)-D28)-J28</f>
        <v>32.049999999999997</v>
      </c>
      <c r="N28" s="35">
        <f t="shared" ref="N28:N37" si="9">M28/D28</f>
        <v>0.42065887911799449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557">
        <v>2</v>
      </c>
      <c r="B29" s="30" t="s">
        <v>607</v>
      </c>
      <c r="C29" s="31">
        <v>5325</v>
      </c>
      <c r="D29" s="32">
        <v>7064</v>
      </c>
      <c r="E29" s="32">
        <v>7064</v>
      </c>
      <c r="F29" s="32">
        <v>300</v>
      </c>
      <c r="G29" s="31">
        <v>17.75</v>
      </c>
      <c r="H29" s="54">
        <f t="shared" si="5"/>
        <v>1.0424688561721405</v>
      </c>
      <c r="I29" s="31">
        <v>5325</v>
      </c>
      <c r="J29" s="32">
        <v>0</v>
      </c>
      <c r="K29" s="34">
        <f t="shared" si="6"/>
        <v>0</v>
      </c>
      <c r="L29" s="556">
        <f t="shared" si="7"/>
        <v>0</v>
      </c>
      <c r="M29" s="555">
        <f t="shared" si="8"/>
        <v>300</v>
      </c>
      <c r="N29" s="35">
        <f t="shared" si="9"/>
        <v>4.2468856172140433E-2</v>
      </c>
      <c r="O29" s="451" t="s">
        <v>142</v>
      </c>
      <c r="P29" s="458" t="s">
        <v>26</v>
      </c>
      <c r="Q29" s="458" t="s">
        <v>894</v>
      </c>
      <c r="R29" s="37" t="s">
        <v>608</v>
      </c>
    </row>
    <row r="30" spans="1:18" s="53" customFormat="1" ht="24.95" customHeight="1" x14ac:dyDescent="0.25">
      <c r="A30" s="557">
        <v>3</v>
      </c>
      <c r="B30" s="30" t="s">
        <v>70</v>
      </c>
      <c r="C30" s="31">
        <v>2108.67</v>
      </c>
      <c r="D30" s="32">
        <v>36.46</v>
      </c>
      <c r="E30" s="32">
        <v>36.46</v>
      </c>
      <c r="F30" s="32">
        <v>2.81</v>
      </c>
      <c r="G30" s="31">
        <v>814.16</v>
      </c>
      <c r="H30" s="54">
        <f t="shared" si="5"/>
        <v>1.0770707624794296</v>
      </c>
      <c r="I30" s="31">
        <v>2287.79</v>
      </c>
      <c r="J30" s="57">
        <v>0.22</v>
      </c>
      <c r="K30" s="34">
        <f t="shared" si="6"/>
        <v>6.034009873834339E-3</v>
      </c>
      <c r="L30" s="556">
        <f t="shared" si="7"/>
        <v>179.11519999999999</v>
      </c>
      <c r="M30" s="555">
        <f t="shared" si="8"/>
        <v>2.5900000000000021</v>
      </c>
      <c r="N30" s="35">
        <f t="shared" si="9"/>
        <v>7.1036752605595221E-2</v>
      </c>
      <c r="O30" s="451" t="s">
        <v>133</v>
      </c>
      <c r="P30" s="458" t="s">
        <v>27</v>
      </c>
      <c r="Q30" s="458" t="s">
        <v>659</v>
      </c>
      <c r="R30" s="37" t="s">
        <v>71</v>
      </c>
    </row>
    <row r="31" spans="1:18" s="53" customFormat="1" ht="24.95" customHeight="1" x14ac:dyDescent="0.25">
      <c r="A31" s="554">
        <v>4</v>
      </c>
      <c r="B31" s="30" t="s">
        <v>651</v>
      </c>
      <c r="C31" s="31">
        <v>1879.11</v>
      </c>
      <c r="D31" s="32">
        <v>64.16</v>
      </c>
      <c r="E31" s="32">
        <v>64.16</v>
      </c>
      <c r="F31" s="32">
        <v>4.9400000000000004</v>
      </c>
      <c r="G31" s="31">
        <v>417.58</v>
      </c>
      <c r="H31" s="54">
        <f t="shared" si="5"/>
        <v>1.0769950124688279</v>
      </c>
      <c r="I31" s="31">
        <v>2062.85</v>
      </c>
      <c r="J31" s="32">
        <v>0.44</v>
      </c>
      <c r="K31" s="34">
        <f t="shared" si="6"/>
        <v>6.8578553615960105E-3</v>
      </c>
      <c r="L31" s="556">
        <f t="shared" si="7"/>
        <v>183.73519999999999</v>
      </c>
      <c r="M31" s="555">
        <f t="shared" si="8"/>
        <v>4.4999999999999973</v>
      </c>
      <c r="N31" s="35">
        <f t="shared" si="9"/>
        <v>7.0137157107231882E-2</v>
      </c>
      <c r="O31" s="451" t="s">
        <v>133</v>
      </c>
      <c r="P31" s="458" t="s">
        <v>1155</v>
      </c>
      <c r="Q31" s="458" t="s">
        <v>134</v>
      </c>
      <c r="R31" s="37" t="s">
        <v>656</v>
      </c>
    </row>
    <row r="32" spans="1:18" s="53" customFormat="1" ht="24.95" customHeight="1" x14ac:dyDescent="0.25">
      <c r="A32" s="557">
        <v>5</v>
      </c>
      <c r="B32" s="30" t="s">
        <v>531</v>
      </c>
      <c r="C32" s="31">
        <v>1743.6100000000001</v>
      </c>
      <c r="D32" s="32">
        <v>79.75</v>
      </c>
      <c r="E32" s="32">
        <v>79.75</v>
      </c>
      <c r="F32" s="32">
        <v>6.14</v>
      </c>
      <c r="G32" s="31">
        <v>313.60000000000002</v>
      </c>
      <c r="H32" s="54">
        <f t="shared" si="5"/>
        <v>1.0769905956112853</v>
      </c>
      <c r="I32" s="31">
        <v>1925.5</v>
      </c>
      <c r="J32" s="32">
        <v>0.57999999999999996</v>
      </c>
      <c r="K32" s="34">
        <f t="shared" si="6"/>
        <v>7.2727272727272719E-3</v>
      </c>
      <c r="L32" s="556">
        <f t="shared" si="7"/>
        <v>181.88800000000001</v>
      </c>
      <c r="M32" s="555">
        <f t="shared" si="8"/>
        <v>5.5600000000000005</v>
      </c>
      <c r="N32" s="35">
        <f t="shared" si="9"/>
        <v>6.9717868338558003E-2</v>
      </c>
      <c r="O32" s="451" t="s">
        <v>133</v>
      </c>
      <c r="P32" s="458" t="s">
        <v>1155</v>
      </c>
      <c r="Q32" s="458" t="s">
        <v>136</v>
      </c>
      <c r="R32" s="37" t="s">
        <v>59</v>
      </c>
    </row>
    <row r="33" spans="1:18" s="53" customFormat="1" ht="24.95" customHeight="1" x14ac:dyDescent="0.25">
      <c r="A33" s="554">
        <v>6</v>
      </c>
      <c r="B33" s="30" t="s">
        <v>304</v>
      </c>
      <c r="C33" s="31">
        <v>1486.56</v>
      </c>
      <c r="D33" s="32">
        <v>85.06</v>
      </c>
      <c r="E33" s="32">
        <v>85.06</v>
      </c>
      <c r="F33" s="32">
        <v>5.24</v>
      </c>
      <c r="G33" s="31">
        <v>318.32</v>
      </c>
      <c r="H33" s="54">
        <f t="shared" si="5"/>
        <v>1.0616035739478016</v>
      </c>
      <c r="I33" s="31">
        <v>1668</v>
      </c>
      <c r="J33" s="32">
        <v>0.56999999999999995</v>
      </c>
      <c r="K33" s="34">
        <f t="shared" si="6"/>
        <v>6.7011521279097099E-3</v>
      </c>
      <c r="L33" s="556">
        <f t="shared" si="7"/>
        <v>181.44239999999999</v>
      </c>
      <c r="M33" s="555">
        <f t="shared" si="8"/>
        <v>4.6699999999999946</v>
      </c>
      <c r="N33" s="35">
        <f t="shared" si="9"/>
        <v>5.4902421819891779E-2</v>
      </c>
      <c r="O33" s="451" t="s">
        <v>133</v>
      </c>
      <c r="P33" s="458" t="s">
        <v>27</v>
      </c>
      <c r="Q33" s="458" t="s">
        <v>659</v>
      </c>
      <c r="R33" s="37" t="s">
        <v>77</v>
      </c>
    </row>
    <row r="34" spans="1:18" s="53" customFormat="1" ht="24.95" customHeight="1" x14ac:dyDescent="0.25">
      <c r="A34" s="557">
        <v>7</v>
      </c>
      <c r="B34" s="30" t="s">
        <v>609</v>
      </c>
      <c r="C34" s="31">
        <v>1298.8699999999999</v>
      </c>
      <c r="D34" s="32">
        <v>72.12</v>
      </c>
      <c r="E34" s="32">
        <v>72.12</v>
      </c>
      <c r="F34" s="32">
        <v>4.4400000000000004</v>
      </c>
      <c r="G34" s="31">
        <v>333.9</v>
      </c>
      <c r="H34" s="54">
        <f t="shared" si="5"/>
        <v>1.0615640599001663</v>
      </c>
      <c r="I34" s="31">
        <v>1482.52</v>
      </c>
      <c r="J34" s="32">
        <v>0.55000000000000004</v>
      </c>
      <c r="K34" s="34">
        <f t="shared" si="6"/>
        <v>7.6261785912368277E-3</v>
      </c>
      <c r="L34" s="556">
        <f t="shared" si="7"/>
        <v>183.64500000000001</v>
      </c>
      <c r="M34" s="555">
        <f t="shared" si="8"/>
        <v>3.8899999999999979</v>
      </c>
      <c r="N34" s="35">
        <f t="shared" si="9"/>
        <v>5.3937881308929528E-2</v>
      </c>
      <c r="O34" s="451" t="s">
        <v>133</v>
      </c>
      <c r="P34" s="458" t="s">
        <v>27</v>
      </c>
      <c r="Q34" s="458" t="s">
        <v>659</v>
      </c>
      <c r="R34" s="37" t="s">
        <v>86</v>
      </c>
    </row>
    <row r="35" spans="1:18" s="53" customFormat="1" ht="24.95" customHeight="1" x14ac:dyDescent="0.25">
      <c r="A35" s="554">
        <v>8</v>
      </c>
      <c r="B35" s="30" t="s">
        <v>610</v>
      </c>
      <c r="C35" s="31">
        <v>1265.29</v>
      </c>
      <c r="D35" s="32">
        <v>25.29</v>
      </c>
      <c r="E35" s="32">
        <v>25.29</v>
      </c>
      <c r="F35" s="32">
        <v>1.56</v>
      </c>
      <c r="G35" s="31">
        <v>930.36</v>
      </c>
      <c r="H35" s="54">
        <f t="shared" si="5"/>
        <v>1.0616844602609727</v>
      </c>
      <c r="I35" s="31">
        <v>1451.36</v>
      </c>
      <c r="J35" s="32">
        <v>0.2</v>
      </c>
      <c r="K35" s="34">
        <f t="shared" si="6"/>
        <v>7.9082641360221431E-3</v>
      </c>
      <c r="L35" s="556">
        <f t="shared" si="7"/>
        <v>186.072</v>
      </c>
      <c r="M35" s="555">
        <f t="shared" si="8"/>
        <v>1.3599999999999988</v>
      </c>
      <c r="N35" s="35">
        <f t="shared" si="9"/>
        <v>5.3776196124950527E-2</v>
      </c>
      <c r="O35" s="451" t="s">
        <v>133</v>
      </c>
      <c r="P35" s="458" t="s">
        <v>1155</v>
      </c>
      <c r="Q35" s="458" t="s">
        <v>135</v>
      </c>
      <c r="R35" s="37" t="s">
        <v>77</v>
      </c>
    </row>
    <row r="36" spans="1:18" s="53" customFormat="1" ht="24.95" customHeight="1" x14ac:dyDescent="0.25">
      <c r="A36" s="557">
        <v>9</v>
      </c>
      <c r="B36" s="30" t="s">
        <v>183</v>
      </c>
      <c r="C36" s="31">
        <v>1246.8900000000001</v>
      </c>
      <c r="D36" s="32">
        <v>75.48</v>
      </c>
      <c r="E36" s="32">
        <v>75.48</v>
      </c>
      <c r="F36" s="32">
        <v>3.49</v>
      </c>
      <c r="G36" s="31">
        <v>410.16</v>
      </c>
      <c r="H36" s="54">
        <f t="shared" si="5"/>
        <v>1.0462374138844726</v>
      </c>
      <c r="I36" s="31">
        <v>1431.46</v>
      </c>
      <c r="J36" s="32">
        <v>0.45</v>
      </c>
      <c r="K36" s="34">
        <f t="shared" si="6"/>
        <v>5.9618441971383144E-3</v>
      </c>
      <c r="L36" s="556">
        <f t="shared" si="7"/>
        <v>184.572</v>
      </c>
      <c r="M36" s="555">
        <f t="shared" si="8"/>
        <v>3.0399999999999947</v>
      </c>
      <c r="N36" s="35">
        <f t="shared" si="9"/>
        <v>4.0275569687334319E-2</v>
      </c>
      <c r="O36" s="451" t="s">
        <v>133</v>
      </c>
      <c r="P36" s="458" t="s">
        <v>1155</v>
      </c>
      <c r="Q36" s="458" t="s">
        <v>134</v>
      </c>
      <c r="R36" s="37" t="s">
        <v>59</v>
      </c>
    </row>
    <row r="37" spans="1:18" s="53" customFormat="1" ht="24.95" customHeight="1" thickBot="1" x14ac:dyDescent="0.3">
      <c r="A37" s="558">
        <v>10</v>
      </c>
      <c r="B37" s="40" t="s">
        <v>92</v>
      </c>
      <c r="C37" s="41">
        <v>1025.6399999999999</v>
      </c>
      <c r="D37" s="42">
        <v>77.09</v>
      </c>
      <c r="E37" s="42">
        <v>77.09</v>
      </c>
      <c r="F37" s="42">
        <v>5.94</v>
      </c>
      <c r="G37" s="41">
        <v>203.5</v>
      </c>
      <c r="H37" s="58">
        <f t="shared" si="5"/>
        <v>1.0770527954339084</v>
      </c>
      <c r="I37" s="41">
        <v>1208.79</v>
      </c>
      <c r="J37" s="42">
        <v>0.9</v>
      </c>
      <c r="K37" s="44">
        <f t="shared" si="6"/>
        <v>1.1674665974834608E-2</v>
      </c>
      <c r="L37" s="560">
        <f t="shared" si="7"/>
        <v>183.15</v>
      </c>
      <c r="M37" s="559">
        <f t="shared" si="8"/>
        <v>5.0399999999999974</v>
      </c>
      <c r="N37" s="45">
        <f t="shared" si="9"/>
        <v>6.5378129459073772E-2</v>
      </c>
      <c r="O37" s="59" t="s">
        <v>133</v>
      </c>
      <c r="P37" s="60" t="s">
        <v>1155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1062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1049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688" t="s">
        <v>97</v>
      </c>
      <c r="B41" s="623" t="s">
        <v>1052</v>
      </c>
      <c r="C41" s="623"/>
      <c r="D41" s="624"/>
      <c r="E41" s="62"/>
      <c r="G41" s="64"/>
      <c r="H41" s="65"/>
    </row>
    <row r="42" spans="1:18" ht="20.45" customHeight="1" x14ac:dyDescent="0.35">
      <c r="A42" s="688"/>
      <c r="B42" s="689" t="s">
        <v>1054</v>
      </c>
      <c r="C42" s="690" t="s">
        <v>154</v>
      </c>
      <c r="D42" s="691" t="s">
        <v>130</v>
      </c>
      <c r="E42" s="62"/>
      <c r="G42" s="64"/>
      <c r="H42" s="65"/>
    </row>
    <row r="43" spans="1:18" ht="20.45" customHeight="1" x14ac:dyDescent="0.35">
      <c r="A43" s="688"/>
      <c r="B43" s="689"/>
      <c r="C43" s="690"/>
      <c r="D43" s="691"/>
      <c r="E43" s="62"/>
      <c r="G43" s="64"/>
      <c r="H43" s="65"/>
    </row>
    <row r="44" spans="1:18" s="68" customFormat="1" ht="24.95" customHeight="1" x14ac:dyDescent="0.35">
      <c r="A44" s="564">
        <v>1</v>
      </c>
      <c r="B44" s="30" t="s">
        <v>61</v>
      </c>
      <c r="C44" s="31">
        <v>1367.32</v>
      </c>
      <c r="D44" s="66">
        <f t="shared" ref="D44:D53" si="10">C44/$L$5</f>
        <v>0.29276732051054205</v>
      </c>
      <c r="E44" s="67"/>
      <c r="G44" s="64"/>
      <c r="H44" s="65"/>
    </row>
    <row r="45" spans="1:18" s="68" customFormat="1" ht="24.95" customHeight="1" x14ac:dyDescent="0.35">
      <c r="A45" s="565">
        <v>2</v>
      </c>
      <c r="B45" s="30" t="s">
        <v>58</v>
      </c>
      <c r="C45" s="31">
        <v>704.06</v>
      </c>
      <c r="D45" s="66">
        <f t="shared" si="10"/>
        <v>0.15075165994694165</v>
      </c>
      <c r="E45" s="67"/>
      <c r="G45" s="64"/>
      <c r="H45" s="65"/>
    </row>
    <row r="46" spans="1:18" s="68" customFormat="1" ht="24.95" customHeight="1" x14ac:dyDescent="0.35">
      <c r="A46" s="565">
        <v>3</v>
      </c>
      <c r="B46" s="30" t="s">
        <v>69</v>
      </c>
      <c r="C46" s="31">
        <v>322.14</v>
      </c>
      <c r="D46" s="66">
        <f t="shared" si="10"/>
        <v>6.8975853954645602E-2</v>
      </c>
      <c r="E46" s="67"/>
      <c r="G46" s="64"/>
      <c r="H46" s="65"/>
    </row>
    <row r="47" spans="1:18" s="68" customFormat="1" ht="24.95" customHeight="1" x14ac:dyDescent="0.35">
      <c r="A47" s="564">
        <v>4</v>
      </c>
      <c r="B47" s="30" t="s">
        <v>91</v>
      </c>
      <c r="C47" s="31">
        <v>223.53</v>
      </c>
      <c r="D47" s="66">
        <f t="shared" si="10"/>
        <v>4.7861714268584876E-2</v>
      </c>
      <c r="E47" s="67"/>
      <c r="G47" s="64"/>
      <c r="H47" s="65"/>
    </row>
    <row r="48" spans="1:18" s="68" customFormat="1" ht="24.95" customHeight="1" x14ac:dyDescent="0.35">
      <c r="A48" s="565">
        <v>5</v>
      </c>
      <c r="B48" s="30" t="s">
        <v>90</v>
      </c>
      <c r="C48" s="31">
        <v>207.58</v>
      </c>
      <c r="D48" s="66">
        <f t="shared" si="10"/>
        <v>4.4446538039067909E-2</v>
      </c>
      <c r="E48" s="67"/>
      <c r="G48" s="64"/>
      <c r="H48" s="65"/>
    </row>
    <row r="49" spans="1:5" s="68" customFormat="1" ht="24.95" customHeight="1" x14ac:dyDescent="0.25">
      <c r="A49" s="564">
        <v>6</v>
      </c>
      <c r="B49" s="30" t="s">
        <v>166</v>
      </c>
      <c r="C49" s="31">
        <v>191.84</v>
      </c>
      <c r="D49" s="66">
        <f t="shared" si="10"/>
        <v>4.1076326512259308E-2</v>
      </c>
      <c r="E49" s="67"/>
    </row>
    <row r="50" spans="1:5" s="68" customFormat="1" ht="24.95" customHeight="1" x14ac:dyDescent="0.25">
      <c r="A50" s="565">
        <v>7</v>
      </c>
      <c r="B50" s="30" t="s">
        <v>254</v>
      </c>
      <c r="C50" s="31">
        <v>189.37</v>
      </c>
      <c r="D50" s="66">
        <f t="shared" si="10"/>
        <v>4.0547455961356053E-2</v>
      </c>
      <c r="E50" s="67"/>
    </row>
    <row r="51" spans="1:5" s="68" customFormat="1" ht="24.95" customHeight="1" x14ac:dyDescent="0.25">
      <c r="A51" s="564">
        <v>8</v>
      </c>
      <c r="B51" s="30" t="s">
        <v>183</v>
      </c>
      <c r="C51" s="31">
        <v>184.57</v>
      </c>
      <c r="D51" s="66">
        <f t="shared" si="10"/>
        <v>3.9519691328021786E-2</v>
      </c>
      <c r="E51" s="67"/>
    </row>
    <row r="52" spans="1:5" s="68" customFormat="1" ht="24.95" customHeight="1" x14ac:dyDescent="0.25">
      <c r="A52" s="565">
        <v>9</v>
      </c>
      <c r="B52" s="30" t="s">
        <v>618</v>
      </c>
      <c r="C52" s="31">
        <v>184.02</v>
      </c>
      <c r="D52" s="66">
        <f t="shared" si="10"/>
        <v>3.9401926630452243E-2</v>
      </c>
      <c r="E52" s="67"/>
    </row>
    <row r="53" spans="1:5" s="68" customFormat="1" ht="24.95" customHeight="1" thickBot="1" x14ac:dyDescent="0.3">
      <c r="A53" s="566">
        <v>10</v>
      </c>
      <c r="B53" s="40" t="s">
        <v>340</v>
      </c>
      <c r="C53" s="41">
        <v>183.71</v>
      </c>
      <c r="D53" s="69">
        <f t="shared" si="10"/>
        <v>3.9335550164549406E-2</v>
      </c>
      <c r="E53" s="67"/>
    </row>
    <row r="54" spans="1:5" x14ac:dyDescent="0.25">
      <c r="A54" s="614" t="s">
        <v>131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1063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1063" priority="33" operator="containsText" text="024">
      <formula>NOT(ISERROR(SEARCH("024",A12)))</formula>
    </cfRule>
    <cfRule type="containsText" dxfId="1062" priority="34" operator="containsText" text="白醬">
      <formula>NOT(ISERROR(SEARCH("白醬",A12)))</formula>
    </cfRule>
    <cfRule type="containsText" dxfId="1061" priority="35" operator="containsText" text="青蔥">
      <formula>NOT(ISERROR(SEARCH("青蔥",A12)))</formula>
    </cfRule>
    <cfRule type="containsText" dxfId="1060" priority="36" operator="containsText" text=")川燙小青花菜">
      <formula>NOT(ISERROR(SEARCH(")川燙小青花菜",A12)))</formula>
    </cfRule>
    <cfRule type="containsText" dxfId="1059" priority="37" operator="containsText" text="湯凍">
      <formula>NOT(ISERROR(SEARCH("湯凍",A12)))</formula>
    </cfRule>
    <cfRule type="containsText" dxfId="1058" priority="38" operator="containsText" text="中華">
      <formula>NOT(ISERROR(SEARCH("中華",A12)))</formula>
    </cfRule>
  </conditionalFormatting>
  <conditionalFormatting sqref="A12:A22">
    <cfRule type="containsText" dxfId="1057" priority="31" operator="containsText" text="綠豆芽">
      <formula>NOT(ISERROR(SEARCH("綠豆芽",A12)))</formula>
    </cfRule>
    <cfRule type="containsText" dxfId="1056" priority="32" operator="containsText" text="煮白細麵生(方#12)">
      <formula>NOT(ISERROR(SEARCH("煮白細麵生(方#12)",A12)))</formula>
    </cfRule>
  </conditionalFormatting>
  <conditionalFormatting sqref="E5">
    <cfRule type="cellIs" dxfId="1055" priority="16" operator="greaterThan">
      <formula>0.0025</formula>
    </cfRule>
    <cfRule type="cellIs" dxfId="1054" priority="19" operator="greaterThan">
      <formula>0.0025</formula>
    </cfRule>
    <cfRule type="cellIs" dxfId="1053" priority="29" operator="greaterThan">
      <formula>0.072</formula>
    </cfRule>
    <cfRule type="cellIs" dxfId="1052" priority="30" operator="greaterThan">
      <formula>7.2</formula>
    </cfRule>
  </conditionalFormatting>
  <conditionalFormatting sqref="E5">
    <cfRule type="cellIs" dxfId="1051" priority="28" operator="greaterThan">
      <formula>0.0025</formula>
    </cfRule>
  </conditionalFormatting>
  <conditionalFormatting sqref="A44:A53">
    <cfRule type="containsText" dxfId="1050" priority="22" operator="containsText" text="024">
      <formula>NOT(ISERROR(SEARCH("024",A44)))</formula>
    </cfRule>
    <cfRule type="containsText" dxfId="1049" priority="23" operator="containsText" text="白醬">
      <formula>NOT(ISERROR(SEARCH("白醬",A44)))</formula>
    </cfRule>
    <cfRule type="containsText" dxfId="1048" priority="24" operator="containsText" text="青蔥">
      <formula>NOT(ISERROR(SEARCH("青蔥",A44)))</formula>
    </cfRule>
    <cfRule type="containsText" dxfId="1047" priority="25" operator="containsText" text=")川燙小青花菜">
      <formula>NOT(ISERROR(SEARCH(")川燙小青花菜",A44)))</formula>
    </cfRule>
    <cfRule type="containsText" dxfId="1046" priority="26" operator="containsText" text="湯凍">
      <formula>NOT(ISERROR(SEARCH("湯凍",A44)))</formula>
    </cfRule>
    <cfRule type="containsText" dxfId="1045" priority="27" operator="containsText" text="中華">
      <formula>NOT(ISERROR(SEARCH("中華",A44)))</formula>
    </cfRule>
  </conditionalFormatting>
  <conditionalFormatting sqref="A44:A53">
    <cfRule type="containsText" dxfId="1044" priority="20" operator="containsText" text="綠豆芽">
      <formula>NOT(ISERROR(SEARCH("綠豆芽",A44)))</formula>
    </cfRule>
    <cfRule type="containsText" dxfId="1043" priority="21" operator="containsText" text="煮白細麵生(方#12)">
      <formula>NOT(ISERROR(SEARCH("煮白細麵生(方#12)",A44)))</formula>
    </cfRule>
  </conditionalFormatting>
  <conditionalFormatting sqref="D44:D53">
    <cfRule type="cellIs" dxfId="1042" priority="18" operator="greaterThan">
      <formula>0.146</formula>
    </cfRule>
  </conditionalFormatting>
  <conditionalFormatting sqref="H12:H22">
    <cfRule type="cellIs" dxfId="1041" priority="17" operator="greaterThan">
      <formula>1.1</formula>
    </cfRule>
  </conditionalFormatting>
  <conditionalFormatting sqref="I5">
    <cfRule type="cellIs" dxfId="1040" priority="15" operator="greaterThan">
      <formula>0.2</formula>
    </cfRule>
  </conditionalFormatting>
  <conditionalFormatting sqref="A28:A37">
    <cfRule type="containsText" dxfId="1039" priority="9" operator="containsText" text="024">
      <formula>NOT(ISERROR(SEARCH("024",A28)))</formula>
    </cfRule>
    <cfRule type="containsText" dxfId="1038" priority="10" operator="containsText" text="白醬">
      <formula>NOT(ISERROR(SEARCH("白醬",A28)))</formula>
    </cfRule>
    <cfRule type="containsText" dxfId="1037" priority="11" operator="containsText" text="青蔥">
      <formula>NOT(ISERROR(SEARCH("青蔥",A28)))</formula>
    </cfRule>
    <cfRule type="containsText" dxfId="1036" priority="12" operator="containsText" text=")川燙小青花菜">
      <formula>NOT(ISERROR(SEARCH(")川燙小青花菜",A28)))</formula>
    </cfRule>
    <cfRule type="containsText" dxfId="1035" priority="13" operator="containsText" text="湯凍">
      <formula>NOT(ISERROR(SEARCH("湯凍",A28)))</formula>
    </cfRule>
    <cfRule type="containsText" dxfId="1034" priority="14" operator="containsText" text="中華">
      <formula>NOT(ISERROR(SEARCH("中華",A28)))</formula>
    </cfRule>
  </conditionalFormatting>
  <conditionalFormatting sqref="A28:A37">
    <cfRule type="containsText" dxfId="1033" priority="7" operator="containsText" text="綠豆芽">
      <formula>NOT(ISERROR(SEARCH("綠豆芽",A28)))</formula>
    </cfRule>
    <cfRule type="containsText" dxfId="1032" priority="8" operator="containsText" text="煮白細麵生(方#12)">
      <formula>NOT(ISERROR(SEARCH("煮白細麵生(方#12)",A28)))</formula>
    </cfRule>
  </conditionalFormatting>
  <conditionalFormatting sqref="H28:H37">
    <cfRule type="cellIs" dxfId="1031" priority="6" operator="greaterThan">
      <formula>1.1</formula>
    </cfRule>
  </conditionalFormatting>
  <conditionalFormatting sqref="G5">
    <cfRule type="cellIs" dxfId="1030" priority="1" operator="greaterThan">
      <formula>0.0025</formula>
    </cfRule>
    <cfRule type="cellIs" dxfId="1029" priority="2" operator="greaterThan">
      <formula>0.0025</formula>
    </cfRule>
    <cfRule type="cellIs" dxfId="1028" priority="4" operator="greaterThan">
      <formula>0.072</formula>
    </cfRule>
    <cfRule type="cellIs" dxfId="1027" priority="5" operator="greaterThan">
      <formula>7.2</formula>
    </cfRule>
  </conditionalFormatting>
  <conditionalFormatting sqref="G5">
    <cfRule type="cellIs" dxfId="102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M16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713" t="s">
        <v>31</v>
      </c>
      <c r="B2" s="714"/>
      <c r="C2" s="531" t="s">
        <v>32</v>
      </c>
      <c r="D2" s="715" t="s">
        <v>33</v>
      </c>
      <c r="E2" s="715"/>
      <c r="F2" s="715" t="s">
        <v>34</v>
      </c>
      <c r="G2" s="715"/>
      <c r="H2" s="715" t="s">
        <v>33</v>
      </c>
      <c r="I2" s="715"/>
      <c r="J2" s="715" t="s">
        <v>34</v>
      </c>
      <c r="K2" s="715"/>
      <c r="L2" s="715" t="s">
        <v>33</v>
      </c>
      <c r="M2" s="716"/>
      <c r="R2" s="17"/>
    </row>
    <row r="3" spans="1:18" s="18" customFormat="1" ht="28.5" x14ac:dyDescent="0.45">
      <c r="A3" s="723">
        <v>45927</v>
      </c>
      <c r="B3" s="724"/>
      <c r="C3" s="725">
        <v>4423149.7600000016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723"/>
      <c r="B4" s="724"/>
      <c r="C4" s="72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717" t="s">
        <v>44</v>
      </c>
      <c r="B5" s="718"/>
      <c r="C5" s="718"/>
      <c r="D5" s="532">
        <v>10619.510000000007</v>
      </c>
      <c r="E5" s="22">
        <f>D5/C3</f>
        <v>2.4008931589962722E-3</v>
      </c>
      <c r="F5" s="532">
        <v>33137.939999999988</v>
      </c>
      <c r="G5" s="23">
        <f>F5/C3</f>
        <v>7.491932626762331E-3</v>
      </c>
      <c r="H5" s="24">
        <f>SUM(C12:C21)</f>
        <v>3691.1499999999996</v>
      </c>
      <c r="I5" s="25">
        <f>H5/D5</f>
        <v>0.34758195057964042</v>
      </c>
      <c r="J5" s="24">
        <f>SUM(C28:C37)</f>
        <v>15895.300000000003</v>
      </c>
      <c r="K5" s="26">
        <f>J5/F5</f>
        <v>0.47967073390802228</v>
      </c>
      <c r="L5" s="27">
        <v>4273.3599999999997</v>
      </c>
      <c r="M5" s="28">
        <f>L5/D5</f>
        <v>0.40240651404819966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985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986</v>
      </c>
      <c r="B8" s="620"/>
      <c r="C8" s="620"/>
      <c r="D8" s="620" t="s">
        <v>987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988</v>
      </c>
      <c r="P8" s="630" t="s">
        <v>47</v>
      </c>
      <c r="Q8" s="629" t="s">
        <v>989</v>
      </c>
      <c r="R8" s="719" t="s">
        <v>990</v>
      </c>
    </row>
    <row r="9" spans="1:18" ht="20.45" customHeight="1" x14ac:dyDescent="0.25">
      <c r="A9" s="720" t="s">
        <v>991</v>
      </c>
      <c r="B9" s="634" t="s">
        <v>992</v>
      </c>
      <c r="C9" s="635"/>
      <c r="D9" s="636" t="s">
        <v>993</v>
      </c>
      <c r="E9" s="636"/>
      <c r="F9" s="636"/>
      <c r="G9" s="636"/>
      <c r="H9" s="636"/>
      <c r="I9" s="636"/>
      <c r="J9" s="637" t="s">
        <v>994</v>
      </c>
      <c r="K9" s="637"/>
      <c r="L9" s="637"/>
      <c r="M9" s="638"/>
      <c r="N9" s="638"/>
      <c r="O9" s="629"/>
      <c r="P9" s="629"/>
      <c r="Q9" s="629"/>
      <c r="R9" s="719"/>
    </row>
    <row r="10" spans="1:18" ht="20.45" customHeight="1" x14ac:dyDescent="0.3">
      <c r="A10" s="721"/>
      <c r="B10" s="726" t="s">
        <v>995</v>
      </c>
      <c r="C10" s="728" t="s">
        <v>996</v>
      </c>
      <c r="D10" s="730" t="s">
        <v>997</v>
      </c>
      <c r="E10" s="730"/>
      <c r="F10" s="730"/>
      <c r="G10" s="730"/>
      <c r="H10" s="730"/>
      <c r="I10" s="730"/>
      <c r="J10" s="731" t="s">
        <v>998</v>
      </c>
      <c r="K10" s="732"/>
      <c r="L10" s="733" t="s">
        <v>999</v>
      </c>
      <c r="M10" s="731"/>
      <c r="N10" s="731"/>
      <c r="O10" s="629"/>
      <c r="P10" s="629"/>
      <c r="Q10" s="629"/>
      <c r="R10" s="719"/>
    </row>
    <row r="11" spans="1:18" s="29" customFormat="1" ht="47.25" customHeight="1" x14ac:dyDescent="0.25">
      <c r="A11" s="722"/>
      <c r="B11" s="727"/>
      <c r="C11" s="729"/>
      <c r="D11" s="533" t="s">
        <v>1000</v>
      </c>
      <c r="E11" s="533" t="s">
        <v>1001</v>
      </c>
      <c r="F11" s="533" t="s">
        <v>1002</v>
      </c>
      <c r="G11" s="533" t="s">
        <v>1003</v>
      </c>
      <c r="H11" s="533" t="s">
        <v>1004</v>
      </c>
      <c r="I11" s="533" t="s">
        <v>1005</v>
      </c>
      <c r="J11" s="534" t="s">
        <v>1006</v>
      </c>
      <c r="K11" s="534" t="s">
        <v>1007</v>
      </c>
      <c r="L11" s="534" t="s">
        <v>1006</v>
      </c>
      <c r="M11" s="534" t="s">
        <v>1007</v>
      </c>
      <c r="N11" s="535" t="s">
        <v>1008</v>
      </c>
      <c r="O11" s="629"/>
      <c r="P11" s="629"/>
      <c r="Q11" s="629"/>
      <c r="R11" s="719"/>
    </row>
    <row r="12" spans="1:18" s="38" customFormat="1" ht="24.95" customHeight="1" x14ac:dyDescent="0.25">
      <c r="A12" s="536">
        <v>1</v>
      </c>
      <c r="B12" s="30" t="s">
        <v>61</v>
      </c>
      <c r="C12" s="31">
        <v>1380.75</v>
      </c>
      <c r="D12" s="32">
        <v>4830</v>
      </c>
      <c r="E12" s="32">
        <v>4830</v>
      </c>
      <c r="F12" s="32">
        <v>209.84</v>
      </c>
      <c r="G12" s="31">
        <v>6.58</v>
      </c>
      <c r="H12" s="33">
        <f t="shared" ref="H12:H21" si="0">(E12+F12)/D12</f>
        <v>1.0434451345755693</v>
      </c>
      <c r="I12" s="31">
        <v>1380.75</v>
      </c>
      <c r="J12" s="32">
        <v>209.84</v>
      </c>
      <c r="K12" s="34">
        <f t="shared" ref="K12:K21" si="1">J12/D12</f>
        <v>4.3445134575569359E-2</v>
      </c>
      <c r="L12" s="537">
        <f t="shared" ref="L12:L21" si="2">((E12+F12)-D12)-J12</f>
        <v>0</v>
      </c>
      <c r="M12" s="35">
        <f t="shared" ref="M12:M21" si="3">L12/D12</f>
        <v>0</v>
      </c>
      <c r="N12" s="538">
        <f t="shared" ref="N12:N21" si="4">L12*G12</f>
        <v>0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539">
        <v>2</v>
      </c>
      <c r="B13" s="30" t="s">
        <v>58</v>
      </c>
      <c r="C13" s="31">
        <v>765.66</v>
      </c>
      <c r="D13" s="32">
        <v>11603</v>
      </c>
      <c r="E13" s="32">
        <v>11603</v>
      </c>
      <c r="F13" s="32">
        <v>132.01</v>
      </c>
      <c r="G13" s="31">
        <v>5.8</v>
      </c>
      <c r="H13" s="33">
        <f t="shared" si="0"/>
        <v>1.0113772300267172</v>
      </c>
      <c r="I13" s="31">
        <v>765.66</v>
      </c>
      <c r="J13" s="32">
        <v>132.01</v>
      </c>
      <c r="K13" s="34">
        <f t="shared" si="1"/>
        <v>1.1377230026717228E-2</v>
      </c>
      <c r="L13" s="537">
        <f t="shared" si="2"/>
        <v>2.2737367544323206E-13</v>
      </c>
      <c r="M13" s="35">
        <f t="shared" si="3"/>
        <v>1.9596110957789544E-17</v>
      </c>
      <c r="N13" s="538">
        <f t="shared" si="4"/>
        <v>1.3187673175707459E-12</v>
      </c>
      <c r="O13" s="456" t="s">
        <v>139</v>
      </c>
      <c r="P13" s="456" t="s">
        <v>28</v>
      </c>
      <c r="Q13" s="456" t="s">
        <v>982</v>
      </c>
      <c r="R13" s="37" t="s">
        <v>59</v>
      </c>
    </row>
    <row r="14" spans="1:18" s="39" customFormat="1" ht="24.95" customHeight="1" x14ac:dyDescent="0.25">
      <c r="A14" s="539">
        <v>3</v>
      </c>
      <c r="B14" s="30" t="s">
        <v>69</v>
      </c>
      <c r="C14" s="31">
        <v>381.57</v>
      </c>
      <c r="D14" s="32">
        <v>6254</v>
      </c>
      <c r="E14" s="32">
        <v>6254</v>
      </c>
      <c r="F14" s="32">
        <v>54.51</v>
      </c>
      <c r="G14" s="31">
        <v>7</v>
      </c>
      <c r="H14" s="33">
        <f t="shared" si="0"/>
        <v>1.0087160217460824</v>
      </c>
      <c r="I14" s="31">
        <v>381.57</v>
      </c>
      <c r="J14" s="32">
        <v>54.51</v>
      </c>
      <c r="K14" s="34">
        <f t="shared" si="1"/>
        <v>8.7160217460825074E-3</v>
      </c>
      <c r="L14" s="537">
        <f t="shared" si="2"/>
        <v>2.2026824808563106E-13</v>
      </c>
      <c r="M14" s="35">
        <f t="shared" si="3"/>
        <v>3.5220378651364094E-17</v>
      </c>
      <c r="N14" s="538">
        <f t="shared" si="4"/>
        <v>1.5418777365994174E-12</v>
      </c>
      <c r="O14" s="456" t="s">
        <v>142</v>
      </c>
      <c r="P14" s="456" t="s">
        <v>26</v>
      </c>
      <c r="Q14" s="456" t="s">
        <v>143</v>
      </c>
      <c r="R14" s="37" t="s">
        <v>59</v>
      </c>
    </row>
    <row r="15" spans="1:18" s="38" customFormat="1" ht="24.95" customHeight="1" x14ac:dyDescent="0.25">
      <c r="A15" s="536">
        <v>4</v>
      </c>
      <c r="B15" s="30" t="s">
        <v>253</v>
      </c>
      <c r="C15" s="31">
        <v>297.45999999999998</v>
      </c>
      <c r="D15" s="32">
        <v>183.52</v>
      </c>
      <c r="E15" s="32">
        <v>183.52</v>
      </c>
      <c r="F15" s="32">
        <v>10</v>
      </c>
      <c r="G15" s="31">
        <v>95.34</v>
      </c>
      <c r="H15" s="33">
        <f t="shared" si="0"/>
        <v>1.0544899738448126</v>
      </c>
      <c r="I15" s="31">
        <v>953.4</v>
      </c>
      <c r="J15" s="32">
        <v>3.12</v>
      </c>
      <c r="K15" s="34">
        <f t="shared" si="1"/>
        <v>1.7000871839581516E-2</v>
      </c>
      <c r="L15" s="537">
        <f t="shared" si="2"/>
        <v>6.88</v>
      </c>
      <c r="M15" s="35">
        <f t="shared" si="3"/>
        <v>3.7489102005231034E-2</v>
      </c>
      <c r="N15" s="538">
        <f t="shared" si="4"/>
        <v>655.93920000000003</v>
      </c>
      <c r="O15" s="456" t="s">
        <v>139</v>
      </c>
      <c r="P15" s="456" t="s">
        <v>1155</v>
      </c>
      <c r="Q15" s="456" t="s">
        <v>144</v>
      </c>
      <c r="R15" s="37" t="s">
        <v>59</v>
      </c>
    </row>
    <row r="16" spans="1:18" s="39" customFormat="1" ht="24.95" customHeight="1" x14ac:dyDescent="0.25">
      <c r="A16" s="539">
        <v>5</v>
      </c>
      <c r="B16" s="30" t="s">
        <v>419</v>
      </c>
      <c r="C16" s="31">
        <v>268.5</v>
      </c>
      <c r="D16" s="32">
        <v>60.79</v>
      </c>
      <c r="E16" s="32">
        <v>60.79</v>
      </c>
      <c r="F16" s="32">
        <v>6.07</v>
      </c>
      <c r="G16" s="31">
        <v>90.1</v>
      </c>
      <c r="H16" s="33">
        <f t="shared" si="0"/>
        <v>1.0998519493337719</v>
      </c>
      <c r="I16" s="31">
        <v>546.91</v>
      </c>
      <c r="J16" s="32">
        <v>2.98</v>
      </c>
      <c r="K16" s="34">
        <f t="shared" si="1"/>
        <v>4.902122059549268E-2</v>
      </c>
      <c r="L16" s="537">
        <f t="shared" si="2"/>
        <v>3.0900000000000003</v>
      </c>
      <c r="M16" s="35">
        <f t="shared" si="3"/>
        <v>5.0830728738279325E-2</v>
      </c>
      <c r="N16" s="538">
        <f t="shared" si="4"/>
        <v>278.40899999999999</v>
      </c>
      <c r="O16" s="456" t="s">
        <v>142</v>
      </c>
      <c r="P16" s="456" t="s">
        <v>26</v>
      </c>
      <c r="Q16" s="456" t="s">
        <v>619</v>
      </c>
      <c r="R16" s="37" t="s">
        <v>86</v>
      </c>
    </row>
    <row r="17" spans="1:18" s="38" customFormat="1" ht="24.95" customHeight="1" x14ac:dyDescent="0.25">
      <c r="A17" s="536">
        <v>6</v>
      </c>
      <c r="B17" s="30" t="s">
        <v>648</v>
      </c>
      <c r="C17" s="31">
        <v>204.66</v>
      </c>
      <c r="D17" s="32">
        <v>35.07</v>
      </c>
      <c r="E17" s="32">
        <v>35.07</v>
      </c>
      <c r="F17" s="32">
        <v>3.5</v>
      </c>
      <c r="G17" s="31">
        <v>118.99</v>
      </c>
      <c r="H17" s="33">
        <f t="shared" si="0"/>
        <v>1.0998003992015968</v>
      </c>
      <c r="I17" s="31">
        <v>416.47</v>
      </c>
      <c r="J17" s="32">
        <v>1.72</v>
      </c>
      <c r="K17" s="34">
        <f t="shared" si="1"/>
        <v>4.9044767607641856E-2</v>
      </c>
      <c r="L17" s="537">
        <f t="shared" si="2"/>
        <v>1.78</v>
      </c>
      <c r="M17" s="35">
        <f t="shared" si="3"/>
        <v>5.075563159395495E-2</v>
      </c>
      <c r="N17" s="538">
        <f t="shared" si="4"/>
        <v>211.8022</v>
      </c>
      <c r="O17" s="456" t="s">
        <v>139</v>
      </c>
      <c r="P17" s="456" t="s">
        <v>1155</v>
      </c>
      <c r="Q17" s="456" t="s">
        <v>141</v>
      </c>
      <c r="R17" s="37" t="s">
        <v>657</v>
      </c>
    </row>
    <row r="18" spans="1:18" s="39" customFormat="1" ht="24.95" customHeight="1" x14ac:dyDescent="0.25">
      <c r="A18" s="539">
        <v>7</v>
      </c>
      <c r="B18" s="30" t="s">
        <v>60</v>
      </c>
      <c r="C18" s="31">
        <v>115.97</v>
      </c>
      <c r="D18" s="32">
        <v>169.05</v>
      </c>
      <c r="E18" s="32">
        <v>169.05</v>
      </c>
      <c r="F18" s="32">
        <v>3.67</v>
      </c>
      <c r="G18" s="31">
        <v>99.12</v>
      </c>
      <c r="H18" s="33">
        <f t="shared" si="0"/>
        <v>1.0217095533865719</v>
      </c>
      <c r="I18" s="31">
        <v>363.77</v>
      </c>
      <c r="J18" s="32">
        <v>1.17</v>
      </c>
      <c r="K18" s="34">
        <f t="shared" si="1"/>
        <v>6.9210292812777272E-3</v>
      </c>
      <c r="L18" s="537">
        <f t="shared" si="2"/>
        <v>2.4999999999999876</v>
      </c>
      <c r="M18" s="35">
        <f t="shared" si="3"/>
        <v>1.4788524105294217E-2</v>
      </c>
      <c r="N18" s="538">
        <f t="shared" si="4"/>
        <v>247.79999999999879</v>
      </c>
      <c r="O18" s="456" t="s">
        <v>139</v>
      </c>
      <c r="P18" s="456" t="s">
        <v>1155</v>
      </c>
      <c r="Q18" s="456" t="s">
        <v>141</v>
      </c>
      <c r="R18" s="37" t="s">
        <v>59</v>
      </c>
    </row>
    <row r="19" spans="1:18" s="38" customFormat="1" ht="24.95" customHeight="1" x14ac:dyDescent="0.25">
      <c r="A19" s="536">
        <v>8</v>
      </c>
      <c r="B19" s="30" t="s">
        <v>1009</v>
      </c>
      <c r="C19" s="31">
        <v>113.87</v>
      </c>
      <c r="D19" s="32">
        <v>24.2</v>
      </c>
      <c r="E19" s="32">
        <v>24.2</v>
      </c>
      <c r="F19" s="32">
        <v>2.42</v>
      </c>
      <c r="G19" s="31">
        <v>112.74</v>
      </c>
      <c r="H19" s="33">
        <f t="shared" si="0"/>
        <v>1.0999999999999999</v>
      </c>
      <c r="I19" s="31">
        <v>272.83</v>
      </c>
      <c r="J19" s="32">
        <v>1.01</v>
      </c>
      <c r="K19" s="34">
        <f t="shared" si="1"/>
        <v>4.1735537190082647E-2</v>
      </c>
      <c r="L19" s="537">
        <f t="shared" si="2"/>
        <v>1.4099999999999981</v>
      </c>
      <c r="M19" s="35">
        <f t="shared" si="3"/>
        <v>5.8264462809917282E-2</v>
      </c>
      <c r="N19" s="538">
        <f t="shared" si="4"/>
        <v>158.96339999999978</v>
      </c>
      <c r="O19" s="456" t="s">
        <v>139</v>
      </c>
      <c r="P19" s="456" t="s">
        <v>1155</v>
      </c>
      <c r="Q19" s="456" t="s">
        <v>141</v>
      </c>
      <c r="R19" s="37" t="s">
        <v>656</v>
      </c>
    </row>
    <row r="20" spans="1:18" s="38" customFormat="1" ht="24.95" customHeight="1" x14ac:dyDescent="0.25">
      <c r="A20" s="539">
        <v>9</v>
      </c>
      <c r="B20" s="30" t="s">
        <v>445</v>
      </c>
      <c r="C20" s="31">
        <v>88.28</v>
      </c>
      <c r="D20" s="32">
        <v>26.04</v>
      </c>
      <c r="E20" s="32">
        <v>26.04</v>
      </c>
      <c r="F20" s="32">
        <v>1.81</v>
      </c>
      <c r="G20" s="31">
        <v>113.18</v>
      </c>
      <c r="H20" s="33">
        <f t="shared" si="0"/>
        <v>1.0695084485407065</v>
      </c>
      <c r="I20" s="31">
        <v>204.86</v>
      </c>
      <c r="J20" s="32">
        <v>0.78</v>
      </c>
      <c r="K20" s="34">
        <f t="shared" si="1"/>
        <v>2.9953917050691246E-2</v>
      </c>
      <c r="L20" s="537">
        <f t="shared" si="2"/>
        <v>1.0299999999999987</v>
      </c>
      <c r="M20" s="35">
        <f t="shared" si="3"/>
        <v>3.955453149001531E-2</v>
      </c>
      <c r="N20" s="538">
        <f t="shared" si="4"/>
        <v>116.57539999999986</v>
      </c>
      <c r="O20" s="456" t="s">
        <v>139</v>
      </c>
      <c r="P20" s="456" t="s">
        <v>1155</v>
      </c>
      <c r="Q20" s="456" t="s">
        <v>141</v>
      </c>
      <c r="R20" s="37" t="s">
        <v>444</v>
      </c>
    </row>
    <row r="21" spans="1:18" s="38" customFormat="1" ht="24.95" customHeight="1" thickBot="1" x14ac:dyDescent="0.3">
      <c r="A21" s="540">
        <v>10</v>
      </c>
      <c r="B21" s="40" t="s">
        <v>610</v>
      </c>
      <c r="C21" s="41">
        <v>74.430000000000007</v>
      </c>
      <c r="D21" s="42">
        <v>21.97</v>
      </c>
      <c r="E21" s="42">
        <v>21.97</v>
      </c>
      <c r="F21" s="42">
        <v>0.55000000000000004</v>
      </c>
      <c r="G21" s="41">
        <v>930.36</v>
      </c>
      <c r="H21" s="43">
        <f t="shared" si="0"/>
        <v>1.025034137460173</v>
      </c>
      <c r="I21" s="41">
        <v>511.7</v>
      </c>
      <c r="J21" s="42">
        <v>0.08</v>
      </c>
      <c r="K21" s="44">
        <f t="shared" si="1"/>
        <v>3.6413290851160674E-3</v>
      </c>
      <c r="L21" s="541">
        <f t="shared" si="2"/>
        <v>0.47000000000000069</v>
      </c>
      <c r="M21" s="45">
        <f t="shared" si="3"/>
        <v>2.1392808375056929E-2</v>
      </c>
      <c r="N21" s="542">
        <f t="shared" si="4"/>
        <v>437.26920000000064</v>
      </c>
      <c r="O21" s="457" t="s">
        <v>139</v>
      </c>
      <c r="P21" s="457" t="s">
        <v>1155</v>
      </c>
      <c r="Q21" s="457" t="s">
        <v>144</v>
      </c>
      <c r="R21" s="47" t="s">
        <v>77</v>
      </c>
    </row>
    <row r="22" spans="1:18" s="53" customFormat="1" ht="24.95" customHeight="1" thickBot="1" x14ac:dyDescent="0.3">
      <c r="A22" s="543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544"/>
      <c r="M22" s="51"/>
      <c r="N22" s="545"/>
      <c r="O22" s="52"/>
      <c r="P22" s="52"/>
      <c r="Q22" s="52"/>
      <c r="R22" s="48"/>
    </row>
    <row r="23" spans="1:18" s="53" customFormat="1" ht="40.5" customHeight="1" x14ac:dyDescent="0.25">
      <c r="A23" s="616" t="s">
        <v>1010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986</v>
      </c>
      <c r="B24" s="620"/>
      <c r="C24" s="620"/>
      <c r="D24" s="620" t="s">
        <v>987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1011</v>
      </c>
      <c r="P24" s="630" t="s">
        <v>1012</v>
      </c>
      <c r="Q24" s="629" t="s">
        <v>989</v>
      </c>
      <c r="R24" s="719" t="s">
        <v>990</v>
      </c>
    </row>
    <row r="25" spans="1:18" s="53" customFormat="1" ht="24.95" customHeight="1" x14ac:dyDescent="0.25">
      <c r="A25" s="720" t="s">
        <v>1013</v>
      </c>
      <c r="B25" s="634" t="s">
        <v>1014</v>
      </c>
      <c r="C25" s="635"/>
      <c r="D25" s="636" t="s">
        <v>1015</v>
      </c>
      <c r="E25" s="636"/>
      <c r="F25" s="636"/>
      <c r="G25" s="636"/>
      <c r="H25" s="636"/>
      <c r="I25" s="636"/>
      <c r="J25" s="637" t="s">
        <v>994</v>
      </c>
      <c r="K25" s="637"/>
      <c r="L25" s="637"/>
      <c r="M25" s="638"/>
      <c r="N25" s="638"/>
      <c r="O25" s="629"/>
      <c r="P25" s="629"/>
      <c r="Q25" s="629"/>
      <c r="R25" s="719"/>
    </row>
    <row r="26" spans="1:18" s="53" customFormat="1" ht="24.95" customHeight="1" x14ac:dyDescent="0.3">
      <c r="A26" s="721"/>
      <c r="B26" s="726" t="s">
        <v>995</v>
      </c>
      <c r="C26" s="728" t="s">
        <v>1016</v>
      </c>
      <c r="D26" s="730" t="s">
        <v>1017</v>
      </c>
      <c r="E26" s="730"/>
      <c r="F26" s="730"/>
      <c r="G26" s="730"/>
      <c r="H26" s="730"/>
      <c r="I26" s="730"/>
      <c r="J26" s="731" t="s">
        <v>998</v>
      </c>
      <c r="K26" s="734"/>
      <c r="L26" s="732"/>
      <c r="M26" s="731" t="s">
        <v>999</v>
      </c>
      <c r="N26" s="732"/>
      <c r="O26" s="629"/>
      <c r="P26" s="629"/>
      <c r="Q26" s="629"/>
      <c r="R26" s="719"/>
    </row>
    <row r="27" spans="1:18" s="53" customFormat="1" ht="50.1" customHeight="1" x14ac:dyDescent="0.25">
      <c r="A27" s="722"/>
      <c r="B27" s="727"/>
      <c r="C27" s="729"/>
      <c r="D27" s="533" t="s">
        <v>1018</v>
      </c>
      <c r="E27" s="533" t="s">
        <v>1019</v>
      </c>
      <c r="F27" s="533" t="s">
        <v>1020</v>
      </c>
      <c r="G27" s="533" t="s">
        <v>54</v>
      </c>
      <c r="H27" s="533" t="s">
        <v>1021</v>
      </c>
      <c r="I27" s="533" t="s">
        <v>1022</v>
      </c>
      <c r="J27" s="534" t="s">
        <v>1006</v>
      </c>
      <c r="K27" s="534" t="s">
        <v>1023</v>
      </c>
      <c r="L27" s="535" t="s">
        <v>1008</v>
      </c>
      <c r="M27" s="534" t="s">
        <v>1006</v>
      </c>
      <c r="N27" s="534" t="s">
        <v>1007</v>
      </c>
      <c r="O27" s="629"/>
      <c r="P27" s="629"/>
      <c r="Q27" s="629"/>
      <c r="R27" s="719"/>
    </row>
    <row r="28" spans="1:18" s="53" customFormat="1" ht="24.95" customHeight="1" x14ac:dyDescent="0.25">
      <c r="A28" s="536">
        <v>1</v>
      </c>
      <c r="B28" s="30" t="s">
        <v>714</v>
      </c>
      <c r="C28" s="31">
        <v>7637.75</v>
      </c>
      <c r="D28" s="32">
        <v>67.510000000000005</v>
      </c>
      <c r="E28" s="32">
        <v>94.91</v>
      </c>
      <c r="F28" s="32">
        <v>0</v>
      </c>
      <c r="G28" s="31">
        <v>278.75</v>
      </c>
      <c r="H28" s="54">
        <f t="shared" ref="H28:H37" si="5">(E28+F28)/D28</f>
        <v>1.4058657976596058</v>
      </c>
      <c r="I28" s="31">
        <v>7637.75</v>
      </c>
      <c r="J28" s="32">
        <v>0</v>
      </c>
      <c r="K28" s="34">
        <f t="shared" ref="K28:K37" si="6">J28/D28</f>
        <v>0</v>
      </c>
      <c r="L28" s="538">
        <f t="shared" ref="L28:L37" si="7">J28*G28</f>
        <v>0</v>
      </c>
      <c r="M28" s="537">
        <f t="shared" ref="M28:M37" si="8">((E28+F28)-D28)-J28</f>
        <v>27.399999999999991</v>
      </c>
      <c r="N28" s="35">
        <f t="shared" ref="N28:N37" si="9">M28/D28</f>
        <v>0.40586579765960584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539">
        <v>2</v>
      </c>
      <c r="B29" s="30" t="s">
        <v>607</v>
      </c>
      <c r="C29" s="31">
        <v>1775</v>
      </c>
      <c r="D29" s="32">
        <v>5607</v>
      </c>
      <c r="E29" s="32">
        <v>5607</v>
      </c>
      <c r="F29" s="32">
        <v>100</v>
      </c>
      <c r="G29" s="31">
        <v>17.75</v>
      </c>
      <c r="H29" s="54">
        <f t="shared" si="5"/>
        <v>1.0178348492955234</v>
      </c>
      <c r="I29" s="31">
        <v>1775</v>
      </c>
      <c r="J29" s="32">
        <v>0</v>
      </c>
      <c r="K29" s="34">
        <f t="shared" si="6"/>
        <v>0</v>
      </c>
      <c r="L29" s="538">
        <f t="shared" si="7"/>
        <v>0</v>
      </c>
      <c r="M29" s="537">
        <f t="shared" si="8"/>
        <v>100</v>
      </c>
      <c r="N29" s="35">
        <f t="shared" si="9"/>
        <v>1.7834849295523453E-2</v>
      </c>
      <c r="O29" s="451" t="s">
        <v>142</v>
      </c>
      <c r="P29" s="458" t="s">
        <v>26</v>
      </c>
      <c r="Q29" s="458" t="s">
        <v>894</v>
      </c>
      <c r="R29" s="37" t="s">
        <v>608</v>
      </c>
    </row>
    <row r="30" spans="1:18" s="53" customFormat="1" ht="24.95" customHeight="1" x14ac:dyDescent="0.25">
      <c r="A30" s="539">
        <v>3</v>
      </c>
      <c r="B30" s="30" t="s">
        <v>81</v>
      </c>
      <c r="C30" s="31">
        <v>826.29</v>
      </c>
      <c r="D30" s="32">
        <v>513.73</v>
      </c>
      <c r="E30" s="32">
        <v>513.73</v>
      </c>
      <c r="F30" s="32">
        <v>11.38</v>
      </c>
      <c r="G30" s="31">
        <v>78.77</v>
      </c>
      <c r="H30" s="54">
        <f t="shared" si="5"/>
        <v>1.0221517139353358</v>
      </c>
      <c r="I30" s="31">
        <v>896.4</v>
      </c>
      <c r="J30" s="57">
        <v>0.89</v>
      </c>
      <c r="K30" s="34">
        <f t="shared" si="6"/>
        <v>1.7324275397582387E-3</v>
      </c>
      <c r="L30" s="538">
        <f t="shared" si="7"/>
        <v>70.1053</v>
      </c>
      <c r="M30" s="537">
        <f t="shared" si="8"/>
        <v>10.489999999999995</v>
      </c>
      <c r="N30" s="35">
        <f t="shared" si="9"/>
        <v>2.0419286395577434E-2</v>
      </c>
      <c r="O30" s="451" t="s">
        <v>133</v>
      </c>
      <c r="P30" s="458" t="s">
        <v>1155</v>
      </c>
      <c r="Q30" s="458" t="s">
        <v>137</v>
      </c>
      <c r="R30" s="37" t="s">
        <v>82</v>
      </c>
    </row>
    <row r="31" spans="1:18" s="53" customFormat="1" ht="24.95" customHeight="1" x14ac:dyDescent="0.25">
      <c r="A31" s="536">
        <v>4</v>
      </c>
      <c r="B31" s="30" t="s">
        <v>74</v>
      </c>
      <c r="C31" s="31">
        <v>812.65</v>
      </c>
      <c r="D31" s="32">
        <v>283.3</v>
      </c>
      <c r="E31" s="32">
        <v>283.3</v>
      </c>
      <c r="F31" s="32">
        <v>6.59</v>
      </c>
      <c r="G31" s="31">
        <v>133.88</v>
      </c>
      <c r="H31" s="54">
        <f t="shared" si="5"/>
        <v>1.0232615601835509</v>
      </c>
      <c r="I31" s="31">
        <v>882.27</v>
      </c>
      <c r="J31" s="32">
        <v>0.52</v>
      </c>
      <c r="K31" s="34">
        <f t="shared" si="6"/>
        <v>1.8355100600070597E-3</v>
      </c>
      <c r="L31" s="538">
        <f t="shared" si="7"/>
        <v>69.617599999999996</v>
      </c>
      <c r="M31" s="537">
        <f t="shared" si="8"/>
        <v>6.0699999999999754</v>
      </c>
      <c r="N31" s="35">
        <f t="shared" si="9"/>
        <v>2.1426050123543858E-2</v>
      </c>
      <c r="O31" s="451" t="s">
        <v>133</v>
      </c>
      <c r="P31" s="458" t="s">
        <v>1155</v>
      </c>
      <c r="Q31" s="458" t="s">
        <v>134</v>
      </c>
      <c r="R31" s="37" t="s">
        <v>75</v>
      </c>
    </row>
    <row r="32" spans="1:18" s="53" customFormat="1" ht="24.95" customHeight="1" x14ac:dyDescent="0.25">
      <c r="A32" s="539">
        <v>5</v>
      </c>
      <c r="B32" s="30" t="s">
        <v>78</v>
      </c>
      <c r="C32" s="31">
        <v>809.28</v>
      </c>
      <c r="D32" s="32">
        <v>419.68</v>
      </c>
      <c r="E32" s="32">
        <v>419.68</v>
      </c>
      <c r="F32" s="32">
        <v>11.51</v>
      </c>
      <c r="G32" s="31">
        <v>76.42</v>
      </c>
      <c r="H32" s="54">
        <f t="shared" si="5"/>
        <v>1.0274256576439191</v>
      </c>
      <c r="I32" s="31">
        <v>879.59</v>
      </c>
      <c r="J32" s="32">
        <v>0.92</v>
      </c>
      <c r="K32" s="34">
        <f t="shared" si="6"/>
        <v>2.1921463972550516E-3</v>
      </c>
      <c r="L32" s="538">
        <f t="shared" si="7"/>
        <v>70.306400000000011</v>
      </c>
      <c r="M32" s="537">
        <f t="shared" si="8"/>
        <v>10.589999999999991</v>
      </c>
      <c r="N32" s="35">
        <f t="shared" si="9"/>
        <v>2.5233511246664102E-2</v>
      </c>
      <c r="O32" s="451" t="s">
        <v>133</v>
      </c>
      <c r="P32" s="458" t="s">
        <v>1155</v>
      </c>
      <c r="Q32" s="458" t="s">
        <v>135</v>
      </c>
      <c r="R32" s="37" t="s">
        <v>79</v>
      </c>
    </row>
    <row r="33" spans="1:18" s="53" customFormat="1" ht="24.95" customHeight="1" x14ac:dyDescent="0.25">
      <c r="A33" s="536">
        <v>6</v>
      </c>
      <c r="B33" s="30" t="s">
        <v>897</v>
      </c>
      <c r="C33" s="31">
        <v>808.37</v>
      </c>
      <c r="D33" s="32">
        <v>195.24</v>
      </c>
      <c r="E33" s="32">
        <v>195.24</v>
      </c>
      <c r="F33" s="32">
        <v>4.49</v>
      </c>
      <c r="G33" s="31">
        <v>195.73</v>
      </c>
      <c r="H33" s="54">
        <f t="shared" si="5"/>
        <v>1.0229973366113503</v>
      </c>
      <c r="I33" s="31">
        <v>878.83</v>
      </c>
      <c r="J33" s="32">
        <v>0.36</v>
      </c>
      <c r="K33" s="34">
        <f t="shared" si="6"/>
        <v>1.8438844499078055E-3</v>
      </c>
      <c r="L33" s="538">
        <f t="shared" si="7"/>
        <v>70.462799999999987</v>
      </c>
      <c r="M33" s="537">
        <f t="shared" si="8"/>
        <v>4.1300000000000088</v>
      </c>
      <c r="N33" s="35">
        <f t="shared" si="9"/>
        <v>2.1153452161442373E-2</v>
      </c>
      <c r="O33" s="451" t="s">
        <v>133</v>
      </c>
      <c r="P33" s="458" t="s">
        <v>1155</v>
      </c>
      <c r="Q33" s="458" t="s">
        <v>135</v>
      </c>
      <c r="R33" s="37" t="s">
        <v>898</v>
      </c>
    </row>
    <row r="34" spans="1:18" s="53" customFormat="1" ht="24.95" customHeight="1" x14ac:dyDescent="0.25">
      <c r="A34" s="539">
        <v>7</v>
      </c>
      <c r="B34" s="30" t="s">
        <v>85</v>
      </c>
      <c r="C34" s="31">
        <v>808.11</v>
      </c>
      <c r="D34" s="32">
        <v>455.94</v>
      </c>
      <c r="E34" s="32">
        <v>455.94</v>
      </c>
      <c r="F34" s="32">
        <v>11.05</v>
      </c>
      <c r="G34" s="31">
        <v>79.459999999999994</v>
      </c>
      <c r="H34" s="54">
        <f t="shared" si="5"/>
        <v>1.0242356450410142</v>
      </c>
      <c r="I34" s="31">
        <v>878.03</v>
      </c>
      <c r="J34" s="32">
        <v>0.88</v>
      </c>
      <c r="K34" s="34">
        <f t="shared" si="6"/>
        <v>1.9300785191033909E-3</v>
      </c>
      <c r="L34" s="538">
        <f t="shared" si="7"/>
        <v>69.924799999999991</v>
      </c>
      <c r="M34" s="537">
        <f t="shared" si="8"/>
        <v>10.170000000000011</v>
      </c>
      <c r="N34" s="35">
        <f t="shared" si="9"/>
        <v>2.2305566521910802E-2</v>
      </c>
      <c r="O34" s="451" t="s">
        <v>133</v>
      </c>
      <c r="P34" s="458" t="s">
        <v>1155</v>
      </c>
      <c r="Q34" s="458" t="s">
        <v>137</v>
      </c>
      <c r="R34" s="37" t="s">
        <v>86</v>
      </c>
    </row>
    <row r="35" spans="1:18" s="53" customFormat="1" ht="24.95" customHeight="1" x14ac:dyDescent="0.25">
      <c r="A35" s="536">
        <v>8</v>
      </c>
      <c r="B35" s="30" t="s">
        <v>76</v>
      </c>
      <c r="C35" s="31">
        <v>807.45999999999992</v>
      </c>
      <c r="D35" s="32">
        <v>559.16</v>
      </c>
      <c r="E35" s="32">
        <v>559.16</v>
      </c>
      <c r="F35" s="32">
        <v>14.4</v>
      </c>
      <c r="G35" s="31">
        <v>60.94</v>
      </c>
      <c r="H35" s="54">
        <f t="shared" si="5"/>
        <v>1.025752915086916</v>
      </c>
      <c r="I35" s="31">
        <v>877.54</v>
      </c>
      <c r="J35" s="32">
        <v>1.1499999999999999</v>
      </c>
      <c r="K35" s="34">
        <f t="shared" si="6"/>
        <v>2.0566564131912152E-3</v>
      </c>
      <c r="L35" s="538">
        <f t="shared" si="7"/>
        <v>70.080999999999989</v>
      </c>
      <c r="M35" s="537">
        <f t="shared" si="8"/>
        <v>13.249999999999977</v>
      </c>
      <c r="N35" s="35">
        <f t="shared" si="9"/>
        <v>2.3696258673724834E-2</v>
      </c>
      <c r="O35" s="451" t="s">
        <v>133</v>
      </c>
      <c r="P35" s="458" t="s">
        <v>1155</v>
      </c>
      <c r="Q35" s="458" t="s">
        <v>134</v>
      </c>
      <c r="R35" s="37" t="s">
        <v>77</v>
      </c>
    </row>
    <row r="36" spans="1:18" s="53" customFormat="1" ht="24.95" customHeight="1" x14ac:dyDescent="0.25">
      <c r="A36" s="539">
        <v>9</v>
      </c>
      <c r="B36" s="30" t="s">
        <v>70</v>
      </c>
      <c r="C36" s="31">
        <v>806.02</v>
      </c>
      <c r="D36" s="32">
        <v>34.869999999999997</v>
      </c>
      <c r="E36" s="32">
        <v>34.869999999999997</v>
      </c>
      <c r="F36" s="32">
        <v>1.08</v>
      </c>
      <c r="G36" s="31">
        <v>814.16</v>
      </c>
      <c r="H36" s="54">
        <f t="shared" si="5"/>
        <v>1.0309721823917406</v>
      </c>
      <c r="I36" s="31">
        <v>879.29</v>
      </c>
      <c r="J36" s="32">
        <v>0.09</v>
      </c>
      <c r="K36" s="34">
        <f t="shared" si="6"/>
        <v>2.5810151993117293E-3</v>
      </c>
      <c r="L36" s="538">
        <f t="shared" si="7"/>
        <v>73.2744</v>
      </c>
      <c r="M36" s="537">
        <f t="shared" si="8"/>
        <v>0.98999999999999833</v>
      </c>
      <c r="N36" s="35">
        <f t="shared" si="9"/>
        <v>2.8391167192428977E-2</v>
      </c>
      <c r="O36" s="451" t="s">
        <v>133</v>
      </c>
      <c r="P36" s="458" t="s">
        <v>27</v>
      </c>
      <c r="Q36" s="458" t="s">
        <v>659</v>
      </c>
      <c r="R36" s="37" t="s">
        <v>71</v>
      </c>
    </row>
    <row r="37" spans="1:18" s="53" customFormat="1" ht="24.95" customHeight="1" thickBot="1" x14ac:dyDescent="0.3">
      <c r="A37" s="540">
        <v>10</v>
      </c>
      <c r="B37" s="40" t="s">
        <v>83</v>
      </c>
      <c r="C37" s="41">
        <v>804.37</v>
      </c>
      <c r="D37" s="42">
        <v>403.38</v>
      </c>
      <c r="E37" s="42">
        <v>403.38</v>
      </c>
      <c r="F37" s="42">
        <v>10.23</v>
      </c>
      <c r="G37" s="41">
        <v>85.48</v>
      </c>
      <c r="H37" s="58">
        <f t="shared" si="5"/>
        <v>1.0253607020675295</v>
      </c>
      <c r="I37" s="41">
        <v>874.46</v>
      </c>
      <c r="J37" s="42">
        <v>0.82</v>
      </c>
      <c r="K37" s="44">
        <f t="shared" si="6"/>
        <v>2.032822648619168E-3</v>
      </c>
      <c r="L37" s="542">
        <f t="shared" si="7"/>
        <v>70.093599999999995</v>
      </c>
      <c r="M37" s="541">
        <f t="shared" si="8"/>
        <v>9.4100000000000179</v>
      </c>
      <c r="N37" s="45">
        <f t="shared" si="9"/>
        <v>2.3327879418910253E-2</v>
      </c>
      <c r="O37" s="59" t="s">
        <v>133</v>
      </c>
      <c r="P37" s="60" t="s">
        <v>1155</v>
      </c>
      <c r="Q37" s="60" t="s">
        <v>134</v>
      </c>
      <c r="R37" s="61" t="s">
        <v>84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1024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986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735" t="s">
        <v>1013</v>
      </c>
      <c r="B41" s="623" t="s">
        <v>1014</v>
      </c>
      <c r="C41" s="623"/>
      <c r="D41" s="624"/>
      <c r="E41" s="62"/>
      <c r="G41" s="64"/>
      <c r="H41" s="65"/>
    </row>
    <row r="42" spans="1:18" ht="20.45" customHeight="1" x14ac:dyDescent="0.35">
      <c r="A42" s="735"/>
      <c r="B42" s="736" t="s">
        <v>1025</v>
      </c>
      <c r="C42" s="737" t="s">
        <v>996</v>
      </c>
      <c r="D42" s="719" t="s">
        <v>1026</v>
      </c>
      <c r="E42" s="62"/>
      <c r="G42" s="64"/>
      <c r="H42" s="65"/>
    </row>
    <row r="43" spans="1:18" ht="20.45" customHeight="1" x14ac:dyDescent="0.35">
      <c r="A43" s="735"/>
      <c r="B43" s="736"/>
      <c r="C43" s="737"/>
      <c r="D43" s="719"/>
      <c r="E43" s="62"/>
      <c r="G43" s="64"/>
      <c r="H43" s="65"/>
    </row>
    <row r="44" spans="1:18" s="68" customFormat="1" ht="24.95" customHeight="1" x14ac:dyDescent="0.35">
      <c r="A44" s="546">
        <v>1</v>
      </c>
      <c r="B44" s="30" t="s">
        <v>61</v>
      </c>
      <c r="C44" s="31">
        <v>1380.75</v>
      </c>
      <c r="D44" s="66">
        <f t="shared" ref="D44:D53" si="10">C44/$L$5</f>
        <v>0.32310640807233654</v>
      </c>
      <c r="E44" s="67"/>
      <c r="G44" s="64"/>
      <c r="H44" s="65"/>
    </row>
    <row r="45" spans="1:18" s="68" customFormat="1" ht="24.95" customHeight="1" x14ac:dyDescent="0.35">
      <c r="A45" s="547">
        <v>2</v>
      </c>
      <c r="B45" s="30" t="s">
        <v>58</v>
      </c>
      <c r="C45" s="31">
        <v>765.66</v>
      </c>
      <c r="D45" s="66">
        <f t="shared" si="10"/>
        <v>0.17917048879570174</v>
      </c>
      <c r="E45" s="67"/>
      <c r="G45" s="64"/>
      <c r="H45" s="65"/>
    </row>
    <row r="46" spans="1:18" s="68" customFormat="1" ht="24.95" customHeight="1" x14ac:dyDescent="0.35">
      <c r="A46" s="547">
        <v>3</v>
      </c>
      <c r="B46" s="30" t="s">
        <v>69</v>
      </c>
      <c r="C46" s="31">
        <v>381.57</v>
      </c>
      <c r="D46" s="66">
        <f t="shared" si="10"/>
        <v>8.929039444371642E-2</v>
      </c>
      <c r="E46" s="67"/>
      <c r="G46" s="64"/>
      <c r="H46" s="65"/>
    </row>
    <row r="47" spans="1:18" s="68" customFormat="1" ht="24.95" customHeight="1" x14ac:dyDescent="0.35">
      <c r="A47" s="546">
        <v>4</v>
      </c>
      <c r="B47" s="30" t="s">
        <v>253</v>
      </c>
      <c r="C47" s="31">
        <v>297.45999999999998</v>
      </c>
      <c r="D47" s="66">
        <f t="shared" si="10"/>
        <v>6.9607989965741246E-2</v>
      </c>
      <c r="E47" s="67"/>
      <c r="G47" s="64"/>
      <c r="H47" s="65"/>
    </row>
    <row r="48" spans="1:18" s="68" customFormat="1" ht="24.95" customHeight="1" x14ac:dyDescent="0.35">
      <c r="A48" s="547">
        <v>5</v>
      </c>
      <c r="B48" s="30" t="s">
        <v>60</v>
      </c>
      <c r="C48" s="31">
        <v>115.97</v>
      </c>
      <c r="D48" s="66">
        <f t="shared" si="10"/>
        <v>2.7137896175374883E-2</v>
      </c>
      <c r="E48" s="67"/>
      <c r="G48" s="64"/>
      <c r="H48" s="65"/>
    </row>
    <row r="49" spans="1:5" s="68" customFormat="1" ht="24.95" customHeight="1" x14ac:dyDescent="0.25">
      <c r="A49" s="546">
        <v>6</v>
      </c>
      <c r="B49" s="30" t="s">
        <v>254</v>
      </c>
      <c r="C49" s="31">
        <v>71.569999999999993</v>
      </c>
      <c r="D49" s="66">
        <f t="shared" si="10"/>
        <v>1.6747945410637063E-2</v>
      </c>
      <c r="E49" s="67"/>
    </row>
    <row r="50" spans="1:5" s="68" customFormat="1" ht="24.95" customHeight="1" x14ac:dyDescent="0.25">
      <c r="A50" s="547">
        <v>7</v>
      </c>
      <c r="B50" s="30" t="s">
        <v>65</v>
      </c>
      <c r="C50" s="31">
        <v>70.62</v>
      </c>
      <c r="D50" s="66">
        <f t="shared" si="10"/>
        <v>1.6525637905535694E-2</v>
      </c>
      <c r="E50" s="67"/>
    </row>
    <row r="51" spans="1:5" s="68" customFormat="1" ht="24.95" customHeight="1" x14ac:dyDescent="0.25">
      <c r="A51" s="546">
        <v>8</v>
      </c>
      <c r="B51" s="30" t="s">
        <v>80</v>
      </c>
      <c r="C51" s="31">
        <v>70.53</v>
      </c>
      <c r="D51" s="66">
        <f t="shared" si="10"/>
        <v>1.6504577194526089E-2</v>
      </c>
      <c r="E51" s="67"/>
    </row>
    <row r="52" spans="1:5" s="68" customFormat="1" ht="24.95" customHeight="1" x14ac:dyDescent="0.25">
      <c r="A52" s="547">
        <v>9</v>
      </c>
      <c r="B52" s="30" t="s">
        <v>68</v>
      </c>
      <c r="C52" s="31">
        <v>70.53</v>
      </c>
      <c r="D52" s="66">
        <f t="shared" si="10"/>
        <v>1.6504577194526089E-2</v>
      </c>
      <c r="E52" s="67"/>
    </row>
    <row r="53" spans="1:5" s="68" customFormat="1" ht="24.95" customHeight="1" thickBot="1" x14ac:dyDescent="0.3">
      <c r="A53" s="548">
        <v>10</v>
      </c>
      <c r="B53" s="40" t="s">
        <v>227</v>
      </c>
      <c r="C53" s="41">
        <v>70.290000000000006</v>
      </c>
      <c r="D53" s="69">
        <f t="shared" si="10"/>
        <v>1.6448415298500479E-2</v>
      </c>
      <c r="E53" s="67"/>
    </row>
    <row r="54" spans="1:5" x14ac:dyDescent="0.25">
      <c r="A54" s="614" t="s">
        <v>1027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1028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1025" priority="33" operator="containsText" text="024">
      <formula>NOT(ISERROR(SEARCH("024",A12)))</formula>
    </cfRule>
    <cfRule type="containsText" dxfId="1024" priority="34" operator="containsText" text="白醬">
      <formula>NOT(ISERROR(SEARCH("白醬",A12)))</formula>
    </cfRule>
    <cfRule type="containsText" dxfId="1023" priority="35" operator="containsText" text="青蔥">
      <formula>NOT(ISERROR(SEARCH("青蔥",A12)))</formula>
    </cfRule>
    <cfRule type="containsText" dxfId="1022" priority="36" operator="containsText" text=")川燙小青花菜">
      <formula>NOT(ISERROR(SEARCH(")川燙小青花菜",A12)))</formula>
    </cfRule>
    <cfRule type="containsText" dxfId="1021" priority="37" operator="containsText" text="湯凍">
      <formula>NOT(ISERROR(SEARCH("湯凍",A12)))</formula>
    </cfRule>
    <cfRule type="containsText" dxfId="1020" priority="38" operator="containsText" text="中華">
      <formula>NOT(ISERROR(SEARCH("中華",A12)))</formula>
    </cfRule>
  </conditionalFormatting>
  <conditionalFormatting sqref="A12:A22">
    <cfRule type="containsText" dxfId="1019" priority="31" operator="containsText" text="綠豆芽">
      <formula>NOT(ISERROR(SEARCH("綠豆芽",A12)))</formula>
    </cfRule>
    <cfRule type="containsText" dxfId="1018" priority="32" operator="containsText" text="煮白細麵生(方#12)">
      <formula>NOT(ISERROR(SEARCH("煮白細麵生(方#12)",A12)))</formula>
    </cfRule>
  </conditionalFormatting>
  <conditionalFormatting sqref="E5">
    <cfRule type="cellIs" dxfId="1017" priority="16" operator="greaterThan">
      <formula>0.0025</formula>
    </cfRule>
    <cfRule type="cellIs" dxfId="1016" priority="19" operator="greaterThan">
      <formula>0.0025</formula>
    </cfRule>
    <cfRule type="cellIs" dxfId="1015" priority="29" operator="greaterThan">
      <formula>0.072</formula>
    </cfRule>
    <cfRule type="cellIs" dxfId="1014" priority="30" operator="greaterThan">
      <formula>7.2</formula>
    </cfRule>
  </conditionalFormatting>
  <conditionalFormatting sqref="E5">
    <cfRule type="cellIs" dxfId="1013" priority="28" operator="greaterThan">
      <formula>0.0025</formula>
    </cfRule>
  </conditionalFormatting>
  <conditionalFormatting sqref="A44:A53">
    <cfRule type="containsText" dxfId="1012" priority="22" operator="containsText" text="024">
      <formula>NOT(ISERROR(SEARCH("024",A44)))</formula>
    </cfRule>
    <cfRule type="containsText" dxfId="1011" priority="23" operator="containsText" text="白醬">
      <formula>NOT(ISERROR(SEARCH("白醬",A44)))</formula>
    </cfRule>
    <cfRule type="containsText" dxfId="1010" priority="24" operator="containsText" text="青蔥">
      <formula>NOT(ISERROR(SEARCH("青蔥",A44)))</formula>
    </cfRule>
    <cfRule type="containsText" dxfId="1009" priority="25" operator="containsText" text=")川燙小青花菜">
      <formula>NOT(ISERROR(SEARCH(")川燙小青花菜",A44)))</formula>
    </cfRule>
    <cfRule type="containsText" dxfId="1008" priority="26" operator="containsText" text="湯凍">
      <formula>NOT(ISERROR(SEARCH("湯凍",A44)))</formula>
    </cfRule>
    <cfRule type="containsText" dxfId="1007" priority="27" operator="containsText" text="中華">
      <formula>NOT(ISERROR(SEARCH("中華",A44)))</formula>
    </cfRule>
  </conditionalFormatting>
  <conditionalFormatting sqref="A44:A53">
    <cfRule type="containsText" dxfId="1006" priority="20" operator="containsText" text="綠豆芽">
      <formula>NOT(ISERROR(SEARCH("綠豆芽",A44)))</formula>
    </cfRule>
    <cfRule type="containsText" dxfId="1005" priority="21" operator="containsText" text="煮白細麵生(方#12)">
      <formula>NOT(ISERROR(SEARCH("煮白細麵生(方#12)",A44)))</formula>
    </cfRule>
  </conditionalFormatting>
  <conditionalFormatting sqref="D44:D53">
    <cfRule type="cellIs" dxfId="1004" priority="18" operator="greaterThan">
      <formula>0.146</formula>
    </cfRule>
  </conditionalFormatting>
  <conditionalFormatting sqref="H12:H22">
    <cfRule type="cellIs" dxfId="1003" priority="17" operator="greaterThan">
      <formula>1.1</formula>
    </cfRule>
  </conditionalFormatting>
  <conditionalFormatting sqref="I5">
    <cfRule type="cellIs" dxfId="1002" priority="15" operator="greaterThan">
      <formula>0.2</formula>
    </cfRule>
  </conditionalFormatting>
  <conditionalFormatting sqref="A28:A37">
    <cfRule type="containsText" dxfId="1001" priority="9" operator="containsText" text="024">
      <formula>NOT(ISERROR(SEARCH("024",A28)))</formula>
    </cfRule>
    <cfRule type="containsText" dxfId="1000" priority="10" operator="containsText" text="白醬">
      <formula>NOT(ISERROR(SEARCH("白醬",A28)))</formula>
    </cfRule>
    <cfRule type="containsText" dxfId="999" priority="11" operator="containsText" text="青蔥">
      <formula>NOT(ISERROR(SEARCH("青蔥",A28)))</formula>
    </cfRule>
    <cfRule type="containsText" dxfId="998" priority="12" operator="containsText" text=")川燙小青花菜">
      <formula>NOT(ISERROR(SEARCH(")川燙小青花菜",A28)))</formula>
    </cfRule>
    <cfRule type="containsText" dxfId="997" priority="13" operator="containsText" text="湯凍">
      <formula>NOT(ISERROR(SEARCH("湯凍",A28)))</formula>
    </cfRule>
    <cfRule type="containsText" dxfId="996" priority="14" operator="containsText" text="中華">
      <formula>NOT(ISERROR(SEARCH("中華",A28)))</formula>
    </cfRule>
  </conditionalFormatting>
  <conditionalFormatting sqref="A28:A37">
    <cfRule type="containsText" dxfId="995" priority="7" operator="containsText" text="綠豆芽">
      <formula>NOT(ISERROR(SEARCH("綠豆芽",A28)))</formula>
    </cfRule>
    <cfRule type="containsText" dxfId="994" priority="8" operator="containsText" text="煮白細麵生(方#12)">
      <formula>NOT(ISERROR(SEARCH("煮白細麵生(方#12)",A28)))</formula>
    </cfRule>
  </conditionalFormatting>
  <conditionalFormatting sqref="H28:H37">
    <cfRule type="cellIs" dxfId="993" priority="6" operator="greaterThan">
      <formula>1.1</formula>
    </cfRule>
  </conditionalFormatting>
  <conditionalFormatting sqref="G5">
    <cfRule type="cellIs" dxfId="992" priority="1" operator="greaterThan">
      <formula>0.0025</formula>
    </cfRule>
    <cfRule type="cellIs" dxfId="991" priority="2" operator="greaterThan">
      <formula>0.0025</formula>
    </cfRule>
    <cfRule type="cellIs" dxfId="990" priority="4" operator="greaterThan">
      <formula>0.072</formula>
    </cfRule>
    <cfRule type="cellIs" dxfId="989" priority="5" operator="greaterThan">
      <formula>7.2</formula>
    </cfRule>
  </conditionalFormatting>
  <conditionalFormatting sqref="G5">
    <cfRule type="cellIs" dxfId="98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M1" zoomScale="70" zoomScaleNormal="70" zoomScaleSheetLayoutView="70" workbookViewId="0">
      <selection activeCell="P12" sqref="P1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759" t="s">
        <v>31</v>
      </c>
      <c r="B2" s="760"/>
      <c r="C2" s="513" t="s">
        <v>32</v>
      </c>
      <c r="D2" s="761" t="s">
        <v>33</v>
      </c>
      <c r="E2" s="761"/>
      <c r="F2" s="761" t="s">
        <v>34</v>
      </c>
      <c r="G2" s="761"/>
      <c r="H2" s="761" t="s">
        <v>33</v>
      </c>
      <c r="I2" s="761"/>
      <c r="J2" s="761" t="s">
        <v>34</v>
      </c>
      <c r="K2" s="761"/>
      <c r="L2" s="761" t="s">
        <v>33</v>
      </c>
      <c r="M2" s="762"/>
      <c r="R2" s="17"/>
    </row>
    <row r="3" spans="1:18" s="18" customFormat="1" ht="28.5" x14ac:dyDescent="0.45">
      <c r="A3" s="756">
        <v>45926</v>
      </c>
      <c r="B3" s="757"/>
      <c r="C3" s="758">
        <v>4389261.03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756"/>
      <c r="B4" s="757"/>
      <c r="C4" s="75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754" t="s">
        <v>44</v>
      </c>
      <c r="B5" s="755"/>
      <c r="C5" s="755"/>
      <c r="D5" s="514">
        <v>10529.22000000001</v>
      </c>
      <c r="E5" s="22">
        <f>D5/C3</f>
        <v>2.3988593815756749E-3</v>
      </c>
      <c r="F5" s="514">
        <v>33245.569999999985</v>
      </c>
      <c r="G5" s="23">
        <f>F5/C3</f>
        <v>7.5742977628286516E-3</v>
      </c>
      <c r="H5" s="24">
        <f>SUM(C12:C21)</f>
        <v>4222.1500000000005</v>
      </c>
      <c r="I5" s="25">
        <f>H5/D5</f>
        <v>0.40099361586138349</v>
      </c>
      <c r="J5" s="24">
        <f>SUM(C28:C37)</f>
        <v>18059.48</v>
      </c>
      <c r="K5" s="26">
        <f>J5/F5</f>
        <v>0.54321462979879753</v>
      </c>
      <c r="L5" s="27">
        <v>3343.82</v>
      </c>
      <c r="M5" s="28">
        <f>L5/D5</f>
        <v>0.31757528097997734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45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47</v>
      </c>
      <c r="Q8" s="629" t="s">
        <v>96</v>
      </c>
      <c r="R8" s="741" t="s">
        <v>48</v>
      </c>
    </row>
    <row r="9" spans="1:18" ht="20.45" customHeight="1" x14ac:dyDescent="0.25">
      <c r="A9" s="742" t="s">
        <v>115</v>
      </c>
      <c r="B9" s="634" t="s">
        <v>98</v>
      </c>
      <c r="C9" s="635"/>
      <c r="D9" s="636" t="s">
        <v>969</v>
      </c>
      <c r="E9" s="636"/>
      <c r="F9" s="636"/>
      <c r="G9" s="636"/>
      <c r="H9" s="636"/>
      <c r="I9" s="636"/>
      <c r="J9" s="637" t="s">
        <v>118</v>
      </c>
      <c r="K9" s="637"/>
      <c r="L9" s="637"/>
      <c r="M9" s="638"/>
      <c r="N9" s="638"/>
      <c r="O9" s="629"/>
      <c r="P9" s="629"/>
      <c r="Q9" s="629"/>
      <c r="R9" s="741"/>
    </row>
    <row r="10" spans="1:18" ht="20.45" customHeight="1" x14ac:dyDescent="0.3">
      <c r="A10" s="743"/>
      <c r="B10" s="745" t="s">
        <v>970</v>
      </c>
      <c r="C10" s="747" t="s">
        <v>101</v>
      </c>
      <c r="D10" s="749" t="s">
        <v>971</v>
      </c>
      <c r="E10" s="749"/>
      <c r="F10" s="749"/>
      <c r="G10" s="749"/>
      <c r="H10" s="749"/>
      <c r="I10" s="749"/>
      <c r="J10" s="750" t="s">
        <v>51</v>
      </c>
      <c r="K10" s="752"/>
      <c r="L10" s="753" t="s">
        <v>102</v>
      </c>
      <c r="M10" s="750"/>
      <c r="N10" s="750"/>
      <c r="O10" s="629"/>
      <c r="P10" s="629"/>
      <c r="Q10" s="629"/>
      <c r="R10" s="741"/>
    </row>
    <row r="11" spans="1:18" s="29" customFormat="1" ht="47.25" customHeight="1" x14ac:dyDescent="0.25">
      <c r="A11" s="744"/>
      <c r="B11" s="746"/>
      <c r="C11" s="748"/>
      <c r="D11" s="515" t="s">
        <v>972</v>
      </c>
      <c r="E11" s="515" t="s">
        <v>973</v>
      </c>
      <c r="F11" s="515" t="s">
        <v>53</v>
      </c>
      <c r="G11" s="515" t="s">
        <v>54</v>
      </c>
      <c r="H11" s="515" t="s">
        <v>55</v>
      </c>
      <c r="I11" s="515" t="s">
        <v>73</v>
      </c>
      <c r="J11" s="516" t="s">
        <v>56</v>
      </c>
      <c r="K11" s="516" t="s">
        <v>57</v>
      </c>
      <c r="L11" s="516" t="s">
        <v>974</v>
      </c>
      <c r="M11" s="516" t="s">
        <v>57</v>
      </c>
      <c r="N11" s="517" t="s">
        <v>109</v>
      </c>
      <c r="O11" s="629"/>
      <c r="P11" s="629"/>
      <c r="Q11" s="629"/>
      <c r="R11" s="741"/>
    </row>
    <row r="12" spans="1:18" s="38" customFormat="1" ht="24.95" customHeight="1" x14ac:dyDescent="0.25">
      <c r="A12" s="518">
        <v>1</v>
      </c>
      <c r="B12" s="30" t="s">
        <v>58</v>
      </c>
      <c r="C12" s="31">
        <v>1532.71</v>
      </c>
      <c r="D12" s="32">
        <v>11714</v>
      </c>
      <c r="E12" s="32">
        <v>11714</v>
      </c>
      <c r="F12" s="32">
        <v>264.26</v>
      </c>
      <c r="G12" s="31">
        <v>5.8</v>
      </c>
      <c r="H12" s="33">
        <f t="shared" ref="H12:H21" si="0">(E12+F12)/D12</f>
        <v>1.0225593307153833</v>
      </c>
      <c r="I12" s="31">
        <v>1532.71</v>
      </c>
      <c r="J12" s="32">
        <v>264.26</v>
      </c>
      <c r="K12" s="34">
        <f t="shared" ref="K12:K21" si="1">J12/D12</f>
        <v>2.25593307153833E-2</v>
      </c>
      <c r="L12" s="519">
        <f t="shared" ref="L12:L21" si="2">((E12+F12)-D12)-J12</f>
        <v>0</v>
      </c>
      <c r="M12" s="35">
        <f t="shared" ref="M12:M21" si="3">L12/D12</f>
        <v>0</v>
      </c>
      <c r="N12" s="520">
        <f t="shared" ref="N12:N21" si="4">L12*G12</f>
        <v>0</v>
      </c>
      <c r="O12" s="456" t="s">
        <v>139</v>
      </c>
      <c r="P12" s="456" t="s">
        <v>28</v>
      </c>
      <c r="Q12" s="456" t="s">
        <v>982</v>
      </c>
      <c r="R12" s="37" t="s">
        <v>59</v>
      </c>
    </row>
    <row r="13" spans="1:18" s="38" customFormat="1" ht="24.95" customHeight="1" x14ac:dyDescent="0.25">
      <c r="A13" s="521">
        <v>2</v>
      </c>
      <c r="B13" s="30" t="s">
        <v>975</v>
      </c>
      <c r="C13" s="31">
        <v>951.81</v>
      </c>
      <c r="D13" s="32">
        <v>151.09</v>
      </c>
      <c r="E13" s="32">
        <v>151.09</v>
      </c>
      <c r="F13" s="32">
        <v>12.26</v>
      </c>
      <c r="G13" s="31">
        <v>155.27000000000001</v>
      </c>
      <c r="H13" s="33">
        <f t="shared" si="0"/>
        <v>1.0811436891918724</v>
      </c>
      <c r="I13" s="31">
        <v>1903.61</v>
      </c>
      <c r="J13" s="32">
        <v>6.13</v>
      </c>
      <c r="K13" s="34">
        <f t="shared" si="1"/>
        <v>4.0571844595936192E-2</v>
      </c>
      <c r="L13" s="519">
        <f t="shared" si="2"/>
        <v>6.129999999999991</v>
      </c>
      <c r="M13" s="35">
        <f t="shared" si="3"/>
        <v>4.0571844595936137E-2</v>
      </c>
      <c r="N13" s="520">
        <f t="shared" si="4"/>
        <v>951.80509999999867</v>
      </c>
      <c r="O13" s="456" t="s">
        <v>139</v>
      </c>
      <c r="P13" s="456" t="s">
        <v>1155</v>
      </c>
      <c r="Q13" s="456" t="s">
        <v>144</v>
      </c>
      <c r="R13" s="37" t="s">
        <v>898</v>
      </c>
    </row>
    <row r="14" spans="1:18" s="39" customFormat="1" ht="24.95" customHeight="1" x14ac:dyDescent="0.25">
      <c r="A14" s="521">
        <v>3</v>
      </c>
      <c r="B14" s="30" t="s">
        <v>897</v>
      </c>
      <c r="C14" s="31">
        <v>825.98</v>
      </c>
      <c r="D14" s="32">
        <v>172.68</v>
      </c>
      <c r="E14" s="32">
        <v>172.68</v>
      </c>
      <c r="F14" s="32">
        <v>9.19</v>
      </c>
      <c r="G14" s="31">
        <v>195.73</v>
      </c>
      <c r="H14" s="33">
        <f t="shared" si="0"/>
        <v>1.0532198285846652</v>
      </c>
      <c r="I14" s="31">
        <v>1798.76</v>
      </c>
      <c r="J14" s="32">
        <v>4.22</v>
      </c>
      <c r="K14" s="34">
        <f t="shared" si="1"/>
        <v>2.4438267315265227E-2</v>
      </c>
      <c r="L14" s="519">
        <f t="shared" si="2"/>
        <v>4.969999999999998</v>
      </c>
      <c r="M14" s="35">
        <f t="shared" si="3"/>
        <v>2.8781561269400034E-2</v>
      </c>
      <c r="N14" s="520">
        <f t="shared" si="4"/>
        <v>972.77809999999954</v>
      </c>
      <c r="O14" s="456" t="s">
        <v>139</v>
      </c>
      <c r="P14" s="456" t="s">
        <v>1155</v>
      </c>
      <c r="Q14" s="456" t="s">
        <v>144</v>
      </c>
      <c r="R14" s="37" t="s">
        <v>898</v>
      </c>
    </row>
    <row r="15" spans="1:18" s="38" customFormat="1" ht="24.95" customHeight="1" x14ac:dyDescent="0.25">
      <c r="A15" s="518">
        <v>4</v>
      </c>
      <c r="B15" s="30" t="s">
        <v>69</v>
      </c>
      <c r="C15" s="31">
        <v>335.58</v>
      </c>
      <c r="D15" s="32">
        <v>6043</v>
      </c>
      <c r="E15" s="32">
        <v>6043</v>
      </c>
      <c r="F15" s="32">
        <v>47.94</v>
      </c>
      <c r="G15" s="31">
        <v>7</v>
      </c>
      <c r="H15" s="33">
        <f t="shared" si="0"/>
        <v>1.0079331457885157</v>
      </c>
      <c r="I15" s="31">
        <v>335.58</v>
      </c>
      <c r="J15" s="32">
        <v>47.94</v>
      </c>
      <c r="K15" s="34">
        <f t="shared" si="1"/>
        <v>7.9331457885156373E-3</v>
      </c>
      <c r="L15" s="519">
        <f t="shared" si="2"/>
        <v>-3.979039320256561E-13</v>
      </c>
      <c r="M15" s="35">
        <f t="shared" si="3"/>
        <v>-6.5845429757679319E-17</v>
      </c>
      <c r="N15" s="520">
        <f t="shared" si="4"/>
        <v>-2.7853275241795927E-12</v>
      </c>
      <c r="O15" s="456" t="s">
        <v>142</v>
      </c>
      <c r="P15" s="456" t="s">
        <v>26</v>
      </c>
      <c r="Q15" s="456" t="s">
        <v>143</v>
      </c>
      <c r="R15" s="37" t="s">
        <v>59</v>
      </c>
    </row>
    <row r="16" spans="1:18" s="39" customFormat="1" ht="24.95" customHeight="1" x14ac:dyDescent="0.25">
      <c r="A16" s="521">
        <v>5</v>
      </c>
      <c r="B16" s="30" t="s">
        <v>166</v>
      </c>
      <c r="C16" s="31">
        <v>220.53</v>
      </c>
      <c r="D16" s="32">
        <v>4993</v>
      </c>
      <c r="E16" s="32">
        <v>4993</v>
      </c>
      <c r="F16" s="32">
        <v>50.12</v>
      </c>
      <c r="G16" s="31">
        <v>4.4000000000000004</v>
      </c>
      <c r="H16" s="33">
        <f t="shared" si="0"/>
        <v>1.0100380532745843</v>
      </c>
      <c r="I16" s="31">
        <v>220.53</v>
      </c>
      <c r="J16" s="32">
        <v>50.12</v>
      </c>
      <c r="K16" s="34">
        <f t="shared" si="1"/>
        <v>1.0038053274584418E-2</v>
      </c>
      <c r="L16" s="519">
        <f t="shared" si="2"/>
        <v>-1.0658141036401503E-13</v>
      </c>
      <c r="M16" s="35">
        <f t="shared" si="3"/>
        <v>-2.1346166706191674E-17</v>
      </c>
      <c r="N16" s="520">
        <f t="shared" si="4"/>
        <v>-4.6895820560166612E-13</v>
      </c>
      <c r="O16" s="456" t="s">
        <v>139</v>
      </c>
      <c r="P16" s="456" t="s">
        <v>28</v>
      </c>
      <c r="Q16" s="456" t="s">
        <v>140</v>
      </c>
      <c r="R16" s="37" t="s">
        <v>59</v>
      </c>
    </row>
    <row r="17" spans="1:18" s="38" customFormat="1" ht="24.95" customHeight="1" x14ac:dyDescent="0.25">
      <c r="A17" s="518">
        <v>6</v>
      </c>
      <c r="B17" s="30" t="s">
        <v>213</v>
      </c>
      <c r="C17" s="31">
        <v>89.78</v>
      </c>
      <c r="D17" s="32">
        <v>3983</v>
      </c>
      <c r="E17" s="32">
        <v>3983</v>
      </c>
      <c r="F17" s="32">
        <v>20.64</v>
      </c>
      <c r="G17" s="31">
        <v>4.3499999999999996</v>
      </c>
      <c r="H17" s="33">
        <f t="shared" si="0"/>
        <v>1.0051820236003013</v>
      </c>
      <c r="I17" s="31">
        <v>89.78</v>
      </c>
      <c r="J17" s="32">
        <v>20.64</v>
      </c>
      <c r="K17" s="34">
        <f t="shared" si="1"/>
        <v>5.1820236003012809E-3</v>
      </c>
      <c r="L17" s="519">
        <f t="shared" si="2"/>
        <v>-1.2789769243681803E-13</v>
      </c>
      <c r="M17" s="35">
        <f t="shared" si="3"/>
        <v>-3.2110894410448918E-17</v>
      </c>
      <c r="N17" s="520">
        <f t="shared" si="4"/>
        <v>-5.5635496210015843E-13</v>
      </c>
      <c r="O17" s="456" t="s">
        <v>139</v>
      </c>
      <c r="P17" s="456" t="s">
        <v>28</v>
      </c>
      <c r="Q17" s="456" t="s">
        <v>140</v>
      </c>
      <c r="R17" s="37" t="s">
        <v>214</v>
      </c>
    </row>
    <row r="18" spans="1:18" s="39" customFormat="1" ht="24.95" customHeight="1" x14ac:dyDescent="0.25">
      <c r="A18" s="521">
        <v>7</v>
      </c>
      <c r="B18" s="30" t="s">
        <v>976</v>
      </c>
      <c r="C18" s="31">
        <v>82.37</v>
      </c>
      <c r="D18" s="32">
        <v>34.51</v>
      </c>
      <c r="E18" s="32">
        <v>34.51</v>
      </c>
      <c r="F18" s="32">
        <v>0.72</v>
      </c>
      <c r="G18" s="31">
        <v>316.8</v>
      </c>
      <c r="H18" s="33">
        <f t="shared" si="0"/>
        <v>1.0208635178209216</v>
      </c>
      <c r="I18" s="31">
        <v>228.1</v>
      </c>
      <c r="J18" s="32">
        <v>0.26</v>
      </c>
      <c r="K18" s="34">
        <f t="shared" si="1"/>
        <v>7.5340481019994208E-3</v>
      </c>
      <c r="L18" s="519">
        <f t="shared" si="2"/>
        <v>0.45999999999999885</v>
      </c>
      <c r="M18" s="35">
        <f t="shared" si="3"/>
        <v>1.3329469718922019E-2</v>
      </c>
      <c r="N18" s="520">
        <f t="shared" si="4"/>
        <v>145.72799999999964</v>
      </c>
      <c r="O18" s="456" t="s">
        <v>139</v>
      </c>
      <c r="P18" s="456" t="s">
        <v>1155</v>
      </c>
      <c r="Q18" s="456" t="s">
        <v>144</v>
      </c>
      <c r="R18" s="37" t="s">
        <v>977</v>
      </c>
    </row>
    <row r="19" spans="1:18" s="38" customFormat="1" ht="24.95" customHeight="1" x14ac:dyDescent="0.25">
      <c r="A19" s="518">
        <v>8</v>
      </c>
      <c r="B19" s="30" t="s">
        <v>301</v>
      </c>
      <c r="C19" s="31">
        <v>62.71</v>
      </c>
      <c r="D19" s="32">
        <v>7.42</v>
      </c>
      <c r="E19" s="32">
        <v>7.42</v>
      </c>
      <c r="F19" s="32">
        <v>0.1</v>
      </c>
      <c r="G19" s="31">
        <v>1567.63</v>
      </c>
      <c r="H19" s="33">
        <f t="shared" si="0"/>
        <v>1.013477088948787</v>
      </c>
      <c r="I19" s="31">
        <v>156.76</v>
      </c>
      <c r="J19" s="32">
        <v>0.04</v>
      </c>
      <c r="K19" s="34">
        <f t="shared" si="1"/>
        <v>5.3908355795148251E-3</v>
      </c>
      <c r="L19" s="519">
        <f t="shared" si="2"/>
        <v>5.9999999999999644E-2</v>
      </c>
      <c r="M19" s="35">
        <f t="shared" si="3"/>
        <v>8.0862533692721891E-3</v>
      </c>
      <c r="N19" s="520">
        <f t="shared" si="4"/>
        <v>94.057799999999446</v>
      </c>
      <c r="O19" s="456" t="s">
        <v>139</v>
      </c>
      <c r="P19" s="456" t="s">
        <v>1155</v>
      </c>
      <c r="Q19" s="456" t="s">
        <v>141</v>
      </c>
      <c r="R19" s="37" t="s">
        <v>79</v>
      </c>
    </row>
    <row r="20" spans="1:18" s="38" customFormat="1" ht="24.95" customHeight="1" x14ac:dyDescent="0.25">
      <c r="A20" s="521">
        <v>9</v>
      </c>
      <c r="B20" s="30" t="s">
        <v>254</v>
      </c>
      <c r="C20" s="31">
        <v>60.56</v>
      </c>
      <c r="D20" s="32">
        <v>62.3</v>
      </c>
      <c r="E20" s="32">
        <v>62.3</v>
      </c>
      <c r="F20" s="32">
        <v>1.1299999999999999</v>
      </c>
      <c r="G20" s="31">
        <v>110.1</v>
      </c>
      <c r="H20" s="33">
        <f t="shared" si="0"/>
        <v>1.0181380417335475</v>
      </c>
      <c r="I20" s="31">
        <v>124.41</v>
      </c>
      <c r="J20" s="32">
        <v>0.55000000000000004</v>
      </c>
      <c r="K20" s="34">
        <f t="shared" si="1"/>
        <v>8.8282504012841094E-3</v>
      </c>
      <c r="L20" s="519">
        <f t="shared" si="2"/>
        <v>0.58000000000000251</v>
      </c>
      <c r="M20" s="35">
        <f t="shared" si="3"/>
        <v>9.3097913322632824E-3</v>
      </c>
      <c r="N20" s="520">
        <f t="shared" si="4"/>
        <v>63.858000000000274</v>
      </c>
      <c r="O20" s="456" t="s">
        <v>139</v>
      </c>
      <c r="P20" s="456" t="s">
        <v>1155</v>
      </c>
      <c r="Q20" s="456" t="s">
        <v>134</v>
      </c>
      <c r="R20" s="37" t="s">
        <v>59</v>
      </c>
    </row>
    <row r="21" spans="1:18" s="38" customFormat="1" ht="24.95" customHeight="1" thickBot="1" x14ac:dyDescent="0.3">
      <c r="A21" s="522">
        <v>10</v>
      </c>
      <c r="B21" s="40" t="s">
        <v>343</v>
      </c>
      <c r="C21" s="41">
        <v>60.12</v>
      </c>
      <c r="D21" s="42">
        <v>2378</v>
      </c>
      <c r="E21" s="42">
        <v>2378</v>
      </c>
      <c r="F21" s="42">
        <v>8.35</v>
      </c>
      <c r="G21" s="41">
        <v>7.2</v>
      </c>
      <c r="H21" s="43">
        <f t="shared" si="0"/>
        <v>1.0035113540790579</v>
      </c>
      <c r="I21" s="41">
        <v>60.12</v>
      </c>
      <c r="J21" s="42">
        <v>8.35</v>
      </c>
      <c r="K21" s="44">
        <f t="shared" si="1"/>
        <v>3.5113540790580318E-3</v>
      </c>
      <c r="L21" s="523">
        <f t="shared" si="2"/>
        <v>-9.0594198809412774E-14</v>
      </c>
      <c r="M21" s="45">
        <f t="shared" si="3"/>
        <v>-3.8096803536338424E-17</v>
      </c>
      <c r="N21" s="524">
        <f t="shared" si="4"/>
        <v>-6.5227823142777195E-13</v>
      </c>
      <c r="O21" s="457" t="s">
        <v>139</v>
      </c>
      <c r="P21" s="457" t="s">
        <v>28</v>
      </c>
      <c r="Q21" s="457" t="s">
        <v>140</v>
      </c>
      <c r="R21" s="47" t="s">
        <v>344</v>
      </c>
    </row>
    <row r="22" spans="1:18" s="53" customFormat="1" ht="24.95" customHeight="1" thickBot="1" x14ac:dyDescent="0.3">
      <c r="A22" s="525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526"/>
      <c r="M22" s="51"/>
      <c r="N22" s="527"/>
      <c r="O22" s="52"/>
      <c r="P22" s="52"/>
      <c r="Q22" s="52"/>
      <c r="R22" s="48"/>
    </row>
    <row r="23" spans="1:18" s="53" customFormat="1" ht="40.5" customHeight="1" x14ac:dyDescent="0.25">
      <c r="A23" s="616" t="s">
        <v>978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45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979</v>
      </c>
      <c r="P24" s="630" t="s">
        <v>47</v>
      </c>
      <c r="Q24" s="629" t="s">
        <v>96</v>
      </c>
      <c r="R24" s="741" t="s">
        <v>48</v>
      </c>
    </row>
    <row r="25" spans="1:18" s="53" customFormat="1" ht="24.95" customHeight="1" x14ac:dyDescent="0.25">
      <c r="A25" s="742" t="s">
        <v>115</v>
      </c>
      <c r="B25" s="634" t="s">
        <v>98</v>
      </c>
      <c r="C25" s="635"/>
      <c r="D25" s="636" t="s">
        <v>49</v>
      </c>
      <c r="E25" s="636"/>
      <c r="F25" s="636"/>
      <c r="G25" s="636"/>
      <c r="H25" s="636"/>
      <c r="I25" s="636"/>
      <c r="J25" s="637" t="s">
        <v>118</v>
      </c>
      <c r="K25" s="637"/>
      <c r="L25" s="637"/>
      <c r="M25" s="638"/>
      <c r="N25" s="638"/>
      <c r="O25" s="629"/>
      <c r="P25" s="629"/>
      <c r="Q25" s="629"/>
      <c r="R25" s="741"/>
    </row>
    <row r="26" spans="1:18" s="53" customFormat="1" ht="24.95" customHeight="1" x14ac:dyDescent="0.3">
      <c r="A26" s="743"/>
      <c r="B26" s="745" t="s">
        <v>100</v>
      </c>
      <c r="C26" s="747" t="s">
        <v>980</v>
      </c>
      <c r="D26" s="749" t="s">
        <v>50</v>
      </c>
      <c r="E26" s="749"/>
      <c r="F26" s="749"/>
      <c r="G26" s="749"/>
      <c r="H26" s="749"/>
      <c r="I26" s="749"/>
      <c r="J26" s="750" t="s">
        <v>51</v>
      </c>
      <c r="K26" s="751"/>
      <c r="L26" s="752"/>
      <c r="M26" s="750" t="s">
        <v>102</v>
      </c>
      <c r="N26" s="752"/>
      <c r="O26" s="629"/>
      <c r="P26" s="629"/>
      <c r="Q26" s="629"/>
      <c r="R26" s="741"/>
    </row>
    <row r="27" spans="1:18" s="53" customFormat="1" ht="50.1" customHeight="1" x14ac:dyDescent="0.25">
      <c r="A27" s="744"/>
      <c r="B27" s="746"/>
      <c r="C27" s="748"/>
      <c r="D27" s="515" t="s">
        <v>52</v>
      </c>
      <c r="E27" s="515" t="s">
        <v>104</v>
      </c>
      <c r="F27" s="515" t="s">
        <v>53</v>
      </c>
      <c r="G27" s="515" t="s">
        <v>981</v>
      </c>
      <c r="H27" s="515" t="s">
        <v>55</v>
      </c>
      <c r="I27" s="515" t="s">
        <v>73</v>
      </c>
      <c r="J27" s="516" t="s">
        <v>56</v>
      </c>
      <c r="K27" s="516" t="s">
        <v>57</v>
      </c>
      <c r="L27" s="517" t="s">
        <v>109</v>
      </c>
      <c r="M27" s="516" t="s">
        <v>974</v>
      </c>
      <c r="N27" s="516" t="s">
        <v>57</v>
      </c>
      <c r="O27" s="629"/>
      <c r="P27" s="629"/>
      <c r="Q27" s="629"/>
      <c r="R27" s="741"/>
    </row>
    <row r="28" spans="1:18" s="53" customFormat="1" ht="24.95" customHeight="1" x14ac:dyDescent="0.25">
      <c r="A28" s="518">
        <v>1</v>
      </c>
      <c r="B28" s="30" t="s">
        <v>714</v>
      </c>
      <c r="C28" s="31">
        <v>8259.36</v>
      </c>
      <c r="D28" s="32">
        <v>69.97</v>
      </c>
      <c r="E28" s="32">
        <v>99.6</v>
      </c>
      <c r="F28" s="32">
        <v>0</v>
      </c>
      <c r="G28" s="31">
        <v>278.75</v>
      </c>
      <c r="H28" s="54">
        <f t="shared" ref="H28:H37" si="5">(E28+F28)/D28</f>
        <v>1.4234672002286695</v>
      </c>
      <c r="I28" s="31">
        <v>8259.36</v>
      </c>
      <c r="J28" s="32">
        <v>0</v>
      </c>
      <c r="K28" s="34">
        <f t="shared" ref="K28:K37" si="6">J28/D28</f>
        <v>0</v>
      </c>
      <c r="L28" s="520">
        <f t="shared" ref="L28:L37" si="7">J28*G28</f>
        <v>0</v>
      </c>
      <c r="M28" s="519">
        <f t="shared" ref="M28:M37" si="8">((E28+F28)-D28)-J28</f>
        <v>29.629999999999995</v>
      </c>
      <c r="N28" s="35">
        <f t="shared" ref="N28:N37" si="9">M28/D28</f>
        <v>0.42346720022866935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521">
        <v>2</v>
      </c>
      <c r="B29" s="30" t="s">
        <v>607</v>
      </c>
      <c r="C29" s="31">
        <v>3550</v>
      </c>
      <c r="D29" s="32">
        <v>6513</v>
      </c>
      <c r="E29" s="32">
        <v>6513</v>
      </c>
      <c r="F29" s="32">
        <v>200</v>
      </c>
      <c r="G29" s="31">
        <v>17.75</v>
      </c>
      <c r="H29" s="54">
        <f t="shared" si="5"/>
        <v>1.0307078151389528</v>
      </c>
      <c r="I29" s="31">
        <v>3550</v>
      </c>
      <c r="J29" s="32">
        <v>0</v>
      </c>
      <c r="K29" s="34">
        <f t="shared" si="6"/>
        <v>0</v>
      </c>
      <c r="L29" s="520">
        <f t="shared" si="7"/>
        <v>0</v>
      </c>
      <c r="M29" s="519">
        <f t="shared" si="8"/>
        <v>200</v>
      </c>
      <c r="N29" s="35">
        <f t="shared" si="9"/>
        <v>3.0707815138952863E-2</v>
      </c>
      <c r="O29" s="451" t="s">
        <v>142</v>
      </c>
      <c r="P29" s="458" t="s">
        <v>26</v>
      </c>
      <c r="Q29" s="458" t="s">
        <v>894</v>
      </c>
      <c r="R29" s="37" t="s">
        <v>608</v>
      </c>
    </row>
    <row r="30" spans="1:18" s="53" customFormat="1" ht="24.95" customHeight="1" x14ac:dyDescent="0.25">
      <c r="A30" s="521">
        <v>3</v>
      </c>
      <c r="B30" s="30" t="s">
        <v>897</v>
      </c>
      <c r="C30" s="31">
        <v>972.78</v>
      </c>
      <c r="D30" s="32">
        <v>172.68</v>
      </c>
      <c r="E30" s="32">
        <v>172.68</v>
      </c>
      <c r="F30" s="32">
        <v>9.19</v>
      </c>
      <c r="G30" s="31">
        <v>195.73</v>
      </c>
      <c r="H30" s="54">
        <f t="shared" si="5"/>
        <v>1.0532198285846652</v>
      </c>
      <c r="I30" s="31">
        <v>1798.76</v>
      </c>
      <c r="J30" s="57">
        <v>4.22</v>
      </c>
      <c r="K30" s="34">
        <f t="shared" si="6"/>
        <v>2.4438267315265227E-2</v>
      </c>
      <c r="L30" s="520">
        <f t="shared" si="7"/>
        <v>825.98059999999987</v>
      </c>
      <c r="M30" s="519">
        <f t="shared" si="8"/>
        <v>4.969999999999998</v>
      </c>
      <c r="N30" s="35">
        <f t="shared" si="9"/>
        <v>2.8781561269400034E-2</v>
      </c>
      <c r="O30" s="451" t="s">
        <v>133</v>
      </c>
      <c r="P30" s="458" t="s">
        <v>1155</v>
      </c>
      <c r="Q30" s="458" t="s">
        <v>135</v>
      </c>
      <c r="R30" s="37" t="s">
        <v>898</v>
      </c>
    </row>
    <row r="31" spans="1:18" s="53" customFormat="1" ht="24.95" customHeight="1" x14ac:dyDescent="0.25">
      <c r="A31" s="518">
        <v>4</v>
      </c>
      <c r="B31" s="30" t="s">
        <v>975</v>
      </c>
      <c r="C31" s="31">
        <v>951.8</v>
      </c>
      <c r="D31" s="32">
        <v>151.09</v>
      </c>
      <c r="E31" s="32">
        <v>151.09</v>
      </c>
      <c r="F31" s="32">
        <v>12.26</v>
      </c>
      <c r="G31" s="31">
        <v>155.27000000000001</v>
      </c>
      <c r="H31" s="54">
        <f t="shared" si="5"/>
        <v>1.0811436891918724</v>
      </c>
      <c r="I31" s="31">
        <v>1903.61</v>
      </c>
      <c r="J31" s="32">
        <v>6.13</v>
      </c>
      <c r="K31" s="34">
        <f t="shared" si="6"/>
        <v>4.0571844595936192E-2</v>
      </c>
      <c r="L31" s="520">
        <f t="shared" si="7"/>
        <v>951.80510000000004</v>
      </c>
      <c r="M31" s="519">
        <f t="shared" si="8"/>
        <v>6.129999999999991</v>
      </c>
      <c r="N31" s="35">
        <f t="shared" si="9"/>
        <v>4.0571844595936137E-2</v>
      </c>
      <c r="O31" s="451" t="s">
        <v>133</v>
      </c>
      <c r="P31" s="458" t="s">
        <v>1155</v>
      </c>
      <c r="Q31" s="458" t="s">
        <v>135</v>
      </c>
      <c r="R31" s="37" t="s">
        <v>898</v>
      </c>
    </row>
    <row r="32" spans="1:18" s="53" customFormat="1" ht="24.95" customHeight="1" x14ac:dyDescent="0.25">
      <c r="A32" s="521">
        <v>5</v>
      </c>
      <c r="B32" s="30" t="s">
        <v>81</v>
      </c>
      <c r="C32" s="31">
        <v>779.81999999999994</v>
      </c>
      <c r="D32" s="32">
        <v>511.87</v>
      </c>
      <c r="E32" s="32">
        <v>511.87</v>
      </c>
      <c r="F32" s="32">
        <v>10.65</v>
      </c>
      <c r="G32" s="31">
        <v>78.77</v>
      </c>
      <c r="H32" s="54">
        <f t="shared" si="5"/>
        <v>1.0208060640396974</v>
      </c>
      <c r="I32" s="31">
        <v>838.9</v>
      </c>
      <c r="J32" s="32">
        <v>0.75</v>
      </c>
      <c r="K32" s="34">
        <f t="shared" si="6"/>
        <v>1.4652157774434915E-3</v>
      </c>
      <c r="L32" s="520">
        <f t="shared" si="7"/>
        <v>59.077500000000001</v>
      </c>
      <c r="M32" s="519">
        <f t="shared" si="8"/>
        <v>9.8999999999999773</v>
      </c>
      <c r="N32" s="35">
        <f t="shared" si="9"/>
        <v>1.9340848262254042E-2</v>
      </c>
      <c r="O32" s="451" t="s">
        <v>133</v>
      </c>
      <c r="P32" s="458" t="s">
        <v>1155</v>
      </c>
      <c r="Q32" s="458" t="s">
        <v>137</v>
      </c>
      <c r="R32" s="37" t="s">
        <v>82</v>
      </c>
    </row>
    <row r="33" spans="1:18" s="53" customFormat="1" ht="24.95" customHeight="1" x14ac:dyDescent="0.25">
      <c r="A33" s="518">
        <v>6</v>
      </c>
      <c r="B33" s="30" t="s">
        <v>76</v>
      </c>
      <c r="C33" s="31">
        <v>773.33</v>
      </c>
      <c r="D33" s="32">
        <v>525.28</v>
      </c>
      <c r="E33" s="32">
        <v>525.28</v>
      </c>
      <c r="F33" s="32">
        <v>13.66</v>
      </c>
      <c r="G33" s="31">
        <v>60.94</v>
      </c>
      <c r="H33" s="54">
        <f t="shared" si="5"/>
        <v>1.0260051781906792</v>
      </c>
      <c r="I33" s="31">
        <v>832.44</v>
      </c>
      <c r="J33" s="32">
        <v>0.97</v>
      </c>
      <c r="K33" s="34">
        <f t="shared" si="6"/>
        <v>1.8466341760584831E-3</v>
      </c>
      <c r="L33" s="520">
        <f t="shared" si="7"/>
        <v>59.111799999999995</v>
      </c>
      <c r="M33" s="519">
        <f t="shared" si="8"/>
        <v>12.689999999999968</v>
      </c>
      <c r="N33" s="35">
        <f t="shared" si="9"/>
        <v>2.4158544014620711E-2</v>
      </c>
      <c r="O33" s="451" t="s">
        <v>133</v>
      </c>
      <c r="P33" s="458" t="s">
        <v>1155</v>
      </c>
      <c r="Q33" s="458" t="s">
        <v>134</v>
      </c>
      <c r="R33" s="37" t="s">
        <v>77</v>
      </c>
    </row>
    <row r="34" spans="1:18" s="53" customFormat="1" ht="24.95" customHeight="1" x14ac:dyDescent="0.25">
      <c r="A34" s="521">
        <v>7</v>
      </c>
      <c r="B34" s="30" t="s">
        <v>74</v>
      </c>
      <c r="C34" s="31">
        <v>740.35</v>
      </c>
      <c r="D34" s="32">
        <v>255.37</v>
      </c>
      <c r="E34" s="32">
        <v>255.37</v>
      </c>
      <c r="F34" s="32">
        <v>5.97</v>
      </c>
      <c r="G34" s="31">
        <v>133.88</v>
      </c>
      <c r="H34" s="54">
        <f t="shared" si="5"/>
        <v>1.0233778439127541</v>
      </c>
      <c r="I34" s="31">
        <v>799.26</v>
      </c>
      <c r="J34" s="32">
        <v>0.44</v>
      </c>
      <c r="K34" s="34">
        <f t="shared" si="6"/>
        <v>1.722990171124251E-3</v>
      </c>
      <c r="L34" s="520">
        <f t="shared" si="7"/>
        <v>58.907199999999996</v>
      </c>
      <c r="M34" s="519">
        <f t="shared" si="8"/>
        <v>5.5300000000000269</v>
      </c>
      <c r="N34" s="35">
        <f t="shared" si="9"/>
        <v>2.1654853741629898E-2</v>
      </c>
      <c r="O34" s="451" t="s">
        <v>133</v>
      </c>
      <c r="P34" s="458" t="s">
        <v>1155</v>
      </c>
      <c r="Q34" s="458" t="s">
        <v>134</v>
      </c>
      <c r="R34" s="37" t="s">
        <v>75</v>
      </c>
    </row>
    <row r="35" spans="1:18" s="53" customFormat="1" ht="24.95" customHeight="1" x14ac:dyDescent="0.25">
      <c r="A35" s="518">
        <v>8</v>
      </c>
      <c r="B35" s="30" t="s">
        <v>651</v>
      </c>
      <c r="C35" s="31">
        <v>689.01</v>
      </c>
      <c r="D35" s="32">
        <v>68.88</v>
      </c>
      <c r="E35" s="32">
        <v>68.88</v>
      </c>
      <c r="F35" s="32">
        <v>1.79</v>
      </c>
      <c r="G35" s="31">
        <v>417.58</v>
      </c>
      <c r="H35" s="54">
        <f t="shared" si="5"/>
        <v>1.025987224157956</v>
      </c>
      <c r="I35" s="31">
        <v>747.47</v>
      </c>
      <c r="J35" s="32">
        <v>0.14000000000000001</v>
      </c>
      <c r="K35" s="34">
        <f t="shared" si="6"/>
        <v>2.0325203252032522E-3</v>
      </c>
      <c r="L35" s="520">
        <f t="shared" si="7"/>
        <v>58.461200000000005</v>
      </c>
      <c r="M35" s="519">
        <f t="shared" si="8"/>
        <v>1.6500000000000061</v>
      </c>
      <c r="N35" s="35">
        <f t="shared" si="9"/>
        <v>2.3954703832752704E-2</v>
      </c>
      <c r="O35" s="451" t="s">
        <v>133</v>
      </c>
      <c r="P35" s="458" t="s">
        <v>1155</v>
      </c>
      <c r="Q35" s="458" t="s">
        <v>134</v>
      </c>
      <c r="R35" s="37" t="s">
        <v>656</v>
      </c>
    </row>
    <row r="36" spans="1:18" s="53" customFormat="1" ht="24.95" customHeight="1" x14ac:dyDescent="0.25">
      <c r="A36" s="521">
        <v>9</v>
      </c>
      <c r="B36" s="30" t="s">
        <v>85</v>
      </c>
      <c r="C36" s="31">
        <v>672.23</v>
      </c>
      <c r="D36" s="32">
        <v>442.44</v>
      </c>
      <c r="E36" s="32">
        <v>442.44</v>
      </c>
      <c r="F36" s="32">
        <v>9.1999999999999993</v>
      </c>
      <c r="G36" s="31">
        <v>79.459999999999994</v>
      </c>
      <c r="H36" s="54">
        <f t="shared" si="5"/>
        <v>1.0207937799475635</v>
      </c>
      <c r="I36" s="31">
        <v>731.03</v>
      </c>
      <c r="J36" s="32">
        <v>0.74</v>
      </c>
      <c r="K36" s="34">
        <f t="shared" si="6"/>
        <v>1.672543169695326E-3</v>
      </c>
      <c r="L36" s="520">
        <f t="shared" si="7"/>
        <v>58.800399999999996</v>
      </c>
      <c r="M36" s="519">
        <f t="shared" si="8"/>
        <v>8.4599999999999884</v>
      </c>
      <c r="N36" s="35">
        <f t="shared" si="9"/>
        <v>1.9121236777868159E-2</v>
      </c>
      <c r="O36" s="451" t="s">
        <v>133</v>
      </c>
      <c r="P36" s="458" t="s">
        <v>1155</v>
      </c>
      <c r="Q36" s="458" t="s">
        <v>137</v>
      </c>
      <c r="R36" s="37" t="s">
        <v>86</v>
      </c>
    </row>
    <row r="37" spans="1:18" s="53" customFormat="1" ht="24.95" customHeight="1" thickBot="1" x14ac:dyDescent="0.3">
      <c r="A37" s="522">
        <v>10</v>
      </c>
      <c r="B37" s="40" t="s">
        <v>80</v>
      </c>
      <c r="C37" s="41">
        <v>670.8</v>
      </c>
      <c r="D37" s="42">
        <v>199.15</v>
      </c>
      <c r="E37" s="42">
        <v>199.15</v>
      </c>
      <c r="F37" s="42">
        <v>4.66</v>
      </c>
      <c r="G37" s="41">
        <v>156.72999999999999</v>
      </c>
      <c r="H37" s="58">
        <f t="shared" si="5"/>
        <v>1.0233994476525232</v>
      </c>
      <c r="I37" s="41">
        <v>730.36</v>
      </c>
      <c r="J37" s="42">
        <v>0.38</v>
      </c>
      <c r="K37" s="44">
        <f t="shared" si="6"/>
        <v>1.9081094652272155E-3</v>
      </c>
      <c r="L37" s="524">
        <f t="shared" si="7"/>
        <v>59.557399999999994</v>
      </c>
      <c r="M37" s="523">
        <f t="shared" si="8"/>
        <v>4.2799999999999967</v>
      </c>
      <c r="N37" s="45">
        <f t="shared" si="9"/>
        <v>2.149133818729599E-2</v>
      </c>
      <c r="O37" s="59" t="s">
        <v>133</v>
      </c>
      <c r="P37" s="60" t="s">
        <v>1155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45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738" t="s">
        <v>115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738"/>
      <c r="B42" s="739" t="s">
        <v>100</v>
      </c>
      <c r="C42" s="740" t="s">
        <v>101</v>
      </c>
      <c r="D42" s="741" t="s">
        <v>130</v>
      </c>
      <c r="E42" s="62"/>
      <c r="G42" s="64"/>
      <c r="H42" s="65"/>
    </row>
    <row r="43" spans="1:18" ht="20.45" customHeight="1" x14ac:dyDescent="0.35">
      <c r="A43" s="738"/>
      <c r="B43" s="739"/>
      <c r="C43" s="740"/>
      <c r="D43" s="741"/>
      <c r="E43" s="62"/>
      <c r="G43" s="64"/>
      <c r="H43" s="65"/>
    </row>
    <row r="44" spans="1:18" s="68" customFormat="1" ht="24.95" customHeight="1" x14ac:dyDescent="0.35">
      <c r="A44" s="528">
        <v>1</v>
      </c>
      <c r="B44" s="30" t="s">
        <v>58</v>
      </c>
      <c r="C44" s="31">
        <v>1532.71</v>
      </c>
      <c r="D44" s="66">
        <f t="shared" ref="D44:D53" si="10">C44/$L$5</f>
        <v>0.45837096494428525</v>
      </c>
      <c r="E44" s="67"/>
      <c r="G44" s="64"/>
      <c r="H44" s="65"/>
    </row>
    <row r="45" spans="1:18" s="68" customFormat="1" ht="24.95" customHeight="1" x14ac:dyDescent="0.35">
      <c r="A45" s="529">
        <v>2</v>
      </c>
      <c r="B45" s="30" t="s">
        <v>69</v>
      </c>
      <c r="C45" s="31">
        <v>335.58</v>
      </c>
      <c r="D45" s="66">
        <f t="shared" si="10"/>
        <v>0.10035827287353984</v>
      </c>
      <c r="E45" s="67"/>
      <c r="G45" s="64"/>
      <c r="H45" s="65"/>
    </row>
    <row r="46" spans="1:18" s="68" customFormat="1" ht="24.95" customHeight="1" x14ac:dyDescent="0.35">
      <c r="A46" s="529">
        <v>3</v>
      </c>
      <c r="B46" s="30" t="s">
        <v>166</v>
      </c>
      <c r="C46" s="31">
        <v>220.53</v>
      </c>
      <c r="D46" s="66">
        <f t="shared" si="10"/>
        <v>6.5951516528999762E-2</v>
      </c>
      <c r="E46" s="67"/>
      <c r="G46" s="64"/>
      <c r="H46" s="65"/>
    </row>
    <row r="47" spans="1:18" s="68" customFormat="1" ht="24.95" customHeight="1" x14ac:dyDescent="0.35">
      <c r="A47" s="528">
        <v>4</v>
      </c>
      <c r="B47" s="30" t="s">
        <v>254</v>
      </c>
      <c r="C47" s="31">
        <v>60.56</v>
      </c>
      <c r="D47" s="66">
        <f t="shared" si="10"/>
        <v>1.8111022722514969E-2</v>
      </c>
      <c r="E47" s="67"/>
      <c r="G47" s="64"/>
      <c r="H47" s="65"/>
    </row>
    <row r="48" spans="1:18" s="68" customFormat="1" ht="24.95" customHeight="1" x14ac:dyDescent="0.35">
      <c r="A48" s="529">
        <v>5</v>
      </c>
      <c r="B48" s="30" t="s">
        <v>91</v>
      </c>
      <c r="C48" s="31">
        <v>59.61</v>
      </c>
      <c r="D48" s="66">
        <f t="shared" si="10"/>
        <v>1.782691652062611E-2</v>
      </c>
      <c r="E48" s="67"/>
      <c r="G48" s="64"/>
      <c r="H48" s="65"/>
    </row>
    <row r="49" spans="1:5" s="68" customFormat="1" ht="24.95" customHeight="1" x14ac:dyDescent="0.25">
      <c r="A49" s="528">
        <v>6</v>
      </c>
      <c r="B49" s="30" t="s">
        <v>531</v>
      </c>
      <c r="C49" s="31">
        <v>59.58</v>
      </c>
      <c r="D49" s="66">
        <f t="shared" si="10"/>
        <v>1.7817944745829619E-2</v>
      </c>
      <c r="E49" s="67"/>
    </row>
    <row r="50" spans="1:5" s="68" customFormat="1" ht="24.95" customHeight="1" x14ac:dyDescent="0.25">
      <c r="A50" s="529">
        <v>7</v>
      </c>
      <c r="B50" s="30" t="s">
        <v>68</v>
      </c>
      <c r="C50" s="31">
        <v>59.56</v>
      </c>
      <c r="D50" s="66">
        <f t="shared" si="10"/>
        <v>1.7811963562631958E-2</v>
      </c>
      <c r="E50" s="67"/>
    </row>
    <row r="51" spans="1:5" s="68" customFormat="1" ht="24.95" customHeight="1" x14ac:dyDescent="0.25">
      <c r="A51" s="528">
        <v>8</v>
      </c>
      <c r="B51" s="30" t="s">
        <v>80</v>
      </c>
      <c r="C51" s="31">
        <v>59.56</v>
      </c>
      <c r="D51" s="66">
        <f t="shared" si="10"/>
        <v>1.7811963562631958E-2</v>
      </c>
      <c r="E51" s="67"/>
    </row>
    <row r="52" spans="1:5" s="68" customFormat="1" ht="24.95" customHeight="1" x14ac:dyDescent="0.25">
      <c r="A52" s="529">
        <v>9</v>
      </c>
      <c r="B52" s="30" t="s">
        <v>65</v>
      </c>
      <c r="C52" s="31">
        <v>59.39</v>
      </c>
      <c r="D52" s="66">
        <f t="shared" si="10"/>
        <v>1.7761123505451847E-2</v>
      </c>
      <c r="E52" s="67"/>
    </row>
    <row r="53" spans="1:5" s="68" customFormat="1" ht="24.95" customHeight="1" thickBot="1" x14ac:dyDescent="0.3">
      <c r="A53" s="530">
        <v>10</v>
      </c>
      <c r="B53" s="40" t="s">
        <v>253</v>
      </c>
      <c r="C53" s="41">
        <v>59.11</v>
      </c>
      <c r="D53" s="69">
        <f t="shared" si="10"/>
        <v>1.7677386940684606E-2</v>
      </c>
      <c r="E53" s="67"/>
    </row>
    <row r="54" spans="1:5" x14ac:dyDescent="0.25">
      <c r="A54" s="614" t="s">
        <v>188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14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987" priority="33" operator="containsText" text="024">
      <formula>NOT(ISERROR(SEARCH("024",A12)))</formula>
    </cfRule>
    <cfRule type="containsText" dxfId="986" priority="34" operator="containsText" text="白醬">
      <formula>NOT(ISERROR(SEARCH("白醬",A12)))</formula>
    </cfRule>
    <cfRule type="containsText" dxfId="985" priority="35" operator="containsText" text="青蔥">
      <formula>NOT(ISERROR(SEARCH("青蔥",A12)))</formula>
    </cfRule>
    <cfRule type="containsText" dxfId="984" priority="36" operator="containsText" text=")川燙小青花菜">
      <formula>NOT(ISERROR(SEARCH(")川燙小青花菜",A12)))</formula>
    </cfRule>
    <cfRule type="containsText" dxfId="983" priority="37" operator="containsText" text="湯凍">
      <formula>NOT(ISERROR(SEARCH("湯凍",A12)))</formula>
    </cfRule>
    <cfRule type="containsText" dxfId="982" priority="38" operator="containsText" text="中華">
      <formula>NOT(ISERROR(SEARCH("中華",A12)))</formula>
    </cfRule>
  </conditionalFormatting>
  <conditionalFormatting sqref="A12:A22">
    <cfRule type="containsText" dxfId="981" priority="31" operator="containsText" text="綠豆芽">
      <formula>NOT(ISERROR(SEARCH("綠豆芽",A12)))</formula>
    </cfRule>
    <cfRule type="containsText" dxfId="980" priority="32" operator="containsText" text="煮白細麵生(方#12)">
      <formula>NOT(ISERROR(SEARCH("煮白細麵生(方#12)",A12)))</formula>
    </cfRule>
  </conditionalFormatting>
  <conditionalFormatting sqref="E5">
    <cfRule type="cellIs" dxfId="979" priority="16" operator="greaterThan">
      <formula>0.0025</formula>
    </cfRule>
    <cfRule type="cellIs" dxfId="978" priority="19" operator="greaterThan">
      <formula>0.0025</formula>
    </cfRule>
    <cfRule type="cellIs" dxfId="977" priority="29" operator="greaterThan">
      <formula>0.072</formula>
    </cfRule>
    <cfRule type="cellIs" dxfId="976" priority="30" operator="greaterThan">
      <formula>7.2</formula>
    </cfRule>
  </conditionalFormatting>
  <conditionalFormatting sqref="E5">
    <cfRule type="cellIs" dxfId="975" priority="28" operator="greaterThan">
      <formula>0.0025</formula>
    </cfRule>
  </conditionalFormatting>
  <conditionalFormatting sqref="A44:A53">
    <cfRule type="containsText" dxfId="974" priority="22" operator="containsText" text="024">
      <formula>NOT(ISERROR(SEARCH("024",A44)))</formula>
    </cfRule>
    <cfRule type="containsText" dxfId="973" priority="23" operator="containsText" text="白醬">
      <formula>NOT(ISERROR(SEARCH("白醬",A44)))</formula>
    </cfRule>
    <cfRule type="containsText" dxfId="972" priority="24" operator="containsText" text="青蔥">
      <formula>NOT(ISERROR(SEARCH("青蔥",A44)))</formula>
    </cfRule>
    <cfRule type="containsText" dxfId="971" priority="25" operator="containsText" text=")川燙小青花菜">
      <formula>NOT(ISERROR(SEARCH(")川燙小青花菜",A44)))</formula>
    </cfRule>
    <cfRule type="containsText" dxfId="970" priority="26" operator="containsText" text="湯凍">
      <formula>NOT(ISERROR(SEARCH("湯凍",A44)))</formula>
    </cfRule>
    <cfRule type="containsText" dxfId="969" priority="27" operator="containsText" text="中華">
      <formula>NOT(ISERROR(SEARCH("中華",A44)))</formula>
    </cfRule>
  </conditionalFormatting>
  <conditionalFormatting sqref="A44:A53">
    <cfRule type="containsText" dxfId="968" priority="20" operator="containsText" text="綠豆芽">
      <formula>NOT(ISERROR(SEARCH("綠豆芽",A44)))</formula>
    </cfRule>
    <cfRule type="containsText" dxfId="967" priority="21" operator="containsText" text="煮白細麵生(方#12)">
      <formula>NOT(ISERROR(SEARCH("煮白細麵生(方#12)",A44)))</formula>
    </cfRule>
  </conditionalFormatting>
  <conditionalFormatting sqref="D44:D53">
    <cfRule type="cellIs" dxfId="966" priority="18" operator="greaterThan">
      <formula>0.146</formula>
    </cfRule>
  </conditionalFormatting>
  <conditionalFormatting sqref="H12:H22">
    <cfRule type="cellIs" dxfId="965" priority="17" operator="greaterThan">
      <formula>1.1</formula>
    </cfRule>
  </conditionalFormatting>
  <conditionalFormatting sqref="I5">
    <cfRule type="cellIs" dxfId="964" priority="15" operator="greaterThan">
      <formula>0.2</formula>
    </cfRule>
  </conditionalFormatting>
  <conditionalFormatting sqref="A28:A37">
    <cfRule type="containsText" dxfId="963" priority="9" operator="containsText" text="024">
      <formula>NOT(ISERROR(SEARCH("024",A28)))</formula>
    </cfRule>
    <cfRule type="containsText" dxfId="962" priority="10" operator="containsText" text="白醬">
      <formula>NOT(ISERROR(SEARCH("白醬",A28)))</formula>
    </cfRule>
    <cfRule type="containsText" dxfId="961" priority="11" operator="containsText" text="青蔥">
      <formula>NOT(ISERROR(SEARCH("青蔥",A28)))</formula>
    </cfRule>
    <cfRule type="containsText" dxfId="960" priority="12" operator="containsText" text=")川燙小青花菜">
      <formula>NOT(ISERROR(SEARCH(")川燙小青花菜",A28)))</formula>
    </cfRule>
    <cfRule type="containsText" dxfId="959" priority="13" operator="containsText" text="湯凍">
      <formula>NOT(ISERROR(SEARCH("湯凍",A28)))</formula>
    </cfRule>
    <cfRule type="containsText" dxfId="958" priority="14" operator="containsText" text="中華">
      <formula>NOT(ISERROR(SEARCH("中華",A28)))</formula>
    </cfRule>
  </conditionalFormatting>
  <conditionalFormatting sqref="A28:A37">
    <cfRule type="containsText" dxfId="957" priority="7" operator="containsText" text="綠豆芽">
      <formula>NOT(ISERROR(SEARCH("綠豆芽",A28)))</formula>
    </cfRule>
    <cfRule type="containsText" dxfId="956" priority="8" operator="containsText" text="煮白細麵生(方#12)">
      <formula>NOT(ISERROR(SEARCH("煮白細麵生(方#12)",A28)))</formula>
    </cfRule>
  </conditionalFormatting>
  <conditionalFormatting sqref="H28:H37">
    <cfRule type="cellIs" dxfId="955" priority="6" operator="greaterThan">
      <formula>1.1</formula>
    </cfRule>
  </conditionalFormatting>
  <conditionalFormatting sqref="G5">
    <cfRule type="cellIs" dxfId="954" priority="1" operator="greaterThan">
      <formula>0.0025</formula>
    </cfRule>
    <cfRule type="cellIs" dxfId="953" priority="2" operator="greaterThan">
      <formula>0.0025</formula>
    </cfRule>
    <cfRule type="cellIs" dxfId="952" priority="4" operator="greaterThan">
      <formula>0.072</formula>
    </cfRule>
    <cfRule type="cellIs" dxfId="951" priority="5" operator="greaterThan">
      <formula>7.2</formula>
    </cfRule>
  </conditionalFormatting>
  <conditionalFormatting sqref="G5">
    <cfRule type="cellIs" dxfId="95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0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763" t="s">
        <v>31</v>
      </c>
      <c r="B2" s="764"/>
      <c r="C2" s="495" t="s">
        <v>32</v>
      </c>
      <c r="D2" s="765" t="s">
        <v>33</v>
      </c>
      <c r="E2" s="765"/>
      <c r="F2" s="765" t="s">
        <v>34</v>
      </c>
      <c r="G2" s="765"/>
      <c r="H2" s="765" t="s">
        <v>33</v>
      </c>
      <c r="I2" s="765"/>
      <c r="J2" s="765" t="s">
        <v>34</v>
      </c>
      <c r="K2" s="765"/>
      <c r="L2" s="765" t="s">
        <v>33</v>
      </c>
      <c r="M2" s="766"/>
      <c r="R2" s="17"/>
    </row>
    <row r="3" spans="1:18" s="18" customFormat="1" ht="28.5" x14ac:dyDescent="0.45">
      <c r="A3" s="773">
        <v>45925</v>
      </c>
      <c r="B3" s="774"/>
      <c r="C3" s="775">
        <v>5545534.8899999997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773"/>
      <c r="B4" s="774"/>
      <c r="C4" s="77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767" t="s">
        <v>44</v>
      </c>
      <c r="B5" s="768"/>
      <c r="C5" s="768"/>
      <c r="D5" s="496">
        <v>13469.400000000005</v>
      </c>
      <c r="E5" s="22">
        <f>D5/C3</f>
        <v>2.4288730063332098E-3</v>
      </c>
      <c r="F5" s="496">
        <v>41918.040000000023</v>
      </c>
      <c r="G5" s="23">
        <f>F5/C3</f>
        <v>7.558881303873651E-3</v>
      </c>
      <c r="H5" s="24">
        <f>SUM(C12:C21)</f>
        <v>9556.0500000000029</v>
      </c>
      <c r="I5" s="25">
        <f>H5/D5</f>
        <v>0.70946367321484249</v>
      </c>
      <c r="J5" s="24">
        <f>SUM(C28:C37)</f>
        <v>18735.579999999998</v>
      </c>
      <c r="K5" s="26">
        <f>J5/F5</f>
        <v>0.44695744362093237</v>
      </c>
      <c r="L5" s="27">
        <v>9883.6499999999978</v>
      </c>
      <c r="M5" s="28">
        <f>L5/D5</f>
        <v>0.73378546928593658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924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925</v>
      </c>
      <c r="B8" s="620"/>
      <c r="C8" s="620"/>
      <c r="D8" s="620" t="s">
        <v>926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278</v>
      </c>
      <c r="P8" s="630" t="s">
        <v>927</v>
      </c>
      <c r="Q8" s="629" t="s">
        <v>928</v>
      </c>
      <c r="R8" s="769" t="s">
        <v>929</v>
      </c>
    </row>
    <row r="9" spans="1:18" ht="20.45" customHeight="1" x14ac:dyDescent="0.25">
      <c r="A9" s="770" t="s">
        <v>930</v>
      </c>
      <c r="B9" s="634" t="s">
        <v>931</v>
      </c>
      <c r="C9" s="635"/>
      <c r="D9" s="636" t="s">
        <v>932</v>
      </c>
      <c r="E9" s="636"/>
      <c r="F9" s="636"/>
      <c r="G9" s="636"/>
      <c r="H9" s="636"/>
      <c r="I9" s="636"/>
      <c r="J9" s="637" t="s">
        <v>933</v>
      </c>
      <c r="K9" s="637"/>
      <c r="L9" s="637"/>
      <c r="M9" s="638"/>
      <c r="N9" s="638"/>
      <c r="O9" s="629"/>
      <c r="P9" s="629"/>
      <c r="Q9" s="629"/>
      <c r="R9" s="769"/>
    </row>
    <row r="10" spans="1:18" ht="20.45" customHeight="1" x14ac:dyDescent="0.3">
      <c r="A10" s="771"/>
      <c r="B10" s="776" t="s">
        <v>934</v>
      </c>
      <c r="C10" s="778" t="s">
        <v>935</v>
      </c>
      <c r="D10" s="780" t="s">
        <v>936</v>
      </c>
      <c r="E10" s="780"/>
      <c r="F10" s="780"/>
      <c r="G10" s="780"/>
      <c r="H10" s="780"/>
      <c r="I10" s="780"/>
      <c r="J10" s="781" t="s">
        <v>937</v>
      </c>
      <c r="K10" s="782"/>
      <c r="L10" s="783" t="s">
        <v>938</v>
      </c>
      <c r="M10" s="781"/>
      <c r="N10" s="781"/>
      <c r="O10" s="629"/>
      <c r="P10" s="629"/>
      <c r="Q10" s="629"/>
      <c r="R10" s="769"/>
    </row>
    <row r="11" spans="1:18" s="29" customFormat="1" ht="47.25" customHeight="1" x14ac:dyDescent="0.25">
      <c r="A11" s="772"/>
      <c r="B11" s="777"/>
      <c r="C11" s="779"/>
      <c r="D11" s="497" t="s">
        <v>939</v>
      </c>
      <c r="E11" s="497" t="s">
        <v>940</v>
      </c>
      <c r="F11" s="497" t="s">
        <v>941</v>
      </c>
      <c r="G11" s="497" t="s">
        <v>942</v>
      </c>
      <c r="H11" s="497" t="s">
        <v>943</v>
      </c>
      <c r="I11" s="497" t="s">
        <v>944</v>
      </c>
      <c r="J11" s="498" t="s">
        <v>945</v>
      </c>
      <c r="K11" s="498" t="s">
        <v>946</v>
      </c>
      <c r="L11" s="498" t="s">
        <v>945</v>
      </c>
      <c r="M11" s="498" t="s">
        <v>947</v>
      </c>
      <c r="N11" s="499" t="s">
        <v>948</v>
      </c>
      <c r="O11" s="629"/>
      <c r="P11" s="629"/>
      <c r="Q11" s="629"/>
      <c r="R11" s="769"/>
    </row>
    <row r="12" spans="1:18" s="38" customFormat="1" ht="24.95" customHeight="1" x14ac:dyDescent="0.25">
      <c r="A12" s="500">
        <v>1</v>
      </c>
      <c r="B12" s="30" t="s">
        <v>58</v>
      </c>
      <c r="C12" s="31">
        <v>7269.14</v>
      </c>
      <c r="D12" s="32">
        <v>14358</v>
      </c>
      <c r="E12" s="32">
        <v>14358</v>
      </c>
      <c r="F12" s="32">
        <v>1253.3</v>
      </c>
      <c r="G12" s="31">
        <v>5.8</v>
      </c>
      <c r="H12" s="33">
        <f t="shared" ref="H12:H21" si="0">(E12+F12)/D12</f>
        <v>1.0872893160607326</v>
      </c>
      <c r="I12" s="31">
        <v>7269.14</v>
      </c>
      <c r="J12" s="32">
        <v>1253.3</v>
      </c>
      <c r="K12" s="34">
        <f t="shared" ref="K12:K21" si="1">J12/D12</f>
        <v>8.7289316060732688E-2</v>
      </c>
      <c r="L12" s="501">
        <f t="shared" ref="L12:L21" si="2">((E12+F12)-D12)-J12</f>
        <v>0</v>
      </c>
      <c r="M12" s="35">
        <f t="shared" ref="M12:M21" si="3">L12/D12</f>
        <v>0</v>
      </c>
      <c r="N12" s="502">
        <f t="shared" ref="N12:N21" si="4">L12*G12</f>
        <v>0</v>
      </c>
      <c r="O12" s="456" t="s">
        <v>139</v>
      </c>
      <c r="P12" s="456" t="s">
        <v>28</v>
      </c>
      <c r="Q12" s="456" t="s">
        <v>982</v>
      </c>
      <c r="R12" s="37" t="s">
        <v>59</v>
      </c>
    </row>
    <row r="13" spans="1:18" s="38" customFormat="1" ht="24.95" customHeight="1" x14ac:dyDescent="0.25">
      <c r="A13" s="503">
        <v>2</v>
      </c>
      <c r="B13" s="30" t="s">
        <v>69</v>
      </c>
      <c r="C13" s="31">
        <v>952.49</v>
      </c>
      <c r="D13" s="32">
        <v>7973</v>
      </c>
      <c r="E13" s="32">
        <v>7973</v>
      </c>
      <c r="F13" s="32">
        <v>136.07</v>
      </c>
      <c r="G13" s="31">
        <v>7</v>
      </c>
      <c r="H13" s="33">
        <f t="shared" si="0"/>
        <v>1.0170663489276308</v>
      </c>
      <c r="I13" s="31">
        <v>952.49</v>
      </c>
      <c r="J13" s="32">
        <v>136.07</v>
      </c>
      <c r="K13" s="34">
        <f t="shared" si="1"/>
        <v>1.7066348927630752E-2</v>
      </c>
      <c r="L13" s="501">
        <f t="shared" si="2"/>
        <v>-2.8421709430404007E-13</v>
      </c>
      <c r="M13" s="35">
        <f t="shared" si="3"/>
        <v>-3.5647446921364617E-17</v>
      </c>
      <c r="N13" s="502">
        <f t="shared" si="4"/>
        <v>-1.9895196601282805E-12</v>
      </c>
      <c r="O13" s="456" t="s">
        <v>142</v>
      </c>
      <c r="P13" s="456" t="s">
        <v>26</v>
      </c>
      <c r="Q13" s="456" t="s">
        <v>143</v>
      </c>
      <c r="R13" s="37" t="s">
        <v>59</v>
      </c>
    </row>
    <row r="14" spans="1:18" s="39" customFormat="1" ht="24.95" customHeight="1" x14ac:dyDescent="0.25">
      <c r="A14" s="503">
        <v>3</v>
      </c>
      <c r="B14" s="30" t="s">
        <v>92</v>
      </c>
      <c r="C14" s="31">
        <v>427.35</v>
      </c>
      <c r="D14" s="32">
        <v>99.14</v>
      </c>
      <c r="E14" s="32">
        <v>99.14</v>
      </c>
      <c r="F14" s="32">
        <v>4.72</v>
      </c>
      <c r="G14" s="31">
        <v>203.5</v>
      </c>
      <c r="H14" s="33">
        <f t="shared" si="0"/>
        <v>1.0476094411942707</v>
      </c>
      <c r="I14" s="31">
        <v>960.52</v>
      </c>
      <c r="J14" s="32">
        <v>2.1</v>
      </c>
      <c r="K14" s="34">
        <f t="shared" si="1"/>
        <v>2.1182166633044182E-2</v>
      </c>
      <c r="L14" s="501">
        <f t="shared" si="2"/>
        <v>2.6199999999999988</v>
      </c>
      <c r="M14" s="35">
        <f t="shared" si="3"/>
        <v>2.6427274561226535E-2</v>
      </c>
      <c r="N14" s="502">
        <f t="shared" si="4"/>
        <v>533.16999999999973</v>
      </c>
      <c r="O14" s="456" t="s">
        <v>142</v>
      </c>
      <c r="P14" s="456" t="s">
        <v>26</v>
      </c>
      <c r="Q14" s="456" t="s">
        <v>145</v>
      </c>
      <c r="R14" s="37" t="s">
        <v>59</v>
      </c>
    </row>
    <row r="15" spans="1:18" s="38" customFormat="1" ht="24.95" customHeight="1" x14ac:dyDescent="0.25">
      <c r="A15" s="500">
        <v>4</v>
      </c>
      <c r="B15" s="30" t="s">
        <v>166</v>
      </c>
      <c r="C15" s="31">
        <v>406.56</v>
      </c>
      <c r="D15" s="32">
        <v>5439</v>
      </c>
      <c r="E15" s="32">
        <v>5439</v>
      </c>
      <c r="F15" s="32">
        <v>92.4</v>
      </c>
      <c r="G15" s="31">
        <v>4.4000000000000004</v>
      </c>
      <c r="H15" s="33">
        <f t="shared" si="0"/>
        <v>1.0169884169884169</v>
      </c>
      <c r="I15" s="31">
        <v>406.56</v>
      </c>
      <c r="J15" s="32">
        <v>92.4</v>
      </c>
      <c r="K15" s="34">
        <f t="shared" si="1"/>
        <v>1.698841698841699E-2</v>
      </c>
      <c r="L15" s="501">
        <f t="shared" si="2"/>
        <v>-3.694822225952521E-13</v>
      </c>
      <c r="M15" s="35">
        <f t="shared" si="3"/>
        <v>-6.7932013714883631E-17</v>
      </c>
      <c r="N15" s="502">
        <f t="shared" si="4"/>
        <v>-1.6257217794191093E-12</v>
      </c>
      <c r="O15" s="456" t="s">
        <v>139</v>
      </c>
      <c r="P15" s="456" t="s">
        <v>28</v>
      </c>
      <c r="Q15" s="456" t="s">
        <v>140</v>
      </c>
      <c r="R15" s="37" t="s">
        <v>59</v>
      </c>
    </row>
    <row r="16" spans="1:18" s="39" customFormat="1" ht="24.95" customHeight="1" x14ac:dyDescent="0.25">
      <c r="A16" s="503">
        <v>5</v>
      </c>
      <c r="B16" s="30" t="s">
        <v>713</v>
      </c>
      <c r="C16" s="31">
        <v>175.59</v>
      </c>
      <c r="D16" s="32">
        <v>148.85</v>
      </c>
      <c r="E16" s="32">
        <v>148.85</v>
      </c>
      <c r="F16" s="32">
        <v>9.0399999999999991</v>
      </c>
      <c r="G16" s="31">
        <v>39.020000000000003</v>
      </c>
      <c r="H16" s="33">
        <f t="shared" si="0"/>
        <v>1.0607322808196171</v>
      </c>
      <c r="I16" s="31">
        <v>352.74</v>
      </c>
      <c r="J16" s="32">
        <v>4.5</v>
      </c>
      <c r="K16" s="34">
        <f t="shared" si="1"/>
        <v>3.0231776956667789E-2</v>
      </c>
      <c r="L16" s="501">
        <f t="shared" si="2"/>
        <v>4.539999999999992</v>
      </c>
      <c r="M16" s="35">
        <f t="shared" si="3"/>
        <v>3.0500503862949224E-2</v>
      </c>
      <c r="N16" s="502">
        <f t="shared" si="4"/>
        <v>177.15079999999969</v>
      </c>
      <c r="O16" s="456" t="s">
        <v>139</v>
      </c>
      <c r="P16" s="456" t="s">
        <v>25</v>
      </c>
      <c r="Q16" s="456" t="s">
        <v>134</v>
      </c>
      <c r="R16" s="37" t="s">
        <v>657</v>
      </c>
    </row>
    <row r="17" spans="1:18" s="38" customFormat="1" ht="24.95" customHeight="1" x14ac:dyDescent="0.25">
      <c r="A17" s="500">
        <v>6</v>
      </c>
      <c r="B17" s="30" t="s">
        <v>60</v>
      </c>
      <c r="C17" s="31">
        <v>107.05</v>
      </c>
      <c r="D17" s="32">
        <v>223.83</v>
      </c>
      <c r="E17" s="32">
        <v>223.83</v>
      </c>
      <c r="F17" s="32">
        <v>2.09</v>
      </c>
      <c r="G17" s="31">
        <v>99.12</v>
      </c>
      <c r="H17" s="33">
        <f t="shared" si="0"/>
        <v>1.009337443595586</v>
      </c>
      <c r="I17" s="31">
        <v>207.16</v>
      </c>
      <c r="J17" s="32">
        <v>1.08</v>
      </c>
      <c r="K17" s="34">
        <f t="shared" si="1"/>
        <v>4.8250904704463205E-3</v>
      </c>
      <c r="L17" s="501">
        <f t="shared" si="2"/>
        <v>1.0100000000000033</v>
      </c>
      <c r="M17" s="35">
        <f t="shared" si="3"/>
        <v>4.5123531251396298E-3</v>
      </c>
      <c r="N17" s="502">
        <f t="shared" si="4"/>
        <v>100.11120000000034</v>
      </c>
      <c r="O17" s="456" t="s">
        <v>139</v>
      </c>
      <c r="P17" s="456" t="s">
        <v>25</v>
      </c>
      <c r="Q17" s="456" t="s">
        <v>141</v>
      </c>
      <c r="R17" s="37" t="s">
        <v>59</v>
      </c>
    </row>
    <row r="18" spans="1:18" s="39" customFormat="1" ht="24.95" customHeight="1" x14ac:dyDescent="0.25">
      <c r="A18" s="503">
        <v>7</v>
      </c>
      <c r="B18" s="30" t="s">
        <v>213</v>
      </c>
      <c r="C18" s="31">
        <v>79.040000000000006</v>
      </c>
      <c r="D18" s="32">
        <v>4539</v>
      </c>
      <c r="E18" s="32">
        <v>4539</v>
      </c>
      <c r="F18" s="32">
        <v>18.170000000000002</v>
      </c>
      <c r="G18" s="31">
        <v>4.3499999999999996</v>
      </c>
      <c r="H18" s="33">
        <f t="shared" si="0"/>
        <v>1.0040030843798193</v>
      </c>
      <c r="I18" s="31">
        <v>79.040000000000006</v>
      </c>
      <c r="J18" s="32">
        <v>18.170000000000002</v>
      </c>
      <c r="K18" s="34">
        <f t="shared" si="1"/>
        <v>4.003084379819344E-3</v>
      </c>
      <c r="L18" s="501">
        <f t="shared" si="2"/>
        <v>7.1054273576010019E-14</v>
      </c>
      <c r="M18" s="35">
        <f t="shared" si="3"/>
        <v>1.5654169106853936E-17</v>
      </c>
      <c r="N18" s="502">
        <f t="shared" si="4"/>
        <v>3.0908609005564358E-13</v>
      </c>
      <c r="O18" s="456" t="s">
        <v>139</v>
      </c>
      <c r="P18" s="456" t="s">
        <v>28</v>
      </c>
      <c r="Q18" s="456" t="s">
        <v>140</v>
      </c>
      <c r="R18" s="37" t="s">
        <v>214</v>
      </c>
    </row>
    <row r="19" spans="1:18" s="38" customFormat="1" ht="24.95" customHeight="1" x14ac:dyDescent="0.25">
      <c r="A19" s="500">
        <v>8</v>
      </c>
      <c r="B19" s="30" t="s">
        <v>254</v>
      </c>
      <c r="C19" s="31">
        <v>53.95</v>
      </c>
      <c r="D19" s="32">
        <v>85.8</v>
      </c>
      <c r="E19" s="32">
        <v>85.8</v>
      </c>
      <c r="F19" s="32">
        <v>0.99</v>
      </c>
      <c r="G19" s="31">
        <v>110.1</v>
      </c>
      <c r="H19" s="33">
        <f t="shared" si="0"/>
        <v>1.0115384615384615</v>
      </c>
      <c r="I19" s="31">
        <v>109</v>
      </c>
      <c r="J19" s="32">
        <v>0.49</v>
      </c>
      <c r="K19" s="34">
        <f t="shared" si="1"/>
        <v>5.7109557109557112E-3</v>
      </c>
      <c r="L19" s="501">
        <f t="shared" si="2"/>
        <v>0.49999999999999489</v>
      </c>
      <c r="M19" s="35">
        <f t="shared" si="3"/>
        <v>5.8275058275057681E-3</v>
      </c>
      <c r="N19" s="502">
        <f t="shared" si="4"/>
        <v>55.049999999999436</v>
      </c>
      <c r="O19" s="456" t="s">
        <v>139</v>
      </c>
      <c r="P19" s="456" t="s">
        <v>25</v>
      </c>
      <c r="Q19" s="456" t="s">
        <v>134</v>
      </c>
      <c r="R19" s="37" t="s">
        <v>59</v>
      </c>
    </row>
    <row r="20" spans="1:18" s="38" customFormat="1" ht="24.95" customHeight="1" x14ac:dyDescent="0.25">
      <c r="A20" s="503">
        <v>9</v>
      </c>
      <c r="B20" s="30" t="s">
        <v>90</v>
      </c>
      <c r="C20" s="31">
        <v>47.18</v>
      </c>
      <c r="D20" s="32">
        <v>90.82</v>
      </c>
      <c r="E20" s="32">
        <v>90.82</v>
      </c>
      <c r="F20" s="32">
        <v>1.03</v>
      </c>
      <c r="G20" s="31">
        <v>104.84</v>
      </c>
      <c r="H20" s="33">
        <f t="shared" si="0"/>
        <v>1.0113411142920061</v>
      </c>
      <c r="I20" s="31">
        <v>107.99</v>
      </c>
      <c r="J20" s="32">
        <v>0.45</v>
      </c>
      <c r="K20" s="34">
        <f t="shared" si="1"/>
        <v>4.9548557586434712E-3</v>
      </c>
      <c r="L20" s="501">
        <f t="shared" si="2"/>
        <v>0.58000000000000118</v>
      </c>
      <c r="M20" s="35">
        <f t="shared" si="3"/>
        <v>6.3862585333627087E-3</v>
      </c>
      <c r="N20" s="502">
        <f t="shared" si="4"/>
        <v>60.807200000000122</v>
      </c>
      <c r="O20" s="456" t="s">
        <v>139</v>
      </c>
      <c r="P20" s="456" t="s">
        <v>25</v>
      </c>
      <c r="Q20" s="456" t="s">
        <v>141</v>
      </c>
      <c r="R20" s="37" t="s">
        <v>59</v>
      </c>
    </row>
    <row r="21" spans="1:18" s="38" customFormat="1" ht="24.95" customHeight="1" thickBot="1" x14ac:dyDescent="0.3">
      <c r="A21" s="504">
        <v>10</v>
      </c>
      <c r="B21" s="40" t="s">
        <v>949</v>
      </c>
      <c r="C21" s="41">
        <v>37.700000000000003</v>
      </c>
      <c r="D21" s="42">
        <v>41.41</v>
      </c>
      <c r="E21" s="42">
        <v>41.41</v>
      </c>
      <c r="F21" s="42">
        <v>1.0900000000000001</v>
      </c>
      <c r="G21" s="41">
        <v>342.75</v>
      </c>
      <c r="H21" s="43">
        <f t="shared" si="0"/>
        <v>1.0263221444095629</v>
      </c>
      <c r="I21" s="41">
        <v>373.6</v>
      </c>
      <c r="J21" s="42">
        <v>0.11</v>
      </c>
      <c r="K21" s="44">
        <f t="shared" si="1"/>
        <v>2.6563631972953395E-3</v>
      </c>
      <c r="L21" s="505">
        <f t="shared" si="2"/>
        <v>0.98000000000000342</v>
      </c>
      <c r="M21" s="45">
        <f t="shared" si="3"/>
        <v>2.3665781212267652E-2</v>
      </c>
      <c r="N21" s="506">
        <f t="shared" si="4"/>
        <v>335.89500000000118</v>
      </c>
      <c r="O21" s="457" t="s">
        <v>139</v>
      </c>
      <c r="P21" s="457" t="s">
        <v>25</v>
      </c>
      <c r="Q21" s="457" t="s">
        <v>134</v>
      </c>
      <c r="R21" s="47" t="s">
        <v>84</v>
      </c>
    </row>
    <row r="22" spans="1:18" s="53" customFormat="1" ht="24.95" customHeight="1" thickBot="1" x14ac:dyDescent="0.3">
      <c r="A22" s="507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508"/>
      <c r="M22" s="51"/>
      <c r="N22" s="509"/>
      <c r="O22" s="52"/>
      <c r="P22" s="52"/>
      <c r="Q22" s="52"/>
      <c r="R22" s="48"/>
    </row>
    <row r="23" spans="1:18" s="53" customFormat="1" ht="40.5" customHeight="1" x14ac:dyDescent="0.25">
      <c r="A23" s="616" t="s">
        <v>950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925</v>
      </c>
      <c r="B24" s="620"/>
      <c r="C24" s="620"/>
      <c r="D24" s="620" t="s">
        <v>926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278</v>
      </c>
      <c r="P24" s="630" t="s">
        <v>951</v>
      </c>
      <c r="Q24" s="629" t="s">
        <v>952</v>
      </c>
      <c r="R24" s="769" t="s">
        <v>953</v>
      </c>
    </row>
    <row r="25" spans="1:18" s="53" customFormat="1" ht="24.95" customHeight="1" x14ac:dyDescent="0.25">
      <c r="A25" s="770" t="s">
        <v>930</v>
      </c>
      <c r="B25" s="634" t="s">
        <v>98</v>
      </c>
      <c r="C25" s="635"/>
      <c r="D25" s="636" t="s">
        <v>954</v>
      </c>
      <c r="E25" s="636"/>
      <c r="F25" s="636"/>
      <c r="G25" s="636"/>
      <c r="H25" s="636"/>
      <c r="I25" s="636"/>
      <c r="J25" s="637" t="s">
        <v>955</v>
      </c>
      <c r="K25" s="637"/>
      <c r="L25" s="637"/>
      <c r="M25" s="638"/>
      <c r="N25" s="638"/>
      <c r="O25" s="629"/>
      <c r="P25" s="629"/>
      <c r="Q25" s="629"/>
      <c r="R25" s="769"/>
    </row>
    <row r="26" spans="1:18" s="53" customFormat="1" ht="24.95" customHeight="1" x14ac:dyDescent="0.3">
      <c r="A26" s="771"/>
      <c r="B26" s="776" t="s">
        <v>956</v>
      </c>
      <c r="C26" s="778" t="s">
        <v>957</v>
      </c>
      <c r="D26" s="780" t="s">
        <v>936</v>
      </c>
      <c r="E26" s="780"/>
      <c r="F26" s="780"/>
      <c r="G26" s="780"/>
      <c r="H26" s="780"/>
      <c r="I26" s="780"/>
      <c r="J26" s="781" t="s">
        <v>958</v>
      </c>
      <c r="K26" s="784"/>
      <c r="L26" s="782"/>
      <c r="M26" s="781" t="s">
        <v>938</v>
      </c>
      <c r="N26" s="782"/>
      <c r="O26" s="629"/>
      <c r="P26" s="629"/>
      <c r="Q26" s="629"/>
      <c r="R26" s="769"/>
    </row>
    <row r="27" spans="1:18" s="53" customFormat="1" ht="50.1" customHeight="1" x14ac:dyDescent="0.25">
      <c r="A27" s="772"/>
      <c r="B27" s="777"/>
      <c r="C27" s="779"/>
      <c r="D27" s="497" t="s">
        <v>959</v>
      </c>
      <c r="E27" s="497" t="s">
        <v>940</v>
      </c>
      <c r="F27" s="497" t="s">
        <v>941</v>
      </c>
      <c r="G27" s="497" t="s">
        <v>942</v>
      </c>
      <c r="H27" s="497" t="s">
        <v>960</v>
      </c>
      <c r="I27" s="497" t="s">
        <v>73</v>
      </c>
      <c r="J27" s="498" t="s">
        <v>961</v>
      </c>
      <c r="K27" s="498" t="s">
        <v>947</v>
      </c>
      <c r="L27" s="499" t="s">
        <v>962</v>
      </c>
      <c r="M27" s="498" t="s">
        <v>961</v>
      </c>
      <c r="N27" s="498" t="s">
        <v>946</v>
      </c>
      <c r="O27" s="629"/>
      <c r="P27" s="629"/>
      <c r="Q27" s="629"/>
      <c r="R27" s="769"/>
    </row>
    <row r="28" spans="1:18" s="53" customFormat="1" ht="24.95" customHeight="1" x14ac:dyDescent="0.25">
      <c r="A28" s="500">
        <v>1</v>
      </c>
      <c r="B28" s="30" t="s">
        <v>714</v>
      </c>
      <c r="C28" s="31">
        <v>8939.51</v>
      </c>
      <c r="D28" s="32">
        <v>104.33</v>
      </c>
      <c r="E28" s="32">
        <v>136.4</v>
      </c>
      <c r="F28" s="32">
        <v>0</v>
      </c>
      <c r="G28" s="31">
        <v>278.75</v>
      </c>
      <c r="H28" s="54">
        <f t="shared" ref="H28:H37" si="5">(E28+F28)/D28</f>
        <v>1.307390012460462</v>
      </c>
      <c r="I28" s="31">
        <v>8939.51</v>
      </c>
      <c r="J28" s="32">
        <v>0</v>
      </c>
      <c r="K28" s="34">
        <f t="shared" ref="K28:K37" si="6">J28/D28</f>
        <v>0</v>
      </c>
      <c r="L28" s="502">
        <f t="shared" ref="L28:L37" si="7">J28*G28</f>
        <v>0</v>
      </c>
      <c r="M28" s="501">
        <f t="shared" ref="M28:M37" si="8">((E28+F28)-D28)-J28</f>
        <v>32.070000000000007</v>
      </c>
      <c r="N28" s="35">
        <f t="shared" ref="N28:N37" si="9">M28/D28</f>
        <v>0.30739001246046205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503">
        <v>2</v>
      </c>
      <c r="B29" s="30" t="s">
        <v>80</v>
      </c>
      <c r="C29" s="31">
        <v>1352.5800000000002</v>
      </c>
      <c r="D29" s="32">
        <v>298.32</v>
      </c>
      <c r="E29" s="32">
        <v>298.32</v>
      </c>
      <c r="F29" s="32">
        <v>8.86</v>
      </c>
      <c r="G29" s="31">
        <v>156.72999999999999</v>
      </c>
      <c r="H29" s="54">
        <f t="shared" si="5"/>
        <v>1.0296996513810674</v>
      </c>
      <c r="I29" s="31">
        <v>1388.63</v>
      </c>
      <c r="J29" s="32">
        <v>0.23</v>
      </c>
      <c r="K29" s="34">
        <f t="shared" si="6"/>
        <v>7.7098417806382416E-4</v>
      </c>
      <c r="L29" s="502">
        <f t="shared" si="7"/>
        <v>36.047899999999998</v>
      </c>
      <c r="M29" s="501">
        <f t="shared" si="8"/>
        <v>8.6300000000000132</v>
      </c>
      <c r="N29" s="35">
        <f t="shared" si="9"/>
        <v>2.8928667203003532E-2</v>
      </c>
      <c r="O29" s="451" t="s">
        <v>133</v>
      </c>
      <c r="P29" s="458" t="s">
        <v>1155</v>
      </c>
      <c r="Q29" s="458" t="s">
        <v>136</v>
      </c>
      <c r="R29" s="37" t="s">
        <v>59</v>
      </c>
    </row>
    <row r="30" spans="1:18" s="53" customFormat="1" ht="24.95" customHeight="1" x14ac:dyDescent="0.25">
      <c r="A30" s="503">
        <v>3</v>
      </c>
      <c r="B30" s="30" t="s">
        <v>651</v>
      </c>
      <c r="C30" s="31">
        <v>1223.51</v>
      </c>
      <c r="D30" s="32">
        <v>91.64</v>
      </c>
      <c r="E30" s="32">
        <v>91.64</v>
      </c>
      <c r="F30" s="32">
        <v>3.02</v>
      </c>
      <c r="G30" s="31">
        <v>417.58</v>
      </c>
      <c r="H30" s="54">
        <f t="shared" si="5"/>
        <v>1.0329550414666084</v>
      </c>
      <c r="I30" s="31">
        <v>1261.0899999999999</v>
      </c>
      <c r="J30" s="57">
        <v>0.09</v>
      </c>
      <c r="K30" s="34">
        <f t="shared" si="6"/>
        <v>9.8210388476647754E-4</v>
      </c>
      <c r="L30" s="502">
        <f t="shared" si="7"/>
        <v>37.5822</v>
      </c>
      <c r="M30" s="501">
        <f t="shared" si="8"/>
        <v>2.9299999999999962</v>
      </c>
      <c r="N30" s="35">
        <f t="shared" si="9"/>
        <v>3.197293758184195E-2</v>
      </c>
      <c r="O30" s="451" t="s">
        <v>133</v>
      </c>
      <c r="P30" s="458" t="s">
        <v>1155</v>
      </c>
      <c r="Q30" s="458" t="s">
        <v>134</v>
      </c>
      <c r="R30" s="37" t="s">
        <v>656</v>
      </c>
    </row>
    <row r="31" spans="1:18" s="53" customFormat="1" ht="24.95" customHeight="1" x14ac:dyDescent="0.25">
      <c r="A31" s="500">
        <v>4</v>
      </c>
      <c r="B31" s="30" t="s">
        <v>81</v>
      </c>
      <c r="C31" s="31">
        <v>1155.56</v>
      </c>
      <c r="D31" s="32">
        <v>573.25</v>
      </c>
      <c r="E31" s="32">
        <v>573.25</v>
      </c>
      <c r="F31" s="32">
        <v>15.13</v>
      </c>
      <c r="G31" s="31">
        <v>78.77</v>
      </c>
      <c r="H31" s="54">
        <f t="shared" si="5"/>
        <v>1.0263933711295246</v>
      </c>
      <c r="I31" s="31">
        <v>1191.79</v>
      </c>
      <c r="J31" s="32">
        <v>0.46</v>
      </c>
      <c r="K31" s="34">
        <f t="shared" si="6"/>
        <v>8.0244221543829047E-4</v>
      </c>
      <c r="L31" s="502">
        <f t="shared" si="7"/>
        <v>36.234200000000001</v>
      </c>
      <c r="M31" s="501">
        <f t="shared" si="8"/>
        <v>14.669999999999995</v>
      </c>
      <c r="N31" s="35">
        <f t="shared" si="9"/>
        <v>2.559092891408634E-2</v>
      </c>
      <c r="O31" s="451" t="s">
        <v>133</v>
      </c>
      <c r="P31" s="458" t="s">
        <v>1155</v>
      </c>
      <c r="Q31" s="458" t="s">
        <v>137</v>
      </c>
      <c r="R31" s="37" t="s">
        <v>82</v>
      </c>
    </row>
    <row r="32" spans="1:18" s="53" customFormat="1" ht="24.95" customHeight="1" x14ac:dyDescent="0.25">
      <c r="A32" s="503">
        <v>5</v>
      </c>
      <c r="B32" s="30" t="s">
        <v>74</v>
      </c>
      <c r="C32" s="31">
        <v>1137.98</v>
      </c>
      <c r="D32" s="32">
        <v>295.45999999999998</v>
      </c>
      <c r="E32" s="32">
        <v>295.45999999999998</v>
      </c>
      <c r="F32" s="32">
        <v>8.77</v>
      </c>
      <c r="G32" s="31">
        <v>133.88</v>
      </c>
      <c r="H32" s="54">
        <f t="shared" si="5"/>
        <v>1.0296825289379272</v>
      </c>
      <c r="I32" s="31">
        <v>1174.1300000000001</v>
      </c>
      <c r="J32" s="32">
        <v>0.27</v>
      </c>
      <c r="K32" s="34">
        <f t="shared" si="6"/>
        <v>9.1382928315169578E-4</v>
      </c>
      <c r="L32" s="502">
        <f t="shared" si="7"/>
        <v>36.147600000000004</v>
      </c>
      <c r="M32" s="501">
        <f t="shared" si="8"/>
        <v>8.4999999999999822</v>
      </c>
      <c r="N32" s="35">
        <f t="shared" si="9"/>
        <v>2.8768699654775545E-2</v>
      </c>
      <c r="O32" s="451" t="s">
        <v>133</v>
      </c>
      <c r="P32" s="458" t="s">
        <v>1155</v>
      </c>
      <c r="Q32" s="458" t="s">
        <v>134</v>
      </c>
      <c r="R32" s="37" t="s">
        <v>75</v>
      </c>
    </row>
    <row r="33" spans="1:18" s="53" customFormat="1" ht="24.95" customHeight="1" x14ac:dyDescent="0.25">
      <c r="A33" s="500">
        <v>6</v>
      </c>
      <c r="B33" s="30" t="s">
        <v>76</v>
      </c>
      <c r="C33" s="31">
        <v>1107.28</v>
      </c>
      <c r="D33" s="32">
        <v>568.4</v>
      </c>
      <c r="E33" s="32">
        <v>568.4</v>
      </c>
      <c r="F33" s="32">
        <v>18.760000000000002</v>
      </c>
      <c r="G33" s="31">
        <v>60.94</v>
      </c>
      <c r="H33" s="54">
        <f t="shared" si="5"/>
        <v>1.0330049261083745</v>
      </c>
      <c r="I33" s="31">
        <v>1143.23</v>
      </c>
      <c r="J33" s="32">
        <v>0.59</v>
      </c>
      <c r="K33" s="34">
        <f t="shared" si="6"/>
        <v>1.0380014074595355E-3</v>
      </c>
      <c r="L33" s="502">
        <f t="shared" si="7"/>
        <v>35.954599999999999</v>
      </c>
      <c r="M33" s="501">
        <f t="shared" si="8"/>
        <v>18.169999999999991</v>
      </c>
      <c r="N33" s="35">
        <f t="shared" si="9"/>
        <v>3.1966924700914834E-2</v>
      </c>
      <c r="O33" s="451" t="s">
        <v>133</v>
      </c>
      <c r="P33" s="458" t="s">
        <v>1155</v>
      </c>
      <c r="Q33" s="458" t="s">
        <v>134</v>
      </c>
      <c r="R33" s="37" t="s">
        <v>77</v>
      </c>
    </row>
    <row r="34" spans="1:18" s="53" customFormat="1" ht="24.95" customHeight="1" x14ac:dyDescent="0.25">
      <c r="A34" s="503">
        <v>7</v>
      </c>
      <c r="B34" s="30" t="s">
        <v>85</v>
      </c>
      <c r="C34" s="31">
        <v>1003.5800000000002</v>
      </c>
      <c r="D34" s="32">
        <v>495.72</v>
      </c>
      <c r="E34" s="32">
        <v>495.72</v>
      </c>
      <c r="F34" s="32">
        <v>13.09</v>
      </c>
      <c r="G34" s="31">
        <v>79.459999999999994</v>
      </c>
      <c r="H34" s="54">
        <f t="shared" si="5"/>
        <v>1.0264060356652949</v>
      </c>
      <c r="I34" s="31">
        <v>1040.1300000000001</v>
      </c>
      <c r="J34" s="32">
        <v>0.46</v>
      </c>
      <c r="K34" s="34">
        <f t="shared" si="6"/>
        <v>9.2794319373840073E-4</v>
      </c>
      <c r="L34" s="502">
        <f t="shared" si="7"/>
        <v>36.551600000000001</v>
      </c>
      <c r="M34" s="501">
        <f t="shared" si="8"/>
        <v>12.629999999999974</v>
      </c>
      <c r="N34" s="35">
        <f t="shared" si="9"/>
        <v>2.5478092471556472E-2</v>
      </c>
      <c r="O34" s="451" t="s">
        <v>133</v>
      </c>
      <c r="P34" s="458" t="s">
        <v>1155</v>
      </c>
      <c r="Q34" s="458" t="s">
        <v>137</v>
      </c>
      <c r="R34" s="37" t="s">
        <v>86</v>
      </c>
    </row>
    <row r="35" spans="1:18" s="53" customFormat="1" ht="24.95" customHeight="1" x14ac:dyDescent="0.25">
      <c r="A35" s="500">
        <v>8</v>
      </c>
      <c r="B35" s="30" t="s">
        <v>531</v>
      </c>
      <c r="C35" s="31">
        <v>953.35</v>
      </c>
      <c r="D35" s="32">
        <v>95.93</v>
      </c>
      <c r="E35" s="32">
        <v>95.93</v>
      </c>
      <c r="F35" s="32">
        <v>3.16</v>
      </c>
      <c r="G35" s="31">
        <v>313.60000000000002</v>
      </c>
      <c r="H35" s="54">
        <f t="shared" si="5"/>
        <v>1.0329406859168142</v>
      </c>
      <c r="I35" s="31">
        <v>990.98</v>
      </c>
      <c r="J35" s="32">
        <v>0.12</v>
      </c>
      <c r="K35" s="34">
        <f t="shared" si="6"/>
        <v>1.2509121234233294E-3</v>
      </c>
      <c r="L35" s="502">
        <f t="shared" si="7"/>
        <v>37.631999999999998</v>
      </c>
      <c r="M35" s="501">
        <f t="shared" si="8"/>
        <v>3.0399999999999965</v>
      </c>
      <c r="N35" s="35">
        <f t="shared" si="9"/>
        <v>3.1689773793390975E-2</v>
      </c>
      <c r="O35" s="451" t="s">
        <v>133</v>
      </c>
      <c r="P35" s="458" t="s">
        <v>1155</v>
      </c>
      <c r="Q35" s="458" t="s">
        <v>136</v>
      </c>
      <c r="R35" s="37" t="s">
        <v>59</v>
      </c>
    </row>
    <row r="36" spans="1:18" s="53" customFormat="1" ht="24.95" customHeight="1" x14ac:dyDescent="0.25">
      <c r="A36" s="503">
        <v>9</v>
      </c>
      <c r="B36" s="30" t="s">
        <v>83</v>
      </c>
      <c r="C36" s="31">
        <v>950.54000000000008</v>
      </c>
      <c r="D36" s="32">
        <v>388.42</v>
      </c>
      <c r="E36" s="32">
        <v>388.42</v>
      </c>
      <c r="F36" s="32">
        <v>11.54</v>
      </c>
      <c r="G36" s="31">
        <v>85.48</v>
      </c>
      <c r="H36" s="54">
        <f t="shared" si="5"/>
        <v>1.0297101076154678</v>
      </c>
      <c r="I36" s="31">
        <v>986.44</v>
      </c>
      <c r="J36" s="32">
        <v>0.42</v>
      </c>
      <c r="K36" s="34">
        <f t="shared" si="6"/>
        <v>1.0813037433705782E-3</v>
      </c>
      <c r="L36" s="502">
        <f t="shared" si="7"/>
        <v>35.901600000000002</v>
      </c>
      <c r="M36" s="501">
        <f t="shared" si="8"/>
        <v>11.120000000000021</v>
      </c>
      <c r="N36" s="35">
        <f t="shared" si="9"/>
        <v>2.8628803872097267E-2</v>
      </c>
      <c r="O36" s="451" t="s">
        <v>133</v>
      </c>
      <c r="P36" s="458" t="s">
        <v>1155</v>
      </c>
      <c r="Q36" s="458" t="s">
        <v>134</v>
      </c>
      <c r="R36" s="37" t="s">
        <v>84</v>
      </c>
    </row>
    <row r="37" spans="1:18" s="53" customFormat="1" ht="24.95" customHeight="1" thickBot="1" x14ac:dyDescent="0.3">
      <c r="A37" s="504">
        <v>10</v>
      </c>
      <c r="B37" s="40" t="s">
        <v>78</v>
      </c>
      <c r="C37" s="41">
        <v>911.69</v>
      </c>
      <c r="D37" s="42">
        <v>417.44</v>
      </c>
      <c r="E37" s="42">
        <v>417.44</v>
      </c>
      <c r="F37" s="42">
        <v>12.4</v>
      </c>
      <c r="G37" s="41">
        <v>76.42</v>
      </c>
      <c r="H37" s="58">
        <f t="shared" si="5"/>
        <v>1.0297048677654272</v>
      </c>
      <c r="I37" s="41">
        <v>947.61</v>
      </c>
      <c r="J37" s="42">
        <v>0.47</v>
      </c>
      <c r="K37" s="44">
        <f t="shared" si="6"/>
        <v>1.1259103104637792E-3</v>
      </c>
      <c r="L37" s="506">
        <f t="shared" si="7"/>
        <v>35.917400000000001</v>
      </c>
      <c r="M37" s="505">
        <f t="shared" si="8"/>
        <v>11.929999999999977</v>
      </c>
      <c r="N37" s="45">
        <f t="shared" si="9"/>
        <v>2.8578957454963531E-2</v>
      </c>
      <c r="O37" s="59" t="s">
        <v>133</v>
      </c>
      <c r="P37" s="60" t="s">
        <v>1155</v>
      </c>
      <c r="Q37" s="60" t="s">
        <v>135</v>
      </c>
      <c r="R37" s="61" t="s">
        <v>79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963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925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785" t="s">
        <v>964</v>
      </c>
      <c r="B41" s="623" t="s">
        <v>931</v>
      </c>
      <c r="C41" s="623"/>
      <c r="D41" s="624"/>
      <c r="E41" s="62"/>
      <c r="G41" s="64"/>
      <c r="H41" s="65"/>
    </row>
    <row r="42" spans="1:18" ht="20.45" customHeight="1" x14ac:dyDescent="0.35">
      <c r="A42" s="785"/>
      <c r="B42" s="786" t="s">
        <v>934</v>
      </c>
      <c r="C42" s="787" t="s">
        <v>965</v>
      </c>
      <c r="D42" s="769" t="s">
        <v>966</v>
      </c>
      <c r="E42" s="62"/>
      <c r="G42" s="64"/>
      <c r="H42" s="65"/>
    </row>
    <row r="43" spans="1:18" ht="20.45" customHeight="1" x14ac:dyDescent="0.35">
      <c r="A43" s="785"/>
      <c r="B43" s="786"/>
      <c r="C43" s="787"/>
      <c r="D43" s="769"/>
      <c r="E43" s="62"/>
      <c r="G43" s="64"/>
      <c r="H43" s="65"/>
    </row>
    <row r="44" spans="1:18" s="68" customFormat="1" ht="24.95" customHeight="1" x14ac:dyDescent="0.35">
      <c r="A44" s="510">
        <v>1</v>
      </c>
      <c r="B44" s="30" t="s">
        <v>58</v>
      </c>
      <c r="C44" s="31">
        <v>6305.18</v>
      </c>
      <c r="D44" s="66">
        <f t="shared" ref="D44:D53" si="10">C44/$L$5</f>
        <v>0.63794043698431269</v>
      </c>
      <c r="E44" s="67"/>
      <c r="G44" s="64"/>
      <c r="H44" s="65"/>
    </row>
    <row r="45" spans="1:18" s="68" customFormat="1" ht="24.95" customHeight="1" x14ac:dyDescent="0.35">
      <c r="A45" s="511">
        <v>2</v>
      </c>
      <c r="B45" s="30" t="s">
        <v>92</v>
      </c>
      <c r="C45" s="31">
        <v>960.52</v>
      </c>
      <c r="D45" s="66">
        <f t="shared" si="10"/>
        <v>9.7182720958350427E-2</v>
      </c>
      <c r="E45" s="67"/>
      <c r="G45" s="64"/>
      <c r="H45" s="65"/>
    </row>
    <row r="46" spans="1:18" s="68" customFormat="1" ht="24.95" customHeight="1" x14ac:dyDescent="0.35">
      <c r="A46" s="511">
        <v>3</v>
      </c>
      <c r="B46" s="30" t="s">
        <v>69</v>
      </c>
      <c r="C46" s="31">
        <v>952.49</v>
      </c>
      <c r="D46" s="66">
        <f t="shared" si="10"/>
        <v>9.6370268068982634E-2</v>
      </c>
      <c r="E46" s="67"/>
      <c r="G46" s="64"/>
      <c r="H46" s="65"/>
    </row>
    <row r="47" spans="1:18" s="68" customFormat="1" ht="24.95" customHeight="1" x14ac:dyDescent="0.35">
      <c r="A47" s="510">
        <v>4</v>
      </c>
      <c r="B47" s="30" t="s">
        <v>166</v>
      </c>
      <c r="C47" s="31">
        <v>406.56</v>
      </c>
      <c r="D47" s="66">
        <f t="shared" si="10"/>
        <v>4.1134601083607787E-2</v>
      </c>
      <c r="E47" s="67"/>
      <c r="G47" s="64"/>
      <c r="H47" s="65"/>
    </row>
    <row r="48" spans="1:18" s="68" customFormat="1" ht="24.95" customHeight="1" x14ac:dyDescent="0.35">
      <c r="A48" s="511">
        <v>5</v>
      </c>
      <c r="B48" s="30" t="s">
        <v>60</v>
      </c>
      <c r="C48" s="31">
        <v>207.16</v>
      </c>
      <c r="D48" s="66">
        <f t="shared" si="10"/>
        <v>2.0959868064935529E-2</v>
      </c>
      <c r="E48" s="67"/>
      <c r="G48" s="64"/>
      <c r="H48" s="65"/>
    </row>
    <row r="49" spans="1:5" s="68" customFormat="1" ht="24.95" customHeight="1" x14ac:dyDescent="0.25">
      <c r="A49" s="510">
        <v>6</v>
      </c>
      <c r="B49" s="30" t="s">
        <v>254</v>
      </c>
      <c r="C49" s="31">
        <v>109</v>
      </c>
      <c r="D49" s="66">
        <f t="shared" si="10"/>
        <v>1.1028314438491855E-2</v>
      </c>
      <c r="E49" s="67"/>
    </row>
    <row r="50" spans="1:5" s="68" customFormat="1" ht="24.95" customHeight="1" x14ac:dyDescent="0.25">
      <c r="A50" s="511">
        <v>7</v>
      </c>
      <c r="B50" s="30" t="s">
        <v>90</v>
      </c>
      <c r="C50" s="31">
        <v>107.99</v>
      </c>
      <c r="D50" s="66">
        <f t="shared" si="10"/>
        <v>1.0926125469841608E-2</v>
      </c>
      <c r="E50" s="67"/>
    </row>
    <row r="51" spans="1:5" s="68" customFormat="1" ht="24.95" customHeight="1" x14ac:dyDescent="0.25">
      <c r="A51" s="510">
        <v>8</v>
      </c>
      <c r="B51" s="30" t="s">
        <v>531</v>
      </c>
      <c r="C51" s="31">
        <v>37.630000000000003</v>
      </c>
      <c r="D51" s="66">
        <f t="shared" si="10"/>
        <v>3.8072979111967754E-3</v>
      </c>
      <c r="E51" s="67"/>
    </row>
    <row r="52" spans="1:5" s="68" customFormat="1" ht="24.95" customHeight="1" x14ac:dyDescent="0.25">
      <c r="A52" s="511">
        <v>9</v>
      </c>
      <c r="B52" s="30" t="s">
        <v>340</v>
      </c>
      <c r="C52" s="31">
        <v>37.21</v>
      </c>
      <c r="D52" s="66">
        <f t="shared" si="10"/>
        <v>3.7648034885897426E-3</v>
      </c>
      <c r="E52" s="67"/>
    </row>
    <row r="53" spans="1:5" s="68" customFormat="1" ht="24.95" customHeight="1" thickBot="1" x14ac:dyDescent="0.3">
      <c r="A53" s="512">
        <v>10</v>
      </c>
      <c r="B53" s="40" t="s">
        <v>227</v>
      </c>
      <c r="C53" s="41">
        <v>37.21</v>
      </c>
      <c r="D53" s="69">
        <f t="shared" si="10"/>
        <v>3.7648034885897426E-3</v>
      </c>
      <c r="E53" s="67"/>
    </row>
    <row r="54" spans="1:5" x14ac:dyDescent="0.25">
      <c r="A54" s="614" t="s">
        <v>967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968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949" priority="33" operator="containsText" text="024">
      <formula>NOT(ISERROR(SEARCH("024",A12)))</formula>
    </cfRule>
    <cfRule type="containsText" dxfId="948" priority="34" operator="containsText" text="白醬">
      <formula>NOT(ISERROR(SEARCH("白醬",A12)))</formula>
    </cfRule>
    <cfRule type="containsText" dxfId="947" priority="35" operator="containsText" text="青蔥">
      <formula>NOT(ISERROR(SEARCH("青蔥",A12)))</formula>
    </cfRule>
    <cfRule type="containsText" dxfId="946" priority="36" operator="containsText" text=")川燙小青花菜">
      <formula>NOT(ISERROR(SEARCH(")川燙小青花菜",A12)))</formula>
    </cfRule>
    <cfRule type="containsText" dxfId="945" priority="37" operator="containsText" text="湯凍">
      <formula>NOT(ISERROR(SEARCH("湯凍",A12)))</formula>
    </cfRule>
    <cfRule type="containsText" dxfId="944" priority="38" operator="containsText" text="中華">
      <formula>NOT(ISERROR(SEARCH("中華",A12)))</formula>
    </cfRule>
  </conditionalFormatting>
  <conditionalFormatting sqref="A12:A22">
    <cfRule type="containsText" dxfId="943" priority="31" operator="containsText" text="綠豆芽">
      <formula>NOT(ISERROR(SEARCH("綠豆芽",A12)))</formula>
    </cfRule>
    <cfRule type="containsText" dxfId="942" priority="32" operator="containsText" text="煮白細麵生(方#12)">
      <formula>NOT(ISERROR(SEARCH("煮白細麵生(方#12)",A12)))</formula>
    </cfRule>
  </conditionalFormatting>
  <conditionalFormatting sqref="E5">
    <cfRule type="cellIs" dxfId="941" priority="16" operator="greaterThan">
      <formula>0.0025</formula>
    </cfRule>
    <cfRule type="cellIs" dxfId="940" priority="19" operator="greaterThan">
      <formula>0.0025</formula>
    </cfRule>
    <cfRule type="cellIs" dxfId="939" priority="29" operator="greaterThan">
      <formula>0.072</formula>
    </cfRule>
    <cfRule type="cellIs" dxfId="938" priority="30" operator="greaterThan">
      <formula>7.2</formula>
    </cfRule>
  </conditionalFormatting>
  <conditionalFormatting sqref="E5">
    <cfRule type="cellIs" dxfId="937" priority="28" operator="greaterThan">
      <formula>0.0025</formula>
    </cfRule>
  </conditionalFormatting>
  <conditionalFormatting sqref="A44:A53">
    <cfRule type="containsText" dxfId="936" priority="22" operator="containsText" text="024">
      <formula>NOT(ISERROR(SEARCH("024",A44)))</formula>
    </cfRule>
    <cfRule type="containsText" dxfId="935" priority="23" operator="containsText" text="白醬">
      <formula>NOT(ISERROR(SEARCH("白醬",A44)))</formula>
    </cfRule>
    <cfRule type="containsText" dxfId="934" priority="24" operator="containsText" text="青蔥">
      <formula>NOT(ISERROR(SEARCH("青蔥",A44)))</formula>
    </cfRule>
    <cfRule type="containsText" dxfId="933" priority="25" operator="containsText" text=")川燙小青花菜">
      <formula>NOT(ISERROR(SEARCH(")川燙小青花菜",A44)))</formula>
    </cfRule>
    <cfRule type="containsText" dxfId="932" priority="26" operator="containsText" text="湯凍">
      <formula>NOT(ISERROR(SEARCH("湯凍",A44)))</formula>
    </cfRule>
    <cfRule type="containsText" dxfId="931" priority="27" operator="containsText" text="中華">
      <formula>NOT(ISERROR(SEARCH("中華",A44)))</formula>
    </cfRule>
  </conditionalFormatting>
  <conditionalFormatting sqref="A44:A53">
    <cfRule type="containsText" dxfId="930" priority="20" operator="containsText" text="綠豆芽">
      <formula>NOT(ISERROR(SEARCH("綠豆芽",A44)))</formula>
    </cfRule>
    <cfRule type="containsText" dxfId="929" priority="21" operator="containsText" text="煮白細麵生(方#12)">
      <formula>NOT(ISERROR(SEARCH("煮白細麵生(方#12)",A44)))</formula>
    </cfRule>
  </conditionalFormatting>
  <conditionalFormatting sqref="D44:D53">
    <cfRule type="cellIs" dxfId="928" priority="18" operator="greaterThan">
      <formula>0.146</formula>
    </cfRule>
  </conditionalFormatting>
  <conditionalFormatting sqref="H12:H22">
    <cfRule type="cellIs" dxfId="927" priority="17" operator="greaterThan">
      <formula>1.1</formula>
    </cfRule>
  </conditionalFormatting>
  <conditionalFormatting sqref="I5">
    <cfRule type="cellIs" dxfId="926" priority="15" operator="greaterThan">
      <formula>0.2</formula>
    </cfRule>
  </conditionalFormatting>
  <conditionalFormatting sqref="A28:A37">
    <cfRule type="containsText" dxfId="925" priority="9" operator="containsText" text="024">
      <formula>NOT(ISERROR(SEARCH("024",A28)))</formula>
    </cfRule>
    <cfRule type="containsText" dxfId="924" priority="10" operator="containsText" text="白醬">
      <formula>NOT(ISERROR(SEARCH("白醬",A28)))</formula>
    </cfRule>
    <cfRule type="containsText" dxfId="923" priority="11" operator="containsText" text="青蔥">
      <formula>NOT(ISERROR(SEARCH("青蔥",A28)))</formula>
    </cfRule>
    <cfRule type="containsText" dxfId="922" priority="12" operator="containsText" text=")川燙小青花菜">
      <formula>NOT(ISERROR(SEARCH(")川燙小青花菜",A28)))</formula>
    </cfRule>
    <cfRule type="containsText" dxfId="921" priority="13" operator="containsText" text="湯凍">
      <formula>NOT(ISERROR(SEARCH("湯凍",A28)))</formula>
    </cfRule>
    <cfRule type="containsText" dxfId="920" priority="14" operator="containsText" text="中華">
      <formula>NOT(ISERROR(SEARCH("中華",A28)))</formula>
    </cfRule>
  </conditionalFormatting>
  <conditionalFormatting sqref="A28:A37">
    <cfRule type="containsText" dxfId="919" priority="7" operator="containsText" text="綠豆芽">
      <formula>NOT(ISERROR(SEARCH("綠豆芽",A28)))</formula>
    </cfRule>
    <cfRule type="containsText" dxfId="918" priority="8" operator="containsText" text="煮白細麵生(方#12)">
      <formula>NOT(ISERROR(SEARCH("煮白細麵生(方#12)",A28)))</formula>
    </cfRule>
  </conditionalFormatting>
  <conditionalFormatting sqref="H28:H37">
    <cfRule type="cellIs" dxfId="917" priority="6" operator="greaterThan">
      <formula>1.1</formula>
    </cfRule>
  </conditionalFormatting>
  <conditionalFormatting sqref="G5">
    <cfRule type="cellIs" dxfId="916" priority="1" operator="greaterThan">
      <formula>0.0025</formula>
    </cfRule>
    <cfRule type="cellIs" dxfId="915" priority="2" operator="greaterThan">
      <formula>0.0025</formula>
    </cfRule>
    <cfRule type="cellIs" dxfId="914" priority="4" operator="greaterThan">
      <formula>0.072</formula>
    </cfRule>
    <cfRule type="cellIs" dxfId="913" priority="5" operator="greaterThan">
      <formula>7.2</formula>
    </cfRule>
  </conditionalFormatting>
  <conditionalFormatting sqref="G5">
    <cfRule type="cellIs" dxfId="91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3" zoomScale="70" zoomScaleNormal="70" zoomScaleSheetLayoutView="70" workbookViewId="0">
      <selection activeCell="P31" sqref="P3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809" t="s">
        <v>31</v>
      </c>
      <c r="B2" s="810"/>
      <c r="C2" s="477" t="s">
        <v>32</v>
      </c>
      <c r="D2" s="811" t="s">
        <v>33</v>
      </c>
      <c r="E2" s="811"/>
      <c r="F2" s="811" t="s">
        <v>34</v>
      </c>
      <c r="G2" s="811"/>
      <c r="H2" s="811" t="s">
        <v>33</v>
      </c>
      <c r="I2" s="811"/>
      <c r="J2" s="811" t="s">
        <v>34</v>
      </c>
      <c r="K2" s="811"/>
      <c r="L2" s="811" t="s">
        <v>33</v>
      </c>
      <c r="M2" s="812"/>
      <c r="R2" s="17"/>
    </row>
    <row r="3" spans="1:18" s="18" customFormat="1" ht="28.5" x14ac:dyDescent="0.45">
      <c r="A3" s="806">
        <v>45924</v>
      </c>
      <c r="B3" s="807"/>
      <c r="C3" s="808">
        <v>6068582.8799999999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806"/>
      <c r="B4" s="807"/>
      <c r="C4" s="80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804" t="s">
        <v>44</v>
      </c>
      <c r="B5" s="805"/>
      <c r="C5" s="805"/>
      <c r="D5" s="478">
        <v>14813.970000000003</v>
      </c>
      <c r="E5" s="22">
        <f>D5/C3</f>
        <v>2.4410921450577607E-3</v>
      </c>
      <c r="F5" s="478">
        <v>44604.219999999965</v>
      </c>
      <c r="G5" s="23">
        <f>F5/C3</f>
        <v>7.350022382820281E-3</v>
      </c>
      <c r="H5" s="24">
        <f>SUM(C12:C21)</f>
        <v>5286.27</v>
      </c>
      <c r="I5" s="25">
        <f>H5/D5</f>
        <v>0.3568435740048076</v>
      </c>
      <c r="J5" s="24">
        <f>SUM(C28:C37)</f>
        <v>22623.269999999997</v>
      </c>
      <c r="K5" s="26">
        <f>J5/F5</f>
        <v>0.50720021558498307</v>
      </c>
      <c r="L5" s="27">
        <v>5923.4800000000005</v>
      </c>
      <c r="M5" s="28">
        <f>L5/D5</f>
        <v>0.39985770188544995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94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899</v>
      </c>
      <c r="P8" s="630" t="s">
        <v>47</v>
      </c>
      <c r="Q8" s="629" t="s">
        <v>900</v>
      </c>
      <c r="R8" s="791" t="s">
        <v>114</v>
      </c>
    </row>
    <row r="9" spans="1:18" ht="20.45" customHeight="1" x14ac:dyDescent="0.25">
      <c r="A9" s="792" t="s">
        <v>901</v>
      </c>
      <c r="B9" s="634" t="s">
        <v>98</v>
      </c>
      <c r="C9" s="635"/>
      <c r="D9" s="636" t="s">
        <v>49</v>
      </c>
      <c r="E9" s="636"/>
      <c r="F9" s="636"/>
      <c r="G9" s="636"/>
      <c r="H9" s="636"/>
      <c r="I9" s="636"/>
      <c r="J9" s="637" t="s">
        <v>902</v>
      </c>
      <c r="K9" s="637"/>
      <c r="L9" s="637"/>
      <c r="M9" s="638"/>
      <c r="N9" s="638"/>
      <c r="O9" s="629"/>
      <c r="P9" s="629"/>
      <c r="Q9" s="629"/>
      <c r="R9" s="791"/>
    </row>
    <row r="10" spans="1:18" ht="20.45" customHeight="1" x14ac:dyDescent="0.3">
      <c r="A10" s="793"/>
      <c r="B10" s="795" t="s">
        <v>100</v>
      </c>
      <c r="C10" s="797" t="s">
        <v>903</v>
      </c>
      <c r="D10" s="799" t="s">
        <v>50</v>
      </c>
      <c r="E10" s="799"/>
      <c r="F10" s="799"/>
      <c r="G10" s="799"/>
      <c r="H10" s="799"/>
      <c r="I10" s="799"/>
      <c r="J10" s="800" t="s">
        <v>51</v>
      </c>
      <c r="K10" s="802"/>
      <c r="L10" s="803" t="s">
        <v>102</v>
      </c>
      <c r="M10" s="800"/>
      <c r="N10" s="800"/>
      <c r="O10" s="629"/>
      <c r="P10" s="629"/>
      <c r="Q10" s="629"/>
      <c r="R10" s="791"/>
    </row>
    <row r="11" spans="1:18" s="29" customFormat="1" ht="47.25" customHeight="1" x14ac:dyDescent="0.25">
      <c r="A11" s="794"/>
      <c r="B11" s="796"/>
      <c r="C11" s="798"/>
      <c r="D11" s="479" t="s">
        <v>904</v>
      </c>
      <c r="E11" s="479" t="s">
        <v>104</v>
      </c>
      <c r="F11" s="479" t="s">
        <v>53</v>
      </c>
      <c r="G11" s="479" t="s">
        <v>54</v>
      </c>
      <c r="H11" s="479" t="s">
        <v>55</v>
      </c>
      <c r="I11" s="479" t="s">
        <v>73</v>
      </c>
      <c r="J11" s="480" t="s">
        <v>905</v>
      </c>
      <c r="K11" s="480" t="s">
        <v>906</v>
      </c>
      <c r="L11" s="480" t="s">
        <v>56</v>
      </c>
      <c r="M11" s="480" t="s">
        <v>57</v>
      </c>
      <c r="N11" s="481" t="s">
        <v>907</v>
      </c>
      <c r="O11" s="629"/>
      <c r="P11" s="629"/>
      <c r="Q11" s="629"/>
      <c r="R11" s="791"/>
    </row>
    <row r="12" spans="1:18" s="38" customFormat="1" ht="24.95" customHeight="1" x14ac:dyDescent="0.25">
      <c r="A12" s="482">
        <v>1</v>
      </c>
      <c r="B12" s="30" t="s">
        <v>61</v>
      </c>
      <c r="C12" s="31">
        <v>1485.7</v>
      </c>
      <c r="D12" s="32">
        <v>7466</v>
      </c>
      <c r="E12" s="32">
        <v>7466</v>
      </c>
      <c r="F12" s="32">
        <v>225.79</v>
      </c>
      <c r="G12" s="31">
        <v>6.58</v>
      </c>
      <c r="H12" s="33">
        <f t="shared" ref="H12:H21" si="0">(E12+F12)/D12</f>
        <v>1.0302424323600321</v>
      </c>
      <c r="I12" s="31">
        <v>1485.7</v>
      </c>
      <c r="J12" s="32">
        <v>225.79</v>
      </c>
      <c r="K12" s="34">
        <f t="shared" ref="K12:K21" si="1">J12/D12</f>
        <v>3.0242432360032146E-2</v>
      </c>
      <c r="L12" s="483">
        <f t="shared" ref="L12:L21" si="2">((E12+F12)-D12)-J12</f>
        <v>0</v>
      </c>
      <c r="M12" s="35">
        <f t="shared" ref="M12:M21" si="3">L12/D12</f>
        <v>0</v>
      </c>
      <c r="N12" s="484">
        <f t="shared" ref="N12:N21" si="4">L12*G12</f>
        <v>0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485">
        <v>2</v>
      </c>
      <c r="B13" s="30" t="s">
        <v>58</v>
      </c>
      <c r="C13" s="31">
        <v>1038.1400000000001</v>
      </c>
      <c r="D13" s="32">
        <v>15462</v>
      </c>
      <c r="E13" s="32">
        <v>15462</v>
      </c>
      <c r="F13" s="32">
        <v>178.99</v>
      </c>
      <c r="G13" s="31">
        <v>5.8</v>
      </c>
      <c r="H13" s="33">
        <f t="shared" si="0"/>
        <v>1.0115761221058077</v>
      </c>
      <c r="I13" s="31">
        <v>1038.1400000000001</v>
      </c>
      <c r="J13" s="32">
        <v>178.99</v>
      </c>
      <c r="K13" s="34">
        <f t="shared" si="1"/>
        <v>1.1576122105807787E-2</v>
      </c>
      <c r="L13" s="483">
        <f t="shared" si="2"/>
        <v>-2.2737367544323206E-13</v>
      </c>
      <c r="M13" s="35">
        <f t="shared" si="3"/>
        <v>-1.4705321138483511E-17</v>
      </c>
      <c r="N13" s="484">
        <f t="shared" si="4"/>
        <v>-1.3187673175707459E-12</v>
      </c>
      <c r="O13" s="456" t="s">
        <v>139</v>
      </c>
      <c r="P13" s="456" t="s">
        <v>28</v>
      </c>
      <c r="Q13" s="456" t="s">
        <v>982</v>
      </c>
      <c r="R13" s="37" t="s">
        <v>59</v>
      </c>
    </row>
    <row r="14" spans="1:18" s="39" customFormat="1" ht="24.95" customHeight="1" x14ac:dyDescent="0.25">
      <c r="A14" s="485">
        <v>3</v>
      </c>
      <c r="B14" s="30" t="s">
        <v>68</v>
      </c>
      <c r="C14" s="31">
        <v>542.32000000000005</v>
      </c>
      <c r="D14" s="32">
        <v>225.35</v>
      </c>
      <c r="E14" s="32">
        <v>225.35</v>
      </c>
      <c r="F14" s="32">
        <v>6.9</v>
      </c>
      <c r="G14" s="31">
        <v>156.74</v>
      </c>
      <c r="H14" s="33">
        <f t="shared" si="0"/>
        <v>1.0306190370534725</v>
      </c>
      <c r="I14" s="31">
        <v>1081.51</v>
      </c>
      <c r="J14" s="32">
        <v>3.46</v>
      </c>
      <c r="K14" s="34">
        <f t="shared" si="1"/>
        <v>1.5353893942755714E-2</v>
      </c>
      <c r="L14" s="483">
        <f t="shared" si="2"/>
        <v>3.4400000000000057</v>
      </c>
      <c r="M14" s="35">
        <f t="shared" si="3"/>
        <v>1.5265143110716689E-2</v>
      </c>
      <c r="N14" s="484">
        <f t="shared" si="4"/>
        <v>539.18560000000093</v>
      </c>
      <c r="O14" s="456" t="s">
        <v>142</v>
      </c>
      <c r="P14" s="456" t="s">
        <v>26</v>
      </c>
      <c r="Q14" s="456" t="s">
        <v>145</v>
      </c>
      <c r="R14" s="37" t="s">
        <v>59</v>
      </c>
    </row>
    <row r="15" spans="1:18" s="38" customFormat="1" ht="24.95" customHeight="1" x14ac:dyDescent="0.25">
      <c r="A15" s="482">
        <v>4</v>
      </c>
      <c r="B15" s="30" t="s">
        <v>897</v>
      </c>
      <c r="C15" s="31">
        <v>489.33</v>
      </c>
      <c r="D15" s="32">
        <v>191.3</v>
      </c>
      <c r="E15" s="32">
        <v>191.3</v>
      </c>
      <c r="F15" s="32">
        <v>5.2</v>
      </c>
      <c r="G15" s="31">
        <v>195.73</v>
      </c>
      <c r="H15" s="33">
        <f t="shared" si="0"/>
        <v>1.0271824359644537</v>
      </c>
      <c r="I15" s="31">
        <v>1017.8</v>
      </c>
      <c r="J15" s="32">
        <v>2.5</v>
      </c>
      <c r="K15" s="34">
        <f t="shared" si="1"/>
        <v>1.3068478829064296E-2</v>
      </c>
      <c r="L15" s="483">
        <f t="shared" si="2"/>
        <v>2.6999999999999886</v>
      </c>
      <c r="M15" s="35">
        <f t="shared" si="3"/>
        <v>1.411395713538938E-2</v>
      </c>
      <c r="N15" s="484">
        <f t="shared" si="4"/>
        <v>528.47099999999773</v>
      </c>
      <c r="O15" s="456" t="s">
        <v>139</v>
      </c>
      <c r="P15" s="456" t="s">
        <v>25</v>
      </c>
      <c r="Q15" s="456" t="s">
        <v>144</v>
      </c>
      <c r="R15" s="37" t="s">
        <v>898</v>
      </c>
    </row>
    <row r="16" spans="1:18" s="39" customFormat="1" ht="24.95" customHeight="1" x14ac:dyDescent="0.25">
      <c r="A16" s="485">
        <v>5</v>
      </c>
      <c r="B16" s="30" t="s">
        <v>69</v>
      </c>
      <c r="C16" s="31">
        <v>378.63</v>
      </c>
      <c r="D16" s="32">
        <v>8869</v>
      </c>
      <c r="E16" s="32">
        <v>8869</v>
      </c>
      <c r="F16" s="32">
        <v>54.09</v>
      </c>
      <c r="G16" s="31">
        <v>7</v>
      </c>
      <c r="H16" s="33">
        <f t="shared" si="0"/>
        <v>1.0060987710001128</v>
      </c>
      <c r="I16" s="31">
        <v>378.63</v>
      </c>
      <c r="J16" s="32">
        <v>54.09</v>
      </c>
      <c r="K16" s="34">
        <f t="shared" si="1"/>
        <v>6.0987710001127529E-3</v>
      </c>
      <c r="L16" s="483">
        <f t="shared" si="2"/>
        <v>1.4210854715202004E-13</v>
      </c>
      <c r="M16" s="35">
        <f t="shared" si="3"/>
        <v>1.6023063158419217E-17</v>
      </c>
      <c r="N16" s="484">
        <f t="shared" si="4"/>
        <v>9.9475983006414026E-13</v>
      </c>
      <c r="O16" s="456" t="s">
        <v>142</v>
      </c>
      <c r="P16" s="456" t="s">
        <v>26</v>
      </c>
      <c r="Q16" s="456" t="s">
        <v>143</v>
      </c>
      <c r="R16" s="37" t="s">
        <v>59</v>
      </c>
    </row>
    <row r="17" spans="1:18" s="38" customFormat="1" ht="24.95" customHeight="1" x14ac:dyDescent="0.25">
      <c r="A17" s="482">
        <v>6</v>
      </c>
      <c r="B17" s="30" t="s">
        <v>166</v>
      </c>
      <c r="C17" s="31">
        <v>344.87</v>
      </c>
      <c r="D17" s="32">
        <v>5464</v>
      </c>
      <c r="E17" s="32">
        <v>5464</v>
      </c>
      <c r="F17" s="32">
        <v>78.38</v>
      </c>
      <c r="G17" s="31">
        <v>4.4000000000000004</v>
      </c>
      <c r="H17" s="33">
        <f t="shared" si="0"/>
        <v>1.0143448023426063</v>
      </c>
      <c r="I17" s="31">
        <v>344.87</v>
      </c>
      <c r="J17" s="32">
        <v>78.38</v>
      </c>
      <c r="K17" s="34">
        <f t="shared" si="1"/>
        <v>1.4344802342606149E-2</v>
      </c>
      <c r="L17" s="483">
        <f t="shared" si="2"/>
        <v>1.1368683772161603E-13</v>
      </c>
      <c r="M17" s="35">
        <f t="shared" si="3"/>
        <v>2.0806522277016111E-17</v>
      </c>
      <c r="N17" s="484">
        <f t="shared" si="4"/>
        <v>5.0022208597511057E-13</v>
      </c>
      <c r="O17" s="456" t="s">
        <v>139</v>
      </c>
      <c r="P17" s="456" t="s">
        <v>28</v>
      </c>
      <c r="Q17" s="456" t="s">
        <v>140</v>
      </c>
      <c r="R17" s="37" t="s">
        <v>59</v>
      </c>
    </row>
    <row r="18" spans="1:18" s="39" customFormat="1" ht="24.95" customHeight="1" x14ac:dyDescent="0.25">
      <c r="A18" s="485">
        <v>7</v>
      </c>
      <c r="B18" s="30" t="s">
        <v>610</v>
      </c>
      <c r="C18" s="31">
        <v>316.32</v>
      </c>
      <c r="D18" s="32">
        <v>24.99</v>
      </c>
      <c r="E18" s="32">
        <v>24.99</v>
      </c>
      <c r="F18" s="32">
        <v>0.68</v>
      </c>
      <c r="G18" s="31">
        <v>930.36</v>
      </c>
      <c r="H18" s="33">
        <f t="shared" si="0"/>
        <v>1.0272108843537415</v>
      </c>
      <c r="I18" s="31">
        <v>632.64</v>
      </c>
      <c r="J18" s="32">
        <v>0.34</v>
      </c>
      <c r="K18" s="34">
        <f t="shared" si="1"/>
        <v>1.360544217687075E-2</v>
      </c>
      <c r="L18" s="483">
        <f t="shared" si="2"/>
        <v>0.33999999999999969</v>
      </c>
      <c r="M18" s="35">
        <f t="shared" si="3"/>
        <v>1.3605442176870737E-2</v>
      </c>
      <c r="N18" s="484">
        <f t="shared" si="4"/>
        <v>316.32239999999973</v>
      </c>
      <c r="O18" s="456" t="s">
        <v>139</v>
      </c>
      <c r="P18" s="456" t="s">
        <v>25</v>
      </c>
      <c r="Q18" s="456" t="s">
        <v>144</v>
      </c>
      <c r="R18" s="37" t="s">
        <v>77</v>
      </c>
    </row>
    <row r="19" spans="1:18" s="38" customFormat="1" ht="24.95" customHeight="1" x14ac:dyDescent="0.25">
      <c r="A19" s="482">
        <v>8</v>
      </c>
      <c r="B19" s="30" t="s">
        <v>60</v>
      </c>
      <c r="C19" s="31">
        <v>309.25</v>
      </c>
      <c r="D19" s="32">
        <v>261.31</v>
      </c>
      <c r="E19" s="32">
        <v>261.31</v>
      </c>
      <c r="F19" s="32">
        <v>6.22</v>
      </c>
      <c r="G19" s="31">
        <v>99.12</v>
      </c>
      <c r="H19" s="33">
        <f t="shared" si="0"/>
        <v>1.0238031456890284</v>
      </c>
      <c r="I19" s="31">
        <v>616.53</v>
      </c>
      <c r="J19" s="32">
        <v>3.12</v>
      </c>
      <c r="K19" s="34">
        <f t="shared" si="1"/>
        <v>1.1939841567486894E-2</v>
      </c>
      <c r="L19" s="483">
        <f t="shared" si="2"/>
        <v>3.1000000000000272</v>
      </c>
      <c r="M19" s="35">
        <f t="shared" si="3"/>
        <v>1.1863304121541568E-2</v>
      </c>
      <c r="N19" s="484">
        <f t="shared" si="4"/>
        <v>307.27200000000272</v>
      </c>
      <c r="O19" s="456" t="s">
        <v>139</v>
      </c>
      <c r="P19" s="456" t="s">
        <v>25</v>
      </c>
      <c r="Q19" s="456" t="s">
        <v>141</v>
      </c>
      <c r="R19" s="37" t="s">
        <v>59</v>
      </c>
    </row>
    <row r="20" spans="1:18" s="38" customFormat="1" ht="24.95" customHeight="1" x14ac:dyDescent="0.25">
      <c r="A20" s="485">
        <v>9</v>
      </c>
      <c r="B20" s="30" t="s">
        <v>713</v>
      </c>
      <c r="C20" s="31">
        <v>261.82</v>
      </c>
      <c r="D20" s="32">
        <v>168.9</v>
      </c>
      <c r="E20" s="32">
        <v>168.9</v>
      </c>
      <c r="F20" s="32">
        <v>13.37</v>
      </c>
      <c r="G20" s="31">
        <v>39.020000000000003</v>
      </c>
      <c r="H20" s="33">
        <f t="shared" si="0"/>
        <v>1.0791592658377738</v>
      </c>
      <c r="I20" s="31">
        <v>521.70000000000005</v>
      </c>
      <c r="J20" s="32">
        <v>6.71</v>
      </c>
      <c r="K20" s="34">
        <f t="shared" si="1"/>
        <v>3.9727649496743636E-2</v>
      </c>
      <c r="L20" s="483">
        <f t="shared" si="2"/>
        <v>6.6600000000000046</v>
      </c>
      <c r="M20" s="35">
        <f t="shared" si="3"/>
        <v>3.9431616341030221E-2</v>
      </c>
      <c r="N20" s="484">
        <f t="shared" si="4"/>
        <v>259.87320000000022</v>
      </c>
      <c r="O20" s="456" t="s">
        <v>139</v>
      </c>
      <c r="P20" s="456" t="s">
        <v>25</v>
      </c>
      <c r="Q20" s="456" t="s">
        <v>134</v>
      </c>
      <c r="R20" s="37" t="s">
        <v>657</v>
      </c>
    </row>
    <row r="21" spans="1:18" s="38" customFormat="1" ht="24.95" customHeight="1" thickBot="1" x14ac:dyDescent="0.3">
      <c r="A21" s="486">
        <v>10</v>
      </c>
      <c r="B21" s="40" t="s">
        <v>618</v>
      </c>
      <c r="C21" s="41">
        <v>119.89</v>
      </c>
      <c r="D21" s="42">
        <v>29.57</v>
      </c>
      <c r="E21" s="42">
        <v>29.57</v>
      </c>
      <c r="F21" s="42">
        <v>1.01</v>
      </c>
      <c r="G21" s="41">
        <v>278.82</v>
      </c>
      <c r="H21" s="43">
        <f t="shared" si="0"/>
        <v>1.0341562394318566</v>
      </c>
      <c r="I21" s="41">
        <v>281.61</v>
      </c>
      <c r="J21" s="42">
        <v>0.43</v>
      </c>
      <c r="K21" s="44">
        <f t="shared" si="1"/>
        <v>1.4541765302671626E-2</v>
      </c>
      <c r="L21" s="487">
        <f t="shared" si="2"/>
        <v>0.58000000000000163</v>
      </c>
      <c r="M21" s="45">
        <f t="shared" si="3"/>
        <v>1.9614474129185041E-2</v>
      </c>
      <c r="N21" s="488">
        <f t="shared" si="4"/>
        <v>161.71560000000045</v>
      </c>
      <c r="O21" s="457" t="s">
        <v>142</v>
      </c>
      <c r="P21" s="457" t="s">
        <v>26</v>
      </c>
      <c r="Q21" s="457" t="s">
        <v>145</v>
      </c>
      <c r="R21" s="47" t="s">
        <v>59</v>
      </c>
    </row>
    <row r="22" spans="1:18" s="53" customFormat="1" ht="24.95" customHeight="1" thickBot="1" x14ac:dyDescent="0.3">
      <c r="A22" s="489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490"/>
      <c r="M22" s="51"/>
      <c r="N22" s="491"/>
      <c r="O22" s="52"/>
      <c r="P22" s="52"/>
      <c r="Q22" s="52"/>
      <c r="R22" s="48"/>
    </row>
    <row r="23" spans="1:18" s="53" customFormat="1" ht="40.5" customHeight="1" x14ac:dyDescent="0.25">
      <c r="A23" s="616" t="s">
        <v>908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94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909</v>
      </c>
      <c r="P24" s="630" t="s">
        <v>910</v>
      </c>
      <c r="Q24" s="629" t="s">
        <v>96</v>
      </c>
      <c r="R24" s="791" t="s">
        <v>114</v>
      </c>
    </row>
    <row r="25" spans="1:18" s="53" customFormat="1" ht="24.95" customHeight="1" x14ac:dyDescent="0.25">
      <c r="A25" s="792" t="s">
        <v>97</v>
      </c>
      <c r="B25" s="634" t="s">
        <v>98</v>
      </c>
      <c r="C25" s="635"/>
      <c r="D25" s="636" t="s">
        <v>49</v>
      </c>
      <c r="E25" s="636"/>
      <c r="F25" s="636"/>
      <c r="G25" s="636"/>
      <c r="H25" s="636"/>
      <c r="I25" s="636"/>
      <c r="J25" s="637" t="s">
        <v>118</v>
      </c>
      <c r="K25" s="637"/>
      <c r="L25" s="637"/>
      <c r="M25" s="638"/>
      <c r="N25" s="638"/>
      <c r="O25" s="629"/>
      <c r="P25" s="629"/>
      <c r="Q25" s="629"/>
      <c r="R25" s="791"/>
    </row>
    <row r="26" spans="1:18" s="53" customFormat="1" ht="24.95" customHeight="1" x14ac:dyDescent="0.3">
      <c r="A26" s="793"/>
      <c r="B26" s="795" t="s">
        <v>100</v>
      </c>
      <c r="C26" s="797" t="s">
        <v>120</v>
      </c>
      <c r="D26" s="799" t="s">
        <v>911</v>
      </c>
      <c r="E26" s="799"/>
      <c r="F26" s="799"/>
      <c r="G26" s="799"/>
      <c r="H26" s="799"/>
      <c r="I26" s="799"/>
      <c r="J26" s="800" t="s">
        <v>51</v>
      </c>
      <c r="K26" s="801"/>
      <c r="L26" s="802"/>
      <c r="M26" s="800" t="s">
        <v>102</v>
      </c>
      <c r="N26" s="802"/>
      <c r="O26" s="629"/>
      <c r="P26" s="629"/>
      <c r="Q26" s="629"/>
      <c r="R26" s="791"/>
    </row>
    <row r="27" spans="1:18" s="53" customFormat="1" ht="50.1" customHeight="1" x14ac:dyDescent="0.25">
      <c r="A27" s="794"/>
      <c r="B27" s="796"/>
      <c r="C27" s="798"/>
      <c r="D27" s="479" t="s">
        <v>904</v>
      </c>
      <c r="E27" s="479" t="s">
        <v>104</v>
      </c>
      <c r="F27" s="479" t="s">
        <v>912</v>
      </c>
      <c r="G27" s="479" t="s">
        <v>54</v>
      </c>
      <c r="H27" s="479" t="s">
        <v>913</v>
      </c>
      <c r="I27" s="479" t="s">
        <v>914</v>
      </c>
      <c r="J27" s="480" t="s">
        <v>915</v>
      </c>
      <c r="K27" s="480" t="s">
        <v>916</v>
      </c>
      <c r="L27" s="481" t="s">
        <v>109</v>
      </c>
      <c r="M27" s="480" t="s">
        <v>917</v>
      </c>
      <c r="N27" s="480" t="s">
        <v>57</v>
      </c>
      <c r="O27" s="629"/>
      <c r="P27" s="629"/>
      <c r="Q27" s="629"/>
      <c r="R27" s="791"/>
    </row>
    <row r="28" spans="1:18" s="53" customFormat="1" ht="24.95" customHeight="1" x14ac:dyDescent="0.25">
      <c r="A28" s="482">
        <v>1</v>
      </c>
      <c r="B28" s="30" t="s">
        <v>714</v>
      </c>
      <c r="C28" s="31">
        <v>12161.86</v>
      </c>
      <c r="D28" s="32">
        <v>115.76</v>
      </c>
      <c r="E28" s="32">
        <v>159.38999999999999</v>
      </c>
      <c r="F28" s="32">
        <v>0</v>
      </c>
      <c r="G28" s="31">
        <v>278.75</v>
      </c>
      <c r="H28" s="54">
        <f t="shared" ref="H28:H37" si="5">(E28+F28)/D28</f>
        <v>1.3769004837595022</v>
      </c>
      <c r="I28" s="31">
        <v>12161.86</v>
      </c>
      <c r="J28" s="32">
        <v>0</v>
      </c>
      <c r="K28" s="34">
        <f t="shared" ref="K28:K37" si="6">J28/D28</f>
        <v>0</v>
      </c>
      <c r="L28" s="484">
        <f t="shared" ref="L28:L37" si="7">J28*G28</f>
        <v>0</v>
      </c>
      <c r="M28" s="483">
        <f t="shared" ref="M28:M37" si="8">((E28+F28)-D28)-J28</f>
        <v>43.629999999999981</v>
      </c>
      <c r="N28" s="35">
        <f t="shared" ref="N28:N37" si="9">M28/D28</f>
        <v>0.37690048375950225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485">
        <v>2</v>
      </c>
      <c r="B29" s="30" t="s">
        <v>80</v>
      </c>
      <c r="C29" s="31">
        <v>1459.16</v>
      </c>
      <c r="D29" s="32">
        <v>324.97000000000003</v>
      </c>
      <c r="E29" s="32">
        <v>324.97000000000003</v>
      </c>
      <c r="F29" s="32">
        <v>9.94</v>
      </c>
      <c r="G29" s="31">
        <v>156.72999999999999</v>
      </c>
      <c r="H29" s="54">
        <f t="shared" si="5"/>
        <v>1.0305874388405083</v>
      </c>
      <c r="I29" s="31">
        <v>1557.9</v>
      </c>
      <c r="J29" s="32">
        <v>0.63</v>
      </c>
      <c r="K29" s="34">
        <f t="shared" si="6"/>
        <v>1.9386404898913744E-3</v>
      </c>
      <c r="L29" s="484">
        <f t="shared" si="7"/>
        <v>98.739899999999992</v>
      </c>
      <c r="M29" s="483">
        <f t="shared" si="8"/>
        <v>9.3099999999999969</v>
      </c>
      <c r="N29" s="35">
        <f t="shared" si="9"/>
        <v>2.8648798350616969E-2</v>
      </c>
      <c r="O29" s="451" t="s">
        <v>133</v>
      </c>
      <c r="P29" s="458" t="s">
        <v>1155</v>
      </c>
      <c r="Q29" s="458" t="s">
        <v>136</v>
      </c>
      <c r="R29" s="37" t="s">
        <v>59</v>
      </c>
    </row>
    <row r="30" spans="1:18" s="53" customFormat="1" ht="24.95" customHeight="1" x14ac:dyDescent="0.25">
      <c r="A30" s="485">
        <v>3</v>
      </c>
      <c r="B30" s="30" t="s">
        <v>74</v>
      </c>
      <c r="C30" s="31">
        <v>1346.8300000000002</v>
      </c>
      <c r="D30" s="32">
        <v>352.87</v>
      </c>
      <c r="E30" s="32">
        <v>352.87</v>
      </c>
      <c r="F30" s="32">
        <v>10.8</v>
      </c>
      <c r="G30" s="31">
        <v>133.88</v>
      </c>
      <c r="H30" s="54">
        <f t="shared" si="5"/>
        <v>1.0306061722447362</v>
      </c>
      <c r="I30" s="31">
        <v>1445.9</v>
      </c>
      <c r="J30" s="57">
        <v>0.74</v>
      </c>
      <c r="K30" s="34">
        <f t="shared" si="6"/>
        <v>2.0970895797319125E-3</v>
      </c>
      <c r="L30" s="484">
        <f t="shared" si="7"/>
        <v>99.07119999999999</v>
      </c>
      <c r="M30" s="483">
        <f t="shared" si="8"/>
        <v>10.060000000000011</v>
      </c>
      <c r="N30" s="35">
        <f t="shared" si="9"/>
        <v>2.850908266500414E-2</v>
      </c>
      <c r="O30" s="451" t="s">
        <v>133</v>
      </c>
      <c r="P30" s="458" t="s">
        <v>1155</v>
      </c>
      <c r="Q30" s="458" t="s">
        <v>134</v>
      </c>
      <c r="R30" s="37" t="s">
        <v>75</v>
      </c>
    </row>
    <row r="31" spans="1:18" s="53" customFormat="1" ht="24.95" customHeight="1" x14ac:dyDescent="0.25">
      <c r="A31" s="482">
        <v>4</v>
      </c>
      <c r="B31" s="30" t="s">
        <v>651</v>
      </c>
      <c r="C31" s="31">
        <v>1277.79</v>
      </c>
      <c r="D31" s="32">
        <v>97.08</v>
      </c>
      <c r="E31" s="32">
        <v>97.08</v>
      </c>
      <c r="F31" s="32">
        <v>3.3</v>
      </c>
      <c r="G31" s="31">
        <v>417.58</v>
      </c>
      <c r="H31" s="54">
        <f t="shared" si="5"/>
        <v>1.033992583436341</v>
      </c>
      <c r="I31" s="31">
        <v>1378.01</v>
      </c>
      <c r="J31" s="32">
        <v>0.24</v>
      </c>
      <c r="K31" s="34">
        <f t="shared" si="6"/>
        <v>2.472187886279357E-3</v>
      </c>
      <c r="L31" s="484">
        <f t="shared" si="7"/>
        <v>100.21919999999999</v>
      </c>
      <c r="M31" s="483">
        <f t="shared" si="8"/>
        <v>3.0599999999999969</v>
      </c>
      <c r="N31" s="35">
        <f t="shared" si="9"/>
        <v>3.1520395550061774E-2</v>
      </c>
      <c r="O31" s="451" t="s">
        <v>133</v>
      </c>
      <c r="P31" s="458" t="s">
        <v>1155</v>
      </c>
      <c r="Q31" s="458" t="s">
        <v>134</v>
      </c>
      <c r="R31" s="37" t="s">
        <v>656</v>
      </c>
    </row>
    <row r="32" spans="1:18" s="53" customFormat="1" ht="24.95" customHeight="1" x14ac:dyDescent="0.25">
      <c r="A32" s="485">
        <v>5</v>
      </c>
      <c r="B32" s="30" t="s">
        <v>81</v>
      </c>
      <c r="C32" s="31">
        <v>1194.94</v>
      </c>
      <c r="D32" s="32">
        <v>603.94000000000005</v>
      </c>
      <c r="E32" s="32">
        <v>603.94000000000005</v>
      </c>
      <c r="F32" s="32">
        <v>16.43</v>
      </c>
      <c r="G32" s="31">
        <v>78.77</v>
      </c>
      <c r="H32" s="54">
        <f t="shared" si="5"/>
        <v>1.027204689207537</v>
      </c>
      <c r="I32" s="31">
        <v>1294.19</v>
      </c>
      <c r="J32" s="32">
        <v>1.26</v>
      </c>
      <c r="K32" s="34">
        <f t="shared" si="6"/>
        <v>2.0862999635725401E-3</v>
      </c>
      <c r="L32" s="484">
        <f t="shared" si="7"/>
        <v>99.250199999999992</v>
      </c>
      <c r="M32" s="483">
        <f t="shared" si="8"/>
        <v>15.16999999999995</v>
      </c>
      <c r="N32" s="35">
        <f t="shared" si="9"/>
        <v>2.5118389243964548E-2</v>
      </c>
      <c r="O32" s="451" t="s">
        <v>133</v>
      </c>
      <c r="P32" s="458" t="s">
        <v>1155</v>
      </c>
      <c r="Q32" s="458" t="s">
        <v>137</v>
      </c>
      <c r="R32" s="37" t="s">
        <v>82</v>
      </c>
    </row>
    <row r="33" spans="1:18" s="53" customFormat="1" ht="24.95" customHeight="1" x14ac:dyDescent="0.25">
      <c r="A33" s="482">
        <v>6</v>
      </c>
      <c r="B33" s="30" t="s">
        <v>83</v>
      </c>
      <c r="C33" s="31">
        <v>1113.8</v>
      </c>
      <c r="D33" s="32">
        <v>463.76</v>
      </c>
      <c r="E33" s="32">
        <v>463.76</v>
      </c>
      <c r="F33" s="32">
        <v>14.19</v>
      </c>
      <c r="G33" s="31">
        <v>85.48</v>
      </c>
      <c r="H33" s="54">
        <f t="shared" si="5"/>
        <v>1.0305977229601517</v>
      </c>
      <c r="I33" s="31">
        <v>1212.96</v>
      </c>
      <c r="J33" s="32">
        <v>1.1599999999999999</v>
      </c>
      <c r="K33" s="34">
        <f t="shared" si="6"/>
        <v>2.501293772641021E-3</v>
      </c>
      <c r="L33" s="484">
        <f t="shared" si="7"/>
        <v>99.156800000000004</v>
      </c>
      <c r="M33" s="483">
        <f t="shared" si="8"/>
        <v>13.029999999999998</v>
      </c>
      <c r="N33" s="35">
        <f t="shared" si="9"/>
        <v>2.8096429187510777E-2</v>
      </c>
      <c r="O33" s="451" t="s">
        <v>133</v>
      </c>
      <c r="P33" s="458" t="s">
        <v>1155</v>
      </c>
      <c r="Q33" s="458" t="s">
        <v>134</v>
      </c>
      <c r="R33" s="37" t="s">
        <v>84</v>
      </c>
    </row>
    <row r="34" spans="1:18" s="53" customFormat="1" ht="24.95" customHeight="1" x14ac:dyDescent="0.25">
      <c r="A34" s="485">
        <v>7</v>
      </c>
      <c r="B34" s="30" t="s">
        <v>531</v>
      </c>
      <c r="C34" s="31">
        <v>1094.47</v>
      </c>
      <c r="D34" s="32">
        <v>111.99</v>
      </c>
      <c r="E34" s="32">
        <v>111.99</v>
      </c>
      <c r="F34" s="32">
        <v>3.81</v>
      </c>
      <c r="G34" s="31">
        <v>313.60000000000002</v>
      </c>
      <c r="H34" s="54">
        <f t="shared" si="5"/>
        <v>1.0340208947227432</v>
      </c>
      <c r="I34" s="31">
        <v>1194.82</v>
      </c>
      <c r="J34" s="32">
        <v>0.32</v>
      </c>
      <c r="K34" s="34">
        <f t="shared" si="6"/>
        <v>2.8573979819626755E-3</v>
      </c>
      <c r="L34" s="484">
        <f t="shared" si="7"/>
        <v>100.352</v>
      </c>
      <c r="M34" s="483">
        <f t="shared" si="8"/>
        <v>3.4900000000000024</v>
      </c>
      <c r="N34" s="35">
        <f t="shared" si="9"/>
        <v>3.116349674078045E-2</v>
      </c>
      <c r="O34" s="451" t="s">
        <v>133</v>
      </c>
      <c r="P34" s="458" t="s">
        <v>1155</v>
      </c>
      <c r="Q34" s="458" t="s">
        <v>136</v>
      </c>
      <c r="R34" s="37" t="s">
        <v>59</v>
      </c>
    </row>
    <row r="35" spans="1:18" s="53" customFormat="1" ht="24.95" customHeight="1" x14ac:dyDescent="0.25">
      <c r="A35" s="482">
        <v>8</v>
      </c>
      <c r="B35" s="30" t="s">
        <v>85</v>
      </c>
      <c r="C35" s="31">
        <v>1065.5500000000002</v>
      </c>
      <c r="D35" s="32">
        <v>539.1</v>
      </c>
      <c r="E35" s="32">
        <v>539.1</v>
      </c>
      <c r="F35" s="32">
        <v>14.66</v>
      </c>
      <c r="G35" s="31">
        <v>79.459999999999994</v>
      </c>
      <c r="H35" s="54">
        <f t="shared" si="5"/>
        <v>1.0271934705991466</v>
      </c>
      <c r="I35" s="31">
        <v>1164.8800000000001</v>
      </c>
      <c r="J35" s="32">
        <v>1.25</v>
      </c>
      <c r="K35" s="34">
        <f t="shared" si="6"/>
        <v>2.3186792802819514E-3</v>
      </c>
      <c r="L35" s="484">
        <f t="shared" si="7"/>
        <v>99.324999999999989</v>
      </c>
      <c r="M35" s="483">
        <f t="shared" si="8"/>
        <v>13.409999999999968</v>
      </c>
      <c r="N35" s="35">
        <f t="shared" si="9"/>
        <v>2.4874791318864716E-2</v>
      </c>
      <c r="O35" s="451" t="s">
        <v>133</v>
      </c>
      <c r="P35" s="458" t="s">
        <v>1155</v>
      </c>
      <c r="Q35" s="458" t="s">
        <v>137</v>
      </c>
      <c r="R35" s="37" t="s">
        <v>86</v>
      </c>
    </row>
    <row r="36" spans="1:18" s="53" customFormat="1" ht="24.95" customHeight="1" x14ac:dyDescent="0.25">
      <c r="A36" s="485">
        <v>9</v>
      </c>
      <c r="B36" s="30" t="s">
        <v>78</v>
      </c>
      <c r="C36" s="31">
        <v>988.87</v>
      </c>
      <c r="D36" s="32">
        <v>465.44</v>
      </c>
      <c r="E36" s="32">
        <v>465.44</v>
      </c>
      <c r="F36" s="32">
        <v>14.24</v>
      </c>
      <c r="G36" s="31">
        <v>76.42</v>
      </c>
      <c r="H36" s="54">
        <f t="shared" si="5"/>
        <v>1.0305947060845653</v>
      </c>
      <c r="I36" s="31">
        <v>1088.22</v>
      </c>
      <c r="J36" s="32">
        <v>1.3</v>
      </c>
      <c r="K36" s="34">
        <f t="shared" si="6"/>
        <v>2.7930560330010315E-3</v>
      </c>
      <c r="L36" s="484">
        <f t="shared" si="7"/>
        <v>99.346000000000004</v>
      </c>
      <c r="M36" s="483">
        <f t="shared" si="8"/>
        <v>12.940000000000008</v>
      </c>
      <c r="N36" s="35">
        <f t="shared" si="9"/>
        <v>2.7801650051564129E-2</v>
      </c>
      <c r="O36" s="451" t="s">
        <v>133</v>
      </c>
      <c r="P36" s="458" t="s">
        <v>1155</v>
      </c>
      <c r="Q36" s="458" t="s">
        <v>135</v>
      </c>
      <c r="R36" s="37" t="s">
        <v>79</v>
      </c>
    </row>
    <row r="37" spans="1:18" s="53" customFormat="1" ht="24.95" customHeight="1" thickBot="1" x14ac:dyDescent="0.3">
      <c r="A37" s="486">
        <v>10</v>
      </c>
      <c r="B37" s="40" t="s">
        <v>70</v>
      </c>
      <c r="C37" s="41">
        <v>920</v>
      </c>
      <c r="D37" s="42">
        <v>36.75</v>
      </c>
      <c r="E37" s="42">
        <v>36.75</v>
      </c>
      <c r="F37" s="42">
        <v>1.25</v>
      </c>
      <c r="G37" s="41">
        <v>814.16</v>
      </c>
      <c r="H37" s="58">
        <f t="shared" si="5"/>
        <v>1.0340136054421769</v>
      </c>
      <c r="I37" s="41">
        <v>1017.7</v>
      </c>
      <c r="J37" s="42">
        <v>0.12</v>
      </c>
      <c r="K37" s="44">
        <f t="shared" si="6"/>
        <v>3.2653061224489793E-3</v>
      </c>
      <c r="L37" s="488">
        <f t="shared" si="7"/>
        <v>97.69919999999999</v>
      </c>
      <c r="M37" s="487">
        <f t="shared" si="8"/>
        <v>1.1299999999999999</v>
      </c>
      <c r="N37" s="45">
        <f t="shared" si="9"/>
        <v>3.074829931972789E-2</v>
      </c>
      <c r="O37" s="59" t="s">
        <v>133</v>
      </c>
      <c r="P37" s="60" t="s">
        <v>27</v>
      </c>
      <c r="Q37" s="60" t="s">
        <v>659</v>
      </c>
      <c r="R37" s="61" t="s">
        <v>71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918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94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788" t="s">
        <v>919</v>
      </c>
      <c r="B41" s="623" t="s">
        <v>920</v>
      </c>
      <c r="C41" s="623"/>
      <c r="D41" s="624"/>
      <c r="E41" s="62"/>
      <c r="G41" s="64"/>
      <c r="H41" s="65"/>
    </row>
    <row r="42" spans="1:18" ht="20.45" customHeight="1" x14ac:dyDescent="0.35">
      <c r="A42" s="788"/>
      <c r="B42" s="789" t="s">
        <v>921</v>
      </c>
      <c r="C42" s="790" t="s">
        <v>922</v>
      </c>
      <c r="D42" s="791" t="s">
        <v>130</v>
      </c>
      <c r="E42" s="62"/>
      <c r="G42" s="64"/>
      <c r="H42" s="65"/>
    </row>
    <row r="43" spans="1:18" ht="20.45" customHeight="1" x14ac:dyDescent="0.35">
      <c r="A43" s="788"/>
      <c r="B43" s="789"/>
      <c r="C43" s="790"/>
      <c r="D43" s="791"/>
      <c r="E43" s="62"/>
      <c r="G43" s="64"/>
      <c r="H43" s="65"/>
    </row>
    <row r="44" spans="1:18" s="68" customFormat="1" ht="24.95" customHeight="1" x14ac:dyDescent="0.35">
      <c r="A44" s="492">
        <v>1</v>
      </c>
      <c r="B44" s="30" t="s">
        <v>61</v>
      </c>
      <c r="C44" s="31">
        <v>1485.7</v>
      </c>
      <c r="D44" s="66">
        <f t="shared" ref="D44:D53" si="10">C44/$L$5</f>
        <v>0.25081539905596034</v>
      </c>
      <c r="E44" s="67"/>
      <c r="G44" s="64"/>
      <c r="H44" s="65"/>
    </row>
    <row r="45" spans="1:18" s="68" customFormat="1" ht="24.95" customHeight="1" x14ac:dyDescent="0.35">
      <c r="A45" s="493">
        <v>2</v>
      </c>
      <c r="B45" s="30" t="s">
        <v>58</v>
      </c>
      <c r="C45" s="31">
        <v>1038.1400000000001</v>
      </c>
      <c r="D45" s="66">
        <f t="shared" si="10"/>
        <v>0.17525846293057459</v>
      </c>
      <c r="E45" s="67"/>
      <c r="G45" s="64"/>
      <c r="H45" s="65"/>
    </row>
    <row r="46" spans="1:18" s="68" customFormat="1" ht="24.95" customHeight="1" x14ac:dyDescent="0.35">
      <c r="A46" s="493">
        <v>3</v>
      </c>
      <c r="B46" s="30" t="s">
        <v>68</v>
      </c>
      <c r="C46" s="31">
        <v>542.32000000000005</v>
      </c>
      <c r="D46" s="66">
        <f t="shared" si="10"/>
        <v>9.1554289032798289E-2</v>
      </c>
      <c r="E46" s="67"/>
      <c r="G46" s="64"/>
      <c r="H46" s="65"/>
    </row>
    <row r="47" spans="1:18" s="68" customFormat="1" ht="24.95" customHeight="1" x14ac:dyDescent="0.35">
      <c r="A47" s="492">
        <v>4</v>
      </c>
      <c r="B47" s="30" t="s">
        <v>69</v>
      </c>
      <c r="C47" s="31">
        <v>378.63</v>
      </c>
      <c r="D47" s="66">
        <f t="shared" si="10"/>
        <v>6.392019556071768E-2</v>
      </c>
      <c r="E47" s="67"/>
      <c r="G47" s="64"/>
      <c r="H47" s="65"/>
    </row>
    <row r="48" spans="1:18" s="68" customFormat="1" ht="24.95" customHeight="1" x14ac:dyDescent="0.35">
      <c r="A48" s="493">
        <v>5</v>
      </c>
      <c r="B48" s="30" t="s">
        <v>166</v>
      </c>
      <c r="C48" s="31">
        <v>344.87</v>
      </c>
      <c r="D48" s="66">
        <f t="shared" si="10"/>
        <v>5.8220843153011403E-2</v>
      </c>
      <c r="E48" s="67"/>
      <c r="G48" s="64"/>
      <c r="H48" s="65"/>
    </row>
    <row r="49" spans="1:5" s="68" customFormat="1" ht="24.95" customHeight="1" x14ac:dyDescent="0.25">
      <c r="A49" s="492">
        <v>6</v>
      </c>
      <c r="B49" s="30" t="s">
        <v>60</v>
      </c>
      <c r="C49" s="31">
        <v>309.25</v>
      </c>
      <c r="D49" s="66">
        <f t="shared" si="10"/>
        <v>5.2207486139904238E-2</v>
      </c>
      <c r="E49" s="67"/>
    </row>
    <row r="50" spans="1:5" s="68" customFormat="1" ht="24.95" customHeight="1" x14ac:dyDescent="0.25">
      <c r="A50" s="493">
        <v>7</v>
      </c>
      <c r="B50" s="30" t="s">
        <v>618</v>
      </c>
      <c r="C50" s="31">
        <v>119.89</v>
      </c>
      <c r="D50" s="66">
        <f t="shared" si="10"/>
        <v>2.0239791473930863E-2</v>
      </c>
      <c r="E50" s="67"/>
    </row>
    <row r="51" spans="1:5" s="68" customFormat="1" ht="24.95" customHeight="1" x14ac:dyDescent="0.25">
      <c r="A51" s="492">
        <v>8</v>
      </c>
      <c r="B51" s="30" t="s">
        <v>483</v>
      </c>
      <c r="C51" s="31">
        <v>115.37</v>
      </c>
      <c r="D51" s="66">
        <f t="shared" si="10"/>
        <v>1.9476726518870661E-2</v>
      </c>
      <c r="E51" s="67"/>
    </row>
    <row r="52" spans="1:5" s="68" customFormat="1" ht="24.95" customHeight="1" x14ac:dyDescent="0.25">
      <c r="A52" s="493">
        <v>9</v>
      </c>
      <c r="B52" s="30" t="s">
        <v>90</v>
      </c>
      <c r="C52" s="31">
        <v>100.65</v>
      </c>
      <c r="D52" s="66">
        <f t="shared" si="10"/>
        <v>1.6991700824515319E-2</v>
      </c>
      <c r="E52" s="67"/>
    </row>
    <row r="53" spans="1:5" s="68" customFormat="1" ht="24.95" customHeight="1" thickBot="1" x14ac:dyDescent="0.3">
      <c r="A53" s="494">
        <v>10</v>
      </c>
      <c r="B53" s="40" t="s">
        <v>531</v>
      </c>
      <c r="C53" s="41">
        <v>100.35</v>
      </c>
      <c r="D53" s="69">
        <f t="shared" si="10"/>
        <v>1.6941054920418402E-2</v>
      </c>
      <c r="E53" s="67"/>
    </row>
    <row r="54" spans="1:5" x14ac:dyDescent="0.25">
      <c r="A54" s="614" t="s">
        <v>131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923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911" priority="33" operator="containsText" text="024">
      <formula>NOT(ISERROR(SEARCH("024",A12)))</formula>
    </cfRule>
    <cfRule type="containsText" dxfId="910" priority="34" operator="containsText" text="白醬">
      <formula>NOT(ISERROR(SEARCH("白醬",A12)))</formula>
    </cfRule>
    <cfRule type="containsText" dxfId="909" priority="35" operator="containsText" text="青蔥">
      <formula>NOT(ISERROR(SEARCH("青蔥",A12)))</formula>
    </cfRule>
    <cfRule type="containsText" dxfId="908" priority="36" operator="containsText" text=")川燙小青花菜">
      <formula>NOT(ISERROR(SEARCH(")川燙小青花菜",A12)))</formula>
    </cfRule>
    <cfRule type="containsText" dxfId="907" priority="37" operator="containsText" text="湯凍">
      <formula>NOT(ISERROR(SEARCH("湯凍",A12)))</formula>
    </cfRule>
    <cfRule type="containsText" dxfId="906" priority="38" operator="containsText" text="中華">
      <formula>NOT(ISERROR(SEARCH("中華",A12)))</formula>
    </cfRule>
  </conditionalFormatting>
  <conditionalFormatting sqref="A12:A22">
    <cfRule type="containsText" dxfId="905" priority="31" operator="containsText" text="綠豆芽">
      <formula>NOT(ISERROR(SEARCH("綠豆芽",A12)))</formula>
    </cfRule>
    <cfRule type="containsText" dxfId="904" priority="32" operator="containsText" text="煮白細麵生(方#12)">
      <formula>NOT(ISERROR(SEARCH("煮白細麵生(方#12)",A12)))</formula>
    </cfRule>
  </conditionalFormatting>
  <conditionalFormatting sqref="E5">
    <cfRule type="cellIs" dxfId="903" priority="16" operator="greaterThan">
      <formula>0.0025</formula>
    </cfRule>
    <cfRule type="cellIs" dxfId="902" priority="19" operator="greaterThan">
      <formula>0.0025</formula>
    </cfRule>
    <cfRule type="cellIs" dxfId="901" priority="29" operator="greaterThan">
      <formula>0.072</formula>
    </cfRule>
    <cfRule type="cellIs" dxfId="900" priority="30" operator="greaterThan">
      <formula>7.2</formula>
    </cfRule>
  </conditionalFormatting>
  <conditionalFormatting sqref="E5">
    <cfRule type="cellIs" dxfId="899" priority="28" operator="greaterThan">
      <formula>0.0025</formula>
    </cfRule>
  </conditionalFormatting>
  <conditionalFormatting sqref="A44:A53">
    <cfRule type="containsText" dxfId="898" priority="22" operator="containsText" text="024">
      <formula>NOT(ISERROR(SEARCH("024",A44)))</formula>
    </cfRule>
    <cfRule type="containsText" dxfId="897" priority="23" operator="containsText" text="白醬">
      <formula>NOT(ISERROR(SEARCH("白醬",A44)))</formula>
    </cfRule>
    <cfRule type="containsText" dxfId="896" priority="24" operator="containsText" text="青蔥">
      <formula>NOT(ISERROR(SEARCH("青蔥",A44)))</formula>
    </cfRule>
    <cfRule type="containsText" dxfId="895" priority="25" operator="containsText" text=")川燙小青花菜">
      <formula>NOT(ISERROR(SEARCH(")川燙小青花菜",A44)))</formula>
    </cfRule>
    <cfRule type="containsText" dxfId="894" priority="26" operator="containsText" text="湯凍">
      <formula>NOT(ISERROR(SEARCH("湯凍",A44)))</formula>
    </cfRule>
    <cfRule type="containsText" dxfId="893" priority="27" operator="containsText" text="中華">
      <formula>NOT(ISERROR(SEARCH("中華",A44)))</formula>
    </cfRule>
  </conditionalFormatting>
  <conditionalFormatting sqref="A44:A53">
    <cfRule type="containsText" dxfId="892" priority="20" operator="containsText" text="綠豆芽">
      <formula>NOT(ISERROR(SEARCH("綠豆芽",A44)))</formula>
    </cfRule>
    <cfRule type="containsText" dxfId="891" priority="21" operator="containsText" text="煮白細麵生(方#12)">
      <formula>NOT(ISERROR(SEARCH("煮白細麵生(方#12)",A44)))</formula>
    </cfRule>
  </conditionalFormatting>
  <conditionalFormatting sqref="D44:D53">
    <cfRule type="cellIs" dxfId="890" priority="18" operator="greaterThan">
      <formula>0.146</formula>
    </cfRule>
  </conditionalFormatting>
  <conditionalFormatting sqref="H12:H22">
    <cfRule type="cellIs" dxfId="889" priority="17" operator="greaterThan">
      <formula>1.1</formula>
    </cfRule>
  </conditionalFormatting>
  <conditionalFormatting sqref="I5">
    <cfRule type="cellIs" dxfId="888" priority="15" operator="greaterThan">
      <formula>0.2</formula>
    </cfRule>
  </conditionalFormatting>
  <conditionalFormatting sqref="A28:A37">
    <cfRule type="containsText" dxfId="887" priority="9" operator="containsText" text="024">
      <formula>NOT(ISERROR(SEARCH("024",A28)))</formula>
    </cfRule>
    <cfRule type="containsText" dxfId="886" priority="10" operator="containsText" text="白醬">
      <formula>NOT(ISERROR(SEARCH("白醬",A28)))</formula>
    </cfRule>
    <cfRule type="containsText" dxfId="885" priority="11" operator="containsText" text="青蔥">
      <formula>NOT(ISERROR(SEARCH("青蔥",A28)))</formula>
    </cfRule>
    <cfRule type="containsText" dxfId="884" priority="12" operator="containsText" text=")川燙小青花菜">
      <formula>NOT(ISERROR(SEARCH(")川燙小青花菜",A28)))</formula>
    </cfRule>
    <cfRule type="containsText" dxfId="883" priority="13" operator="containsText" text="湯凍">
      <formula>NOT(ISERROR(SEARCH("湯凍",A28)))</formula>
    </cfRule>
    <cfRule type="containsText" dxfId="882" priority="14" operator="containsText" text="中華">
      <formula>NOT(ISERROR(SEARCH("中華",A28)))</formula>
    </cfRule>
  </conditionalFormatting>
  <conditionalFormatting sqref="A28:A37">
    <cfRule type="containsText" dxfId="881" priority="7" operator="containsText" text="綠豆芽">
      <formula>NOT(ISERROR(SEARCH("綠豆芽",A28)))</formula>
    </cfRule>
    <cfRule type="containsText" dxfId="880" priority="8" operator="containsText" text="煮白細麵生(方#12)">
      <formula>NOT(ISERROR(SEARCH("煮白細麵生(方#12)",A28)))</formula>
    </cfRule>
  </conditionalFormatting>
  <conditionalFormatting sqref="H28:H37">
    <cfRule type="cellIs" dxfId="879" priority="6" operator="greaterThan">
      <formula>1.1</formula>
    </cfRule>
  </conditionalFormatting>
  <conditionalFormatting sqref="G5">
    <cfRule type="cellIs" dxfId="878" priority="1" operator="greaterThan">
      <formula>0.0025</formula>
    </cfRule>
    <cfRule type="cellIs" dxfId="877" priority="2" operator="greaterThan">
      <formula>0.0025</formula>
    </cfRule>
    <cfRule type="cellIs" dxfId="876" priority="4" operator="greaterThan">
      <formula>0.072</formula>
    </cfRule>
    <cfRule type="cellIs" dxfId="875" priority="5" operator="greaterThan">
      <formula>7.2</formula>
    </cfRule>
  </conditionalFormatting>
  <conditionalFormatting sqref="G5">
    <cfRule type="cellIs" dxfId="87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6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834" t="s">
        <v>31</v>
      </c>
      <c r="B2" s="835"/>
      <c r="C2" s="459" t="s">
        <v>32</v>
      </c>
      <c r="D2" s="836" t="s">
        <v>33</v>
      </c>
      <c r="E2" s="836"/>
      <c r="F2" s="836" t="s">
        <v>34</v>
      </c>
      <c r="G2" s="836"/>
      <c r="H2" s="836" t="s">
        <v>33</v>
      </c>
      <c r="I2" s="836"/>
      <c r="J2" s="836" t="s">
        <v>34</v>
      </c>
      <c r="K2" s="836"/>
      <c r="L2" s="836" t="s">
        <v>33</v>
      </c>
      <c r="M2" s="837"/>
      <c r="R2" s="17"/>
    </row>
    <row r="3" spans="1:18" s="18" customFormat="1" ht="28.5" x14ac:dyDescent="0.45">
      <c r="A3" s="831">
        <v>45923</v>
      </c>
      <c r="B3" s="832"/>
      <c r="C3" s="833">
        <v>6204692.0999999996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831"/>
      <c r="B4" s="832"/>
      <c r="C4" s="83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829" t="s">
        <v>44</v>
      </c>
      <c r="B5" s="830"/>
      <c r="C5" s="830"/>
      <c r="D5" s="460">
        <v>15162.659999999991</v>
      </c>
      <c r="E5" s="22">
        <f>D5/C3</f>
        <v>2.4437409230991481E-3</v>
      </c>
      <c r="F5" s="460">
        <v>47064.899999999994</v>
      </c>
      <c r="G5" s="23">
        <f>F5/C3</f>
        <v>7.5853723668254215E-3</v>
      </c>
      <c r="H5" s="24">
        <f>SUM(C12:C21)</f>
        <v>5397.74</v>
      </c>
      <c r="I5" s="25">
        <f>H5/D5</f>
        <v>0.35598898873944301</v>
      </c>
      <c r="J5" s="24">
        <f>SUM(C28:C37)</f>
        <v>24833.93</v>
      </c>
      <c r="K5" s="26">
        <f>J5/F5</f>
        <v>0.52765287932195759</v>
      </c>
      <c r="L5" s="27">
        <v>6848.9699999999984</v>
      </c>
      <c r="M5" s="28">
        <f>L5/D5</f>
        <v>0.45169976771885689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857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858</v>
      </c>
      <c r="B8" s="620"/>
      <c r="C8" s="620"/>
      <c r="D8" s="620" t="s">
        <v>859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860</v>
      </c>
      <c r="P8" s="630" t="s">
        <v>861</v>
      </c>
      <c r="Q8" s="629" t="s">
        <v>862</v>
      </c>
      <c r="R8" s="816" t="s">
        <v>863</v>
      </c>
    </row>
    <row r="9" spans="1:18" ht="20.45" customHeight="1" x14ac:dyDescent="0.25">
      <c r="A9" s="817" t="s">
        <v>864</v>
      </c>
      <c r="B9" s="634" t="s">
        <v>865</v>
      </c>
      <c r="C9" s="635"/>
      <c r="D9" s="636" t="s">
        <v>866</v>
      </c>
      <c r="E9" s="636"/>
      <c r="F9" s="636"/>
      <c r="G9" s="636"/>
      <c r="H9" s="636"/>
      <c r="I9" s="636"/>
      <c r="J9" s="637" t="s">
        <v>867</v>
      </c>
      <c r="K9" s="637"/>
      <c r="L9" s="637"/>
      <c r="M9" s="638"/>
      <c r="N9" s="638"/>
      <c r="O9" s="629"/>
      <c r="P9" s="629"/>
      <c r="Q9" s="629"/>
      <c r="R9" s="816"/>
    </row>
    <row r="10" spans="1:18" ht="20.45" customHeight="1" x14ac:dyDescent="0.3">
      <c r="A10" s="818"/>
      <c r="B10" s="820" t="s">
        <v>868</v>
      </c>
      <c r="C10" s="822" t="s">
        <v>869</v>
      </c>
      <c r="D10" s="824" t="s">
        <v>870</v>
      </c>
      <c r="E10" s="824"/>
      <c r="F10" s="824"/>
      <c r="G10" s="824"/>
      <c r="H10" s="824"/>
      <c r="I10" s="824"/>
      <c r="J10" s="825" t="s">
        <v>871</v>
      </c>
      <c r="K10" s="827"/>
      <c r="L10" s="828" t="s">
        <v>872</v>
      </c>
      <c r="M10" s="825"/>
      <c r="N10" s="825"/>
      <c r="O10" s="629"/>
      <c r="P10" s="629"/>
      <c r="Q10" s="629"/>
      <c r="R10" s="816"/>
    </row>
    <row r="11" spans="1:18" s="29" customFormat="1" ht="47.25" customHeight="1" x14ac:dyDescent="0.25">
      <c r="A11" s="819"/>
      <c r="B11" s="821"/>
      <c r="C11" s="823"/>
      <c r="D11" s="461" t="s">
        <v>873</v>
      </c>
      <c r="E11" s="461" t="s">
        <v>874</v>
      </c>
      <c r="F11" s="461" t="s">
        <v>875</v>
      </c>
      <c r="G11" s="461" t="s">
        <v>876</v>
      </c>
      <c r="H11" s="461" t="s">
        <v>877</v>
      </c>
      <c r="I11" s="461" t="s">
        <v>878</v>
      </c>
      <c r="J11" s="462" t="s">
        <v>879</v>
      </c>
      <c r="K11" s="462" t="s">
        <v>880</v>
      </c>
      <c r="L11" s="462" t="s">
        <v>879</v>
      </c>
      <c r="M11" s="462" t="s">
        <v>880</v>
      </c>
      <c r="N11" s="463" t="s">
        <v>881</v>
      </c>
      <c r="O11" s="629"/>
      <c r="P11" s="629"/>
      <c r="Q11" s="629"/>
      <c r="R11" s="816"/>
    </row>
    <row r="12" spans="1:18" s="38" customFormat="1" ht="24.95" customHeight="1" x14ac:dyDescent="0.25">
      <c r="A12" s="464">
        <v>1</v>
      </c>
      <c r="B12" s="30" t="s">
        <v>61</v>
      </c>
      <c r="C12" s="31">
        <v>2092.5700000000002</v>
      </c>
      <c r="D12" s="32">
        <v>7623</v>
      </c>
      <c r="E12" s="32">
        <v>7623</v>
      </c>
      <c r="F12" s="32">
        <v>318.02</v>
      </c>
      <c r="G12" s="31">
        <v>6.58</v>
      </c>
      <c r="H12" s="33">
        <f t="shared" ref="H12:H21" si="0">(E12+F12)/D12</f>
        <v>1.0417184835366655</v>
      </c>
      <c r="I12" s="31">
        <v>2092.5700000000002</v>
      </c>
      <c r="J12" s="32">
        <v>318.02</v>
      </c>
      <c r="K12" s="34">
        <f t="shared" ref="K12:K21" si="1">J12/D12</f>
        <v>4.1718483536665352E-2</v>
      </c>
      <c r="L12" s="465">
        <f t="shared" ref="L12:L21" si="2">((E12+F12)-D12)-J12</f>
        <v>4.5474735088646412E-13</v>
      </c>
      <c r="M12" s="35">
        <f t="shared" ref="M12:M21" si="3">L12/D12</f>
        <v>5.965464395729557E-17</v>
      </c>
      <c r="N12" s="466">
        <f t="shared" ref="N12:N21" si="4">L12*G12</f>
        <v>2.9922375688329339E-12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467">
        <v>2</v>
      </c>
      <c r="B13" s="30" t="s">
        <v>58</v>
      </c>
      <c r="C13" s="31">
        <v>1473.03</v>
      </c>
      <c r="D13" s="32">
        <v>15482</v>
      </c>
      <c r="E13" s="32">
        <v>15482</v>
      </c>
      <c r="F13" s="32">
        <v>253.97</v>
      </c>
      <c r="G13" s="31">
        <v>5.8</v>
      </c>
      <c r="H13" s="33">
        <f t="shared" si="0"/>
        <v>1.0164042113422038</v>
      </c>
      <c r="I13" s="31">
        <v>1473.03</v>
      </c>
      <c r="J13" s="32">
        <v>253.97</v>
      </c>
      <c r="K13" s="34">
        <f t="shared" si="1"/>
        <v>1.640421134220385E-2</v>
      </c>
      <c r="L13" s="465">
        <f t="shared" si="2"/>
        <v>-6.5369931689929217E-13</v>
      </c>
      <c r="M13" s="35">
        <f t="shared" si="3"/>
        <v>-4.2223182851007116E-17</v>
      </c>
      <c r="N13" s="466">
        <f t="shared" si="4"/>
        <v>-3.7914560380158948E-12</v>
      </c>
      <c r="O13" s="456" t="s">
        <v>139</v>
      </c>
      <c r="P13" s="456" t="s">
        <v>28</v>
      </c>
      <c r="Q13" s="456" t="s">
        <v>982</v>
      </c>
      <c r="R13" s="37" t="s">
        <v>59</v>
      </c>
    </row>
    <row r="14" spans="1:18" s="39" customFormat="1" ht="24.95" customHeight="1" x14ac:dyDescent="0.25">
      <c r="A14" s="467">
        <v>3</v>
      </c>
      <c r="B14" s="30" t="s">
        <v>531</v>
      </c>
      <c r="C14" s="31">
        <v>511.17</v>
      </c>
      <c r="D14" s="32">
        <v>114.35</v>
      </c>
      <c r="E14" s="32">
        <v>114.35</v>
      </c>
      <c r="F14" s="32">
        <v>3.32</v>
      </c>
      <c r="G14" s="31">
        <v>313.60000000000002</v>
      </c>
      <c r="H14" s="33">
        <f t="shared" si="0"/>
        <v>1.0290336685614341</v>
      </c>
      <c r="I14" s="31">
        <v>1041.1500000000001</v>
      </c>
      <c r="J14" s="32">
        <v>1.63</v>
      </c>
      <c r="K14" s="34">
        <f t="shared" si="1"/>
        <v>1.4254481853957149E-2</v>
      </c>
      <c r="L14" s="465">
        <f t="shared" si="2"/>
        <v>1.6899999999999933</v>
      </c>
      <c r="M14" s="35">
        <f t="shared" si="3"/>
        <v>1.4779186707476986E-2</v>
      </c>
      <c r="N14" s="466">
        <f t="shared" si="4"/>
        <v>529.98399999999788</v>
      </c>
      <c r="O14" s="456" t="s">
        <v>142</v>
      </c>
      <c r="P14" s="456" t="s">
        <v>26</v>
      </c>
      <c r="Q14" s="456" t="s">
        <v>145</v>
      </c>
      <c r="R14" s="37" t="s">
        <v>59</v>
      </c>
    </row>
    <row r="15" spans="1:18" s="38" customFormat="1" ht="24.95" customHeight="1" x14ac:dyDescent="0.25">
      <c r="A15" s="464">
        <v>4</v>
      </c>
      <c r="B15" s="30" t="s">
        <v>69</v>
      </c>
      <c r="C15" s="31">
        <v>486.36</v>
      </c>
      <c r="D15" s="32">
        <v>8999</v>
      </c>
      <c r="E15" s="32">
        <v>8999</v>
      </c>
      <c r="F15" s="32">
        <v>69.48</v>
      </c>
      <c r="G15" s="31">
        <v>7</v>
      </c>
      <c r="H15" s="33">
        <f t="shared" si="0"/>
        <v>1.007720857873097</v>
      </c>
      <c r="I15" s="31">
        <v>486.36</v>
      </c>
      <c r="J15" s="32">
        <v>69.48</v>
      </c>
      <c r="K15" s="34">
        <f t="shared" si="1"/>
        <v>7.7208578730970116E-3</v>
      </c>
      <c r="L15" s="465">
        <f t="shared" si="2"/>
        <v>-4.4053649617126212E-13</v>
      </c>
      <c r="M15" s="35">
        <f t="shared" si="3"/>
        <v>-4.895393890112925E-17</v>
      </c>
      <c r="N15" s="466">
        <f t="shared" si="4"/>
        <v>-3.0837554731988348E-12</v>
      </c>
      <c r="O15" s="456" t="s">
        <v>142</v>
      </c>
      <c r="P15" s="456" t="s">
        <v>26</v>
      </c>
      <c r="Q15" s="456" t="s">
        <v>143</v>
      </c>
      <c r="R15" s="37" t="s">
        <v>59</v>
      </c>
    </row>
    <row r="16" spans="1:18" s="39" customFormat="1" ht="24.95" customHeight="1" x14ac:dyDescent="0.25">
      <c r="A16" s="467">
        <v>5</v>
      </c>
      <c r="B16" s="30" t="s">
        <v>166</v>
      </c>
      <c r="C16" s="31">
        <v>218.28</v>
      </c>
      <c r="D16" s="32">
        <v>5611</v>
      </c>
      <c r="E16" s="32">
        <v>5611</v>
      </c>
      <c r="F16" s="32">
        <v>49.61</v>
      </c>
      <c r="G16" s="31">
        <v>4.4000000000000004</v>
      </c>
      <c r="H16" s="33">
        <f t="shared" si="0"/>
        <v>1.008841561219034</v>
      </c>
      <c r="I16" s="31">
        <v>218.28</v>
      </c>
      <c r="J16" s="32">
        <v>49.61</v>
      </c>
      <c r="K16" s="34">
        <f t="shared" si="1"/>
        <v>8.8415612190340404E-3</v>
      </c>
      <c r="L16" s="465">
        <f t="shared" si="2"/>
        <v>-3.2684965844964609E-13</v>
      </c>
      <c r="M16" s="35">
        <f t="shared" si="3"/>
        <v>-5.8251587675930509E-17</v>
      </c>
      <c r="N16" s="466">
        <f t="shared" si="4"/>
        <v>-1.4381384971784428E-12</v>
      </c>
      <c r="O16" s="456" t="s">
        <v>139</v>
      </c>
      <c r="P16" s="456" t="s">
        <v>28</v>
      </c>
      <c r="Q16" s="456" t="s">
        <v>140</v>
      </c>
      <c r="R16" s="37" t="s">
        <v>59</v>
      </c>
    </row>
    <row r="17" spans="1:18" s="38" customFormat="1" ht="24.95" customHeight="1" x14ac:dyDescent="0.25">
      <c r="A17" s="464">
        <v>6</v>
      </c>
      <c r="B17" s="30" t="s">
        <v>60</v>
      </c>
      <c r="C17" s="31">
        <v>188.33</v>
      </c>
      <c r="D17" s="32">
        <v>266.81</v>
      </c>
      <c r="E17" s="32">
        <v>266.81</v>
      </c>
      <c r="F17" s="32">
        <v>3.87</v>
      </c>
      <c r="G17" s="31">
        <v>99.12</v>
      </c>
      <c r="H17" s="33">
        <f t="shared" si="0"/>
        <v>1.0145047037217496</v>
      </c>
      <c r="I17" s="31">
        <v>383.59</v>
      </c>
      <c r="J17" s="32">
        <v>1.9</v>
      </c>
      <c r="K17" s="34">
        <f t="shared" si="1"/>
        <v>7.1211723698512046E-3</v>
      </c>
      <c r="L17" s="465">
        <f t="shared" si="2"/>
        <v>1.9700000000000046</v>
      </c>
      <c r="M17" s="35">
        <f t="shared" si="3"/>
        <v>7.383531351898372E-3</v>
      </c>
      <c r="N17" s="466">
        <f t="shared" si="4"/>
        <v>195.26640000000046</v>
      </c>
      <c r="O17" s="456" t="s">
        <v>139</v>
      </c>
      <c r="P17" s="456" t="s">
        <v>25</v>
      </c>
      <c r="Q17" s="456" t="s">
        <v>141</v>
      </c>
      <c r="R17" s="37" t="s">
        <v>59</v>
      </c>
    </row>
    <row r="18" spans="1:18" s="39" customFormat="1" ht="24.95" customHeight="1" x14ac:dyDescent="0.25">
      <c r="A18" s="467">
        <v>7</v>
      </c>
      <c r="B18" s="30" t="s">
        <v>483</v>
      </c>
      <c r="C18" s="31">
        <v>125.17</v>
      </c>
      <c r="D18" s="32">
        <v>3975</v>
      </c>
      <c r="E18" s="32">
        <v>3975</v>
      </c>
      <c r="F18" s="32">
        <v>29.11</v>
      </c>
      <c r="G18" s="31">
        <v>4.3</v>
      </c>
      <c r="H18" s="33">
        <f t="shared" si="0"/>
        <v>1.0073232704402515</v>
      </c>
      <c r="I18" s="31">
        <v>125.17</v>
      </c>
      <c r="J18" s="32">
        <v>29.11</v>
      </c>
      <c r="K18" s="34">
        <f t="shared" si="1"/>
        <v>7.323270440251572E-3</v>
      </c>
      <c r="L18" s="465">
        <f t="shared" si="2"/>
        <v>1.2789769243681803E-13</v>
      </c>
      <c r="M18" s="35">
        <f t="shared" si="3"/>
        <v>3.2175520109891331E-17</v>
      </c>
      <c r="N18" s="466">
        <f t="shared" si="4"/>
        <v>5.4996007747831748E-13</v>
      </c>
      <c r="O18" s="456" t="s">
        <v>139</v>
      </c>
      <c r="P18" s="456" t="s">
        <v>28</v>
      </c>
      <c r="Q18" s="456" t="s">
        <v>140</v>
      </c>
      <c r="R18" s="37" t="s">
        <v>59</v>
      </c>
    </row>
    <row r="19" spans="1:18" s="38" customFormat="1" ht="24.95" customHeight="1" x14ac:dyDescent="0.25">
      <c r="A19" s="464">
        <v>8</v>
      </c>
      <c r="B19" s="30" t="s">
        <v>254</v>
      </c>
      <c r="C19" s="31">
        <v>111.2</v>
      </c>
      <c r="D19" s="32">
        <v>97.98</v>
      </c>
      <c r="E19" s="32">
        <v>97.98</v>
      </c>
      <c r="F19" s="32">
        <v>1.99</v>
      </c>
      <c r="G19" s="31">
        <v>110.1</v>
      </c>
      <c r="H19" s="33">
        <f t="shared" si="0"/>
        <v>1.0203102674015105</v>
      </c>
      <c r="I19" s="31">
        <v>219.1</v>
      </c>
      <c r="J19" s="32">
        <v>1.01</v>
      </c>
      <c r="K19" s="34">
        <f t="shared" si="1"/>
        <v>1.0308226168605838E-2</v>
      </c>
      <c r="L19" s="465">
        <f t="shared" si="2"/>
        <v>0.97999999999999488</v>
      </c>
      <c r="M19" s="35">
        <f t="shared" si="3"/>
        <v>1.0002041232904622E-2</v>
      </c>
      <c r="N19" s="466">
        <f t="shared" si="4"/>
        <v>107.89799999999943</v>
      </c>
      <c r="O19" s="456" t="s">
        <v>139</v>
      </c>
      <c r="P19" s="456" t="s">
        <v>25</v>
      </c>
      <c r="Q19" s="456" t="s">
        <v>134</v>
      </c>
      <c r="R19" s="37" t="s">
        <v>59</v>
      </c>
    </row>
    <row r="20" spans="1:18" s="38" customFormat="1" ht="24.95" customHeight="1" x14ac:dyDescent="0.25">
      <c r="A20" s="467">
        <v>9</v>
      </c>
      <c r="B20" s="30" t="s">
        <v>213</v>
      </c>
      <c r="C20" s="31">
        <v>97.57</v>
      </c>
      <c r="D20" s="32">
        <v>5018</v>
      </c>
      <c r="E20" s="32">
        <v>5018</v>
      </c>
      <c r="F20" s="32">
        <v>22.43</v>
      </c>
      <c r="G20" s="31">
        <v>4.3499999999999996</v>
      </c>
      <c r="H20" s="33">
        <f t="shared" si="0"/>
        <v>1.0044699083300119</v>
      </c>
      <c r="I20" s="31">
        <v>97.57</v>
      </c>
      <c r="J20" s="32">
        <v>22.43</v>
      </c>
      <c r="K20" s="34">
        <f t="shared" si="1"/>
        <v>4.4699083300119569E-3</v>
      </c>
      <c r="L20" s="465">
        <f t="shared" si="2"/>
        <v>2.9132252166164108E-13</v>
      </c>
      <c r="M20" s="35">
        <f t="shared" si="3"/>
        <v>5.8055504516070365E-17</v>
      </c>
      <c r="N20" s="466">
        <f t="shared" si="4"/>
        <v>1.2672529692281386E-12</v>
      </c>
      <c r="O20" s="456" t="s">
        <v>139</v>
      </c>
      <c r="P20" s="456" t="s">
        <v>28</v>
      </c>
      <c r="Q20" s="456" t="s">
        <v>140</v>
      </c>
      <c r="R20" s="37" t="s">
        <v>214</v>
      </c>
    </row>
    <row r="21" spans="1:18" s="38" customFormat="1" ht="24.95" customHeight="1" thickBot="1" x14ac:dyDescent="0.3">
      <c r="A21" s="468">
        <v>10</v>
      </c>
      <c r="B21" s="40" t="s">
        <v>301</v>
      </c>
      <c r="C21" s="41">
        <v>94.06</v>
      </c>
      <c r="D21" s="42">
        <v>9.23</v>
      </c>
      <c r="E21" s="42">
        <v>9.23</v>
      </c>
      <c r="F21" s="42">
        <v>0.13</v>
      </c>
      <c r="G21" s="41">
        <v>1567.63</v>
      </c>
      <c r="H21" s="43">
        <f t="shared" si="0"/>
        <v>1.0140845070422535</v>
      </c>
      <c r="I21" s="41">
        <v>203.79</v>
      </c>
      <c r="J21" s="42">
        <v>0.06</v>
      </c>
      <c r="K21" s="44">
        <f t="shared" si="1"/>
        <v>6.5005417118093167E-3</v>
      </c>
      <c r="L21" s="469">
        <f t="shared" si="2"/>
        <v>7.0000000000000784E-2</v>
      </c>
      <c r="M21" s="45">
        <f t="shared" si="3"/>
        <v>7.5839653304442881E-3</v>
      </c>
      <c r="N21" s="470">
        <f t="shared" si="4"/>
        <v>109.73410000000123</v>
      </c>
      <c r="O21" s="457" t="s">
        <v>139</v>
      </c>
      <c r="P21" s="457" t="s">
        <v>25</v>
      </c>
      <c r="Q21" s="457" t="s">
        <v>141</v>
      </c>
      <c r="R21" s="47" t="s">
        <v>79</v>
      </c>
    </row>
    <row r="22" spans="1:18" s="53" customFormat="1" ht="24.95" customHeight="1" thickBot="1" x14ac:dyDescent="0.3">
      <c r="A22" s="471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472"/>
      <c r="M22" s="51"/>
      <c r="N22" s="473"/>
      <c r="O22" s="52"/>
      <c r="P22" s="52"/>
      <c r="Q22" s="52"/>
      <c r="R22" s="48"/>
    </row>
    <row r="23" spans="1:18" s="53" customFormat="1" ht="40.5" customHeight="1" x14ac:dyDescent="0.25">
      <c r="A23" s="616" t="s">
        <v>882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858</v>
      </c>
      <c r="B24" s="620"/>
      <c r="C24" s="620"/>
      <c r="D24" s="620" t="s">
        <v>859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860</v>
      </c>
      <c r="P24" s="630" t="s">
        <v>861</v>
      </c>
      <c r="Q24" s="629" t="s">
        <v>862</v>
      </c>
      <c r="R24" s="816" t="s">
        <v>863</v>
      </c>
    </row>
    <row r="25" spans="1:18" s="53" customFormat="1" ht="24.95" customHeight="1" x14ac:dyDescent="0.25">
      <c r="A25" s="817" t="s">
        <v>864</v>
      </c>
      <c r="B25" s="634" t="s">
        <v>865</v>
      </c>
      <c r="C25" s="635"/>
      <c r="D25" s="636" t="s">
        <v>866</v>
      </c>
      <c r="E25" s="636"/>
      <c r="F25" s="636"/>
      <c r="G25" s="636"/>
      <c r="H25" s="636"/>
      <c r="I25" s="636"/>
      <c r="J25" s="637" t="s">
        <v>867</v>
      </c>
      <c r="K25" s="637"/>
      <c r="L25" s="637"/>
      <c r="M25" s="638"/>
      <c r="N25" s="638"/>
      <c r="O25" s="629"/>
      <c r="P25" s="629"/>
      <c r="Q25" s="629"/>
      <c r="R25" s="816"/>
    </row>
    <row r="26" spans="1:18" s="53" customFormat="1" ht="24.95" customHeight="1" x14ac:dyDescent="0.3">
      <c r="A26" s="818"/>
      <c r="B26" s="820" t="s">
        <v>868</v>
      </c>
      <c r="C26" s="822" t="s">
        <v>883</v>
      </c>
      <c r="D26" s="824" t="s">
        <v>870</v>
      </c>
      <c r="E26" s="824"/>
      <c r="F26" s="824"/>
      <c r="G26" s="824"/>
      <c r="H26" s="824"/>
      <c r="I26" s="824"/>
      <c r="J26" s="825" t="s">
        <v>871</v>
      </c>
      <c r="K26" s="826"/>
      <c r="L26" s="827"/>
      <c r="M26" s="825" t="s">
        <v>872</v>
      </c>
      <c r="N26" s="827"/>
      <c r="O26" s="629"/>
      <c r="P26" s="629"/>
      <c r="Q26" s="629"/>
      <c r="R26" s="816"/>
    </row>
    <row r="27" spans="1:18" s="53" customFormat="1" ht="50.1" customHeight="1" x14ac:dyDescent="0.25">
      <c r="A27" s="819"/>
      <c r="B27" s="821"/>
      <c r="C27" s="823"/>
      <c r="D27" s="461" t="s">
        <v>873</v>
      </c>
      <c r="E27" s="461" t="s">
        <v>874</v>
      </c>
      <c r="F27" s="461" t="s">
        <v>875</v>
      </c>
      <c r="G27" s="461" t="s">
        <v>876</v>
      </c>
      <c r="H27" s="461" t="s">
        <v>877</v>
      </c>
      <c r="I27" s="461" t="s">
        <v>878</v>
      </c>
      <c r="J27" s="462" t="s">
        <v>879</v>
      </c>
      <c r="K27" s="462" t="s">
        <v>880</v>
      </c>
      <c r="L27" s="463" t="s">
        <v>881</v>
      </c>
      <c r="M27" s="462" t="s">
        <v>879</v>
      </c>
      <c r="N27" s="462" t="s">
        <v>880</v>
      </c>
      <c r="O27" s="629"/>
      <c r="P27" s="629"/>
      <c r="Q27" s="629"/>
      <c r="R27" s="816"/>
    </row>
    <row r="28" spans="1:18" s="53" customFormat="1" ht="24.95" customHeight="1" x14ac:dyDescent="0.25">
      <c r="A28" s="464">
        <v>1</v>
      </c>
      <c r="B28" s="30" t="s">
        <v>714</v>
      </c>
      <c r="C28" s="31">
        <v>14829.5</v>
      </c>
      <c r="D28" s="32">
        <v>118.8</v>
      </c>
      <c r="E28" s="32">
        <v>172</v>
      </c>
      <c r="F28" s="32">
        <v>0</v>
      </c>
      <c r="G28" s="31">
        <v>278.75</v>
      </c>
      <c r="H28" s="54">
        <f t="shared" ref="H28:H37" si="5">(E28+F28)/D28</f>
        <v>1.4478114478114479</v>
      </c>
      <c r="I28" s="31">
        <v>14829.5</v>
      </c>
      <c r="J28" s="32">
        <v>0</v>
      </c>
      <c r="K28" s="34">
        <f t="shared" ref="K28:K37" si="6">J28/D28</f>
        <v>0</v>
      </c>
      <c r="L28" s="466">
        <f t="shared" ref="L28:L37" si="7">J28*G28</f>
        <v>0</v>
      </c>
      <c r="M28" s="465">
        <f t="shared" ref="M28:M37" si="8">((E28+F28)-D28)-J28</f>
        <v>53.2</v>
      </c>
      <c r="N28" s="35">
        <f t="shared" ref="N28:N37" si="9">M28/D28</f>
        <v>0.44781144781144783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467">
        <v>2</v>
      </c>
      <c r="B29" s="30" t="s">
        <v>607</v>
      </c>
      <c r="C29" s="31">
        <v>1775</v>
      </c>
      <c r="D29" s="32">
        <v>10412</v>
      </c>
      <c r="E29" s="32">
        <v>10412</v>
      </c>
      <c r="F29" s="32">
        <v>100</v>
      </c>
      <c r="G29" s="31">
        <v>17.75</v>
      </c>
      <c r="H29" s="54">
        <f t="shared" si="5"/>
        <v>1.009604302727622</v>
      </c>
      <c r="I29" s="31">
        <v>1775</v>
      </c>
      <c r="J29" s="32">
        <v>0</v>
      </c>
      <c r="K29" s="34">
        <f t="shared" si="6"/>
        <v>0</v>
      </c>
      <c r="L29" s="466">
        <f t="shared" si="7"/>
        <v>0</v>
      </c>
      <c r="M29" s="465">
        <f t="shared" si="8"/>
        <v>100</v>
      </c>
      <c r="N29" s="35">
        <f t="shared" si="9"/>
        <v>9.6043027276219751E-3</v>
      </c>
      <c r="O29" s="451" t="s">
        <v>142</v>
      </c>
      <c r="P29" s="458" t="s">
        <v>26</v>
      </c>
      <c r="Q29" s="458" t="s">
        <v>894</v>
      </c>
      <c r="R29" s="37" t="s">
        <v>608</v>
      </c>
    </row>
    <row r="30" spans="1:18" s="53" customFormat="1" ht="24.95" customHeight="1" x14ac:dyDescent="0.25">
      <c r="A30" s="467">
        <v>3</v>
      </c>
      <c r="B30" s="30" t="s">
        <v>80</v>
      </c>
      <c r="C30" s="31">
        <v>1266.3799999999999</v>
      </c>
      <c r="D30" s="32">
        <v>331.63</v>
      </c>
      <c r="E30" s="32">
        <v>331.63</v>
      </c>
      <c r="F30" s="32">
        <v>8.66</v>
      </c>
      <c r="G30" s="31">
        <v>156.72999999999999</v>
      </c>
      <c r="H30" s="54">
        <f t="shared" si="5"/>
        <v>1.0261134396767482</v>
      </c>
      <c r="I30" s="31">
        <v>1357.28</v>
      </c>
      <c r="J30" s="57">
        <v>0.57999999999999996</v>
      </c>
      <c r="K30" s="34">
        <f t="shared" si="6"/>
        <v>1.7489370684196242E-3</v>
      </c>
      <c r="L30" s="466">
        <f t="shared" si="7"/>
        <v>90.903399999999991</v>
      </c>
      <c r="M30" s="465">
        <f t="shared" si="8"/>
        <v>8.0800000000000249</v>
      </c>
      <c r="N30" s="35">
        <f t="shared" si="9"/>
        <v>2.4364502608328634E-2</v>
      </c>
      <c r="O30" s="451" t="s">
        <v>133</v>
      </c>
      <c r="P30" s="458" t="s">
        <v>25</v>
      </c>
      <c r="Q30" s="458" t="s">
        <v>136</v>
      </c>
      <c r="R30" s="37" t="s">
        <v>59</v>
      </c>
    </row>
    <row r="31" spans="1:18" s="53" customFormat="1" ht="24.95" customHeight="1" x14ac:dyDescent="0.25">
      <c r="A31" s="464">
        <v>4</v>
      </c>
      <c r="B31" s="30" t="s">
        <v>74</v>
      </c>
      <c r="C31" s="31">
        <v>1152.71</v>
      </c>
      <c r="D31" s="32">
        <v>356.15</v>
      </c>
      <c r="E31" s="32">
        <v>356.15</v>
      </c>
      <c r="F31" s="32">
        <v>9.2899999999999991</v>
      </c>
      <c r="G31" s="31">
        <v>133.88</v>
      </c>
      <c r="H31" s="54">
        <f t="shared" si="5"/>
        <v>1.0260845149515654</v>
      </c>
      <c r="I31" s="31">
        <v>1243.75</v>
      </c>
      <c r="J31" s="32">
        <v>0.68</v>
      </c>
      <c r="K31" s="34">
        <f t="shared" si="6"/>
        <v>1.9093078758949883E-3</v>
      </c>
      <c r="L31" s="466">
        <f t="shared" si="7"/>
        <v>91.03840000000001</v>
      </c>
      <c r="M31" s="465">
        <f t="shared" si="8"/>
        <v>8.6100000000000207</v>
      </c>
      <c r="N31" s="35">
        <f t="shared" si="9"/>
        <v>2.4175207075670422E-2</v>
      </c>
      <c r="O31" s="451" t="s">
        <v>133</v>
      </c>
      <c r="P31" s="458" t="s">
        <v>25</v>
      </c>
      <c r="Q31" s="458" t="s">
        <v>134</v>
      </c>
      <c r="R31" s="37" t="s">
        <v>75</v>
      </c>
    </row>
    <row r="32" spans="1:18" s="53" customFormat="1" ht="24.95" customHeight="1" x14ac:dyDescent="0.25">
      <c r="A32" s="467">
        <v>5</v>
      </c>
      <c r="B32" s="30" t="s">
        <v>76</v>
      </c>
      <c r="C32" s="31">
        <v>1102.3999999999999</v>
      </c>
      <c r="D32" s="32">
        <v>675.36</v>
      </c>
      <c r="E32" s="32">
        <v>675.36</v>
      </c>
      <c r="F32" s="32">
        <v>19.59</v>
      </c>
      <c r="G32" s="31">
        <v>60.94</v>
      </c>
      <c r="H32" s="54">
        <f t="shared" si="5"/>
        <v>1.0290067519545132</v>
      </c>
      <c r="I32" s="31">
        <v>1193.81</v>
      </c>
      <c r="J32" s="32">
        <v>1.5</v>
      </c>
      <c r="K32" s="34">
        <f t="shared" si="6"/>
        <v>2.2210376687988626E-3</v>
      </c>
      <c r="L32" s="466">
        <f t="shared" si="7"/>
        <v>91.41</v>
      </c>
      <c r="M32" s="465">
        <f t="shared" si="8"/>
        <v>18.090000000000032</v>
      </c>
      <c r="N32" s="35">
        <f t="shared" si="9"/>
        <v>2.6785714285714333E-2</v>
      </c>
      <c r="O32" s="451" t="s">
        <v>133</v>
      </c>
      <c r="P32" s="458" t="s">
        <v>25</v>
      </c>
      <c r="Q32" s="458" t="s">
        <v>134</v>
      </c>
      <c r="R32" s="37" t="s">
        <v>77</v>
      </c>
    </row>
    <row r="33" spans="1:18" s="53" customFormat="1" ht="24.95" customHeight="1" x14ac:dyDescent="0.25">
      <c r="A33" s="464">
        <v>6</v>
      </c>
      <c r="B33" s="30" t="s">
        <v>83</v>
      </c>
      <c r="C33" s="31">
        <v>1024.9099999999999</v>
      </c>
      <c r="D33" s="32">
        <v>500.21</v>
      </c>
      <c r="E33" s="32">
        <v>500.21</v>
      </c>
      <c r="F33" s="32">
        <v>13.06</v>
      </c>
      <c r="G33" s="31">
        <v>85.48</v>
      </c>
      <c r="H33" s="54">
        <f t="shared" si="5"/>
        <v>1.0261090342056336</v>
      </c>
      <c r="I33" s="31">
        <v>1116.3699999999999</v>
      </c>
      <c r="J33" s="32">
        <v>1.07</v>
      </c>
      <c r="K33" s="34">
        <f t="shared" si="6"/>
        <v>2.1391015773375185E-3</v>
      </c>
      <c r="L33" s="466">
        <f t="shared" si="7"/>
        <v>91.463600000000014</v>
      </c>
      <c r="M33" s="465">
        <f t="shared" si="8"/>
        <v>11.990000000000002</v>
      </c>
      <c r="N33" s="35">
        <f t="shared" si="9"/>
        <v>2.3969932628296119E-2</v>
      </c>
      <c r="O33" s="451" t="s">
        <v>133</v>
      </c>
      <c r="P33" s="458" t="s">
        <v>25</v>
      </c>
      <c r="Q33" s="458" t="s">
        <v>134</v>
      </c>
      <c r="R33" s="37" t="s">
        <v>84</v>
      </c>
    </row>
    <row r="34" spans="1:18" s="53" customFormat="1" ht="24.95" customHeight="1" x14ac:dyDescent="0.25">
      <c r="A34" s="467">
        <v>7</v>
      </c>
      <c r="B34" s="30" t="s">
        <v>81</v>
      </c>
      <c r="C34" s="31">
        <v>993.29000000000008</v>
      </c>
      <c r="D34" s="32">
        <v>593.34</v>
      </c>
      <c r="E34" s="32">
        <v>593.34</v>
      </c>
      <c r="F34" s="32">
        <v>13.77</v>
      </c>
      <c r="G34" s="31">
        <v>78.77</v>
      </c>
      <c r="H34" s="54">
        <f t="shared" si="5"/>
        <v>1.0232076044089391</v>
      </c>
      <c r="I34" s="31">
        <v>1084.6600000000001</v>
      </c>
      <c r="J34" s="32">
        <v>1.1599999999999999</v>
      </c>
      <c r="K34" s="34">
        <f t="shared" si="6"/>
        <v>1.9550342130987288E-3</v>
      </c>
      <c r="L34" s="466">
        <f t="shared" si="7"/>
        <v>91.373199999999983</v>
      </c>
      <c r="M34" s="465">
        <f t="shared" si="8"/>
        <v>12.609999999999982</v>
      </c>
      <c r="N34" s="35">
        <f t="shared" si="9"/>
        <v>2.1252570195840464E-2</v>
      </c>
      <c r="O34" s="451" t="s">
        <v>133</v>
      </c>
      <c r="P34" s="458" t="s">
        <v>25</v>
      </c>
      <c r="Q34" s="458" t="s">
        <v>137</v>
      </c>
      <c r="R34" s="37" t="s">
        <v>82</v>
      </c>
    </row>
    <row r="35" spans="1:18" s="53" customFormat="1" ht="24.95" customHeight="1" x14ac:dyDescent="0.25">
      <c r="A35" s="464">
        <v>8</v>
      </c>
      <c r="B35" s="30" t="s">
        <v>85</v>
      </c>
      <c r="C35" s="31">
        <v>922.53</v>
      </c>
      <c r="D35" s="32">
        <v>550.08000000000004</v>
      </c>
      <c r="E35" s="32">
        <v>550.08000000000004</v>
      </c>
      <c r="F35" s="32">
        <v>12.76</v>
      </c>
      <c r="G35" s="31">
        <v>79.459999999999994</v>
      </c>
      <c r="H35" s="54">
        <f t="shared" si="5"/>
        <v>1.0231966259453171</v>
      </c>
      <c r="I35" s="31">
        <v>1013.91</v>
      </c>
      <c r="J35" s="32">
        <v>1.1499999999999999</v>
      </c>
      <c r="K35" s="34">
        <f t="shared" si="6"/>
        <v>2.0906050029086674E-3</v>
      </c>
      <c r="L35" s="466">
        <f t="shared" si="7"/>
        <v>91.378999999999991</v>
      </c>
      <c r="M35" s="465">
        <f t="shared" si="8"/>
        <v>11.609999999999991</v>
      </c>
      <c r="N35" s="35">
        <f t="shared" si="9"/>
        <v>2.1106020942408359E-2</v>
      </c>
      <c r="O35" s="451" t="s">
        <v>133</v>
      </c>
      <c r="P35" s="458" t="s">
        <v>25</v>
      </c>
      <c r="Q35" s="458" t="s">
        <v>137</v>
      </c>
      <c r="R35" s="37" t="s">
        <v>86</v>
      </c>
    </row>
    <row r="36" spans="1:18" s="53" customFormat="1" ht="24.95" customHeight="1" x14ac:dyDescent="0.25">
      <c r="A36" s="467">
        <v>9</v>
      </c>
      <c r="B36" s="30" t="s">
        <v>78</v>
      </c>
      <c r="C36" s="31">
        <v>890.29</v>
      </c>
      <c r="D36" s="32">
        <v>492.16</v>
      </c>
      <c r="E36" s="32">
        <v>492.16</v>
      </c>
      <c r="F36" s="32">
        <v>12.84</v>
      </c>
      <c r="G36" s="31">
        <v>76.42</v>
      </c>
      <c r="H36" s="54">
        <f t="shared" si="5"/>
        <v>1.0260890767230169</v>
      </c>
      <c r="I36" s="31">
        <v>981.23</v>
      </c>
      <c r="J36" s="32">
        <v>1.19</v>
      </c>
      <c r="K36" s="34">
        <f t="shared" si="6"/>
        <v>2.4179128738621583E-3</v>
      </c>
      <c r="L36" s="466">
        <f t="shared" si="7"/>
        <v>90.939799999999991</v>
      </c>
      <c r="M36" s="465">
        <f t="shared" si="8"/>
        <v>11.649999999999975</v>
      </c>
      <c r="N36" s="35">
        <f t="shared" si="9"/>
        <v>2.3671163849154696E-2</v>
      </c>
      <c r="O36" s="451" t="s">
        <v>133</v>
      </c>
      <c r="P36" s="458" t="s">
        <v>25</v>
      </c>
      <c r="Q36" s="458" t="s">
        <v>135</v>
      </c>
      <c r="R36" s="37" t="s">
        <v>79</v>
      </c>
    </row>
    <row r="37" spans="1:18" s="53" customFormat="1" ht="24.95" customHeight="1" thickBot="1" x14ac:dyDescent="0.3">
      <c r="A37" s="468">
        <v>10</v>
      </c>
      <c r="B37" s="40" t="s">
        <v>651</v>
      </c>
      <c r="C37" s="41">
        <v>876.92</v>
      </c>
      <c r="D37" s="42">
        <v>80.08</v>
      </c>
      <c r="E37" s="42">
        <v>80.08</v>
      </c>
      <c r="F37" s="42">
        <v>2.3199999999999998</v>
      </c>
      <c r="G37" s="41">
        <v>417.58</v>
      </c>
      <c r="H37" s="58">
        <f t="shared" si="5"/>
        <v>1.028971028971029</v>
      </c>
      <c r="I37" s="41">
        <v>968.79</v>
      </c>
      <c r="J37" s="42">
        <v>0.22</v>
      </c>
      <c r="K37" s="44">
        <f t="shared" si="6"/>
        <v>2.7472527472527475E-3</v>
      </c>
      <c r="L37" s="470">
        <f t="shared" si="7"/>
        <v>91.867599999999996</v>
      </c>
      <c r="M37" s="469">
        <f t="shared" si="8"/>
        <v>2.099999999999993</v>
      </c>
      <c r="N37" s="45">
        <f t="shared" si="9"/>
        <v>2.6223776223776137E-2</v>
      </c>
      <c r="O37" s="59" t="s">
        <v>133</v>
      </c>
      <c r="P37" s="60" t="s">
        <v>25</v>
      </c>
      <c r="Q37" s="60" t="s">
        <v>134</v>
      </c>
      <c r="R37" s="61" t="s">
        <v>656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884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858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813" t="s">
        <v>864</v>
      </c>
      <c r="B41" s="623" t="s">
        <v>865</v>
      </c>
      <c r="C41" s="623"/>
      <c r="D41" s="624"/>
      <c r="E41" s="62"/>
      <c r="G41" s="64"/>
      <c r="H41" s="65"/>
    </row>
    <row r="42" spans="1:18" ht="20.45" customHeight="1" x14ac:dyDescent="0.35">
      <c r="A42" s="813"/>
      <c r="B42" s="814" t="s">
        <v>868</v>
      </c>
      <c r="C42" s="815" t="s">
        <v>869</v>
      </c>
      <c r="D42" s="816" t="s">
        <v>885</v>
      </c>
      <c r="E42" s="62"/>
      <c r="G42" s="64"/>
      <c r="H42" s="65"/>
    </row>
    <row r="43" spans="1:18" ht="20.45" customHeight="1" x14ac:dyDescent="0.35">
      <c r="A43" s="813"/>
      <c r="B43" s="814"/>
      <c r="C43" s="815"/>
      <c r="D43" s="816"/>
      <c r="E43" s="62"/>
      <c r="G43" s="64"/>
      <c r="H43" s="65"/>
    </row>
    <row r="44" spans="1:18" s="68" customFormat="1" ht="24.95" customHeight="1" x14ac:dyDescent="0.35">
      <c r="A44" s="474">
        <v>1</v>
      </c>
      <c r="B44" s="30" t="s">
        <v>61</v>
      </c>
      <c r="C44" s="31">
        <v>2092.5700000000002</v>
      </c>
      <c r="D44" s="66">
        <f t="shared" ref="D44:D53" si="10">C44/$L$5</f>
        <v>0.3055306126322645</v>
      </c>
      <c r="E44" s="67"/>
      <c r="G44" s="64"/>
      <c r="H44" s="65"/>
    </row>
    <row r="45" spans="1:18" s="68" customFormat="1" ht="24.95" customHeight="1" x14ac:dyDescent="0.35">
      <c r="A45" s="475">
        <v>2</v>
      </c>
      <c r="B45" s="30" t="s">
        <v>58</v>
      </c>
      <c r="C45" s="31">
        <v>1473.03</v>
      </c>
      <c r="D45" s="66">
        <f t="shared" si="10"/>
        <v>0.21507321538859131</v>
      </c>
      <c r="E45" s="67"/>
      <c r="G45" s="64"/>
      <c r="H45" s="65"/>
    </row>
    <row r="46" spans="1:18" s="68" customFormat="1" ht="24.95" customHeight="1" x14ac:dyDescent="0.35">
      <c r="A46" s="475">
        <v>3</v>
      </c>
      <c r="B46" s="30" t="s">
        <v>531</v>
      </c>
      <c r="C46" s="31">
        <v>511.17</v>
      </c>
      <c r="D46" s="66">
        <f t="shared" si="10"/>
        <v>7.4634580090144967E-2</v>
      </c>
      <c r="E46" s="67"/>
      <c r="G46" s="64"/>
      <c r="H46" s="65"/>
    </row>
    <row r="47" spans="1:18" s="68" customFormat="1" ht="24.95" customHeight="1" x14ac:dyDescent="0.35">
      <c r="A47" s="474">
        <v>4</v>
      </c>
      <c r="B47" s="30" t="s">
        <v>69</v>
      </c>
      <c r="C47" s="31">
        <v>486.36</v>
      </c>
      <c r="D47" s="66">
        <f t="shared" si="10"/>
        <v>7.1012137591491872E-2</v>
      </c>
      <c r="E47" s="67"/>
      <c r="G47" s="64"/>
      <c r="H47" s="65"/>
    </row>
    <row r="48" spans="1:18" s="68" customFormat="1" ht="24.95" customHeight="1" x14ac:dyDescent="0.35">
      <c r="A48" s="475">
        <v>5</v>
      </c>
      <c r="B48" s="30" t="s">
        <v>166</v>
      </c>
      <c r="C48" s="31">
        <v>218.28</v>
      </c>
      <c r="D48" s="66">
        <f t="shared" si="10"/>
        <v>3.1870485635066302E-2</v>
      </c>
      <c r="E48" s="67"/>
      <c r="G48" s="64"/>
      <c r="H48" s="65"/>
    </row>
    <row r="49" spans="1:5" s="68" customFormat="1" ht="24.95" customHeight="1" x14ac:dyDescent="0.25">
      <c r="A49" s="474">
        <v>6</v>
      </c>
      <c r="B49" s="30" t="s">
        <v>60</v>
      </c>
      <c r="C49" s="31">
        <v>188.33</v>
      </c>
      <c r="D49" s="66">
        <f t="shared" si="10"/>
        <v>2.7497565327341201E-2</v>
      </c>
      <c r="E49" s="67"/>
    </row>
    <row r="50" spans="1:5" s="68" customFormat="1" ht="24.95" customHeight="1" x14ac:dyDescent="0.25">
      <c r="A50" s="475">
        <v>7</v>
      </c>
      <c r="B50" s="30" t="s">
        <v>483</v>
      </c>
      <c r="C50" s="31">
        <v>125.17</v>
      </c>
      <c r="D50" s="66">
        <f t="shared" si="10"/>
        <v>1.8275740731818074E-2</v>
      </c>
      <c r="E50" s="67"/>
    </row>
    <row r="51" spans="1:5" s="68" customFormat="1" ht="24.95" customHeight="1" x14ac:dyDescent="0.25">
      <c r="A51" s="474">
        <v>8</v>
      </c>
      <c r="B51" s="30" t="s">
        <v>254</v>
      </c>
      <c r="C51" s="31">
        <v>111.2</v>
      </c>
      <c r="D51" s="66">
        <f t="shared" si="10"/>
        <v>1.6236017970585361E-2</v>
      </c>
      <c r="E51" s="67"/>
    </row>
    <row r="52" spans="1:5" s="68" customFormat="1" ht="24.95" customHeight="1" x14ac:dyDescent="0.25">
      <c r="A52" s="475">
        <v>9</v>
      </c>
      <c r="B52" s="30" t="s">
        <v>90</v>
      </c>
      <c r="C52" s="31">
        <v>93.31</v>
      </c>
      <c r="D52" s="66">
        <f t="shared" si="10"/>
        <v>1.3623946374418347E-2</v>
      </c>
      <c r="E52" s="67"/>
    </row>
    <row r="53" spans="1:5" s="68" customFormat="1" ht="24.95" customHeight="1" thickBot="1" x14ac:dyDescent="0.3">
      <c r="A53" s="476">
        <v>10</v>
      </c>
      <c r="B53" s="40" t="s">
        <v>618</v>
      </c>
      <c r="C53" s="41">
        <v>92.01</v>
      </c>
      <c r="D53" s="69">
        <f t="shared" si="10"/>
        <v>1.3434136811812583E-2</v>
      </c>
      <c r="E53" s="67"/>
    </row>
    <row r="54" spans="1:5" x14ac:dyDescent="0.25">
      <c r="A54" s="614" t="s">
        <v>886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887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873" priority="33" operator="containsText" text="024">
      <formula>NOT(ISERROR(SEARCH("024",A12)))</formula>
    </cfRule>
    <cfRule type="containsText" dxfId="872" priority="34" operator="containsText" text="白醬">
      <formula>NOT(ISERROR(SEARCH("白醬",A12)))</formula>
    </cfRule>
    <cfRule type="containsText" dxfId="871" priority="35" operator="containsText" text="青蔥">
      <formula>NOT(ISERROR(SEARCH("青蔥",A12)))</formula>
    </cfRule>
    <cfRule type="containsText" dxfId="870" priority="36" operator="containsText" text=")川燙小青花菜">
      <formula>NOT(ISERROR(SEARCH(")川燙小青花菜",A12)))</formula>
    </cfRule>
    <cfRule type="containsText" dxfId="869" priority="37" operator="containsText" text="湯凍">
      <formula>NOT(ISERROR(SEARCH("湯凍",A12)))</formula>
    </cfRule>
    <cfRule type="containsText" dxfId="868" priority="38" operator="containsText" text="中華">
      <formula>NOT(ISERROR(SEARCH("中華",A12)))</formula>
    </cfRule>
  </conditionalFormatting>
  <conditionalFormatting sqref="A12:A22">
    <cfRule type="containsText" dxfId="867" priority="31" operator="containsText" text="綠豆芽">
      <formula>NOT(ISERROR(SEARCH("綠豆芽",A12)))</formula>
    </cfRule>
    <cfRule type="containsText" dxfId="866" priority="32" operator="containsText" text="煮白細麵生(方#12)">
      <formula>NOT(ISERROR(SEARCH("煮白細麵生(方#12)",A12)))</formula>
    </cfRule>
  </conditionalFormatting>
  <conditionalFormatting sqref="E5">
    <cfRule type="cellIs" dxfId="865" priority="16" operator="greaterThan">
      <formula>0.0025</formula>
    </cfRule>
    <cfRule type="cellIs" dxfId="864" priority="19" operator="greaterThan">
      <formula>0.0025</formula>
    </cfRule>
    <cfRule type="cellIs" dxfId="863" priority="29" operator="greaterThan">
      <formula>0.072</formula>
    </cfRule>
    <cfRule type="cellIs" dxfId="862" priority="30" operator="greaterThan">
      <formula>7.2</formula>
    </cfRule>
  </conditionalFormatting>
  <conditionalFormatting sqref="E5">
    <cfRule type="cellIs" dxfId="861" priority="28" operator="greaterThan">
      <formula>0.0025</formula>
    </cfRule>
  </conditionalFormatting>
  <conditionalFormatting sqref="A44:A53">
    <cfRule type="containsText" dxfId="860" priority="22" operator="containsText" text="024">
      <formula>NOT(ISERROR(SEARCH("024",A44)))</formula>
    </cfRule>
    <cfRule type="containsText" dxfId="859" priority="23" operator="containsText" text="白醬">
      <formula>NOT(ISERROR(SEARCH("白醬",A44)))</formula>
    </cfRule>
    <cfRule type="containsText" dxfId="858" priority="24" operator="containsText" text="青蔥">
      <formula>NOT(ISERROR(SEARCH("青蔥",A44)))</formula>
    </cfRule>
    <cfRule type="containsText" dxfId="857" priority="25" operator="containsText" text=")川燙小青花菜">
      <formula>NOT(ISERROR(SEARCH(")川燙小青花菜",A44)))</formula>
    </cfRule>
    <cfRule type="containsText" dxfId="856" priority="26" operator="containsText" text="湯凍">
      <formula>NOT(ISERROR(SEARCH("湯凍",A44)))</formula>
    </cfRule>
    <cfRule type="containsText" dxfId="855" priority="27" operator="containsText" text="中華">
      <formula>NOT(ISERROR(SEARCH("中華",A44)))</formula>
    </cfRule>
  </conditionalFormatting>
  <conditionalFormatting sqref="A44:A53">
    <cfRule type="containsText" dxfId="854" priority="20" operator="containsText" text="綠豆芽">
      <formula>NOT(ISERROR(SEARCH("綠豆芽",A44)))</formula>
    </cfRule>
    <cfRule type="containsText" dxfId="853" priority="21" operator="containsText" text="煮白細麵生(方#12)">
      <formula>NOT(ISERROR(SEARCH("煮白細麵生(方#12)",A44)))</formula>
    </cfRule>
  </conditionalFormatting>
  <conditionalFormatting sqref="D44:D53">
    <cfRule type="cellIs" dxfId="852" priority="18" operator="greaterThan">
      <formula>0.146</formula>
    </cfRule>
  </conditionalFormatting>
  <conditionalFormatting sqref="H12:H22">
    <cfRule type="cellIs" dxfId="851" priority="17" operator="greaterThan">
      <formula>1.1</formula>
    </cfRule>
  </conditionalFormatting>
  <conditionalFormatting sqref="I5">
    <cfRule type="cellIs" dxfId="850" priority="15" operator="greaterThan">
      <formula>0.2</formula>
    </cfRule>
  </conditionalFormatting>
  <conditionalFormatting sqref="A28:A37">
    <cfRule type="containsText" dxfId="849" priority="9" operator="containsText" text="024">
      <formula>NOT(ISERROR(SEARCH("024",A28)))</formula>
    </cfRule>
    <cfRule type="containsText" dxfId="848" priority="10" operator="containsText" text="白醬">
      <formula>NOT(ISERROR(SEARCH("白醬",A28)))</formula>
    </cfRule>
    <cfRule type="containsText" dxfId="847" priority="11" operator="containsText" text="青蔥">
      <formula>NOT(ISERROR(SEARCH("青蔥",A28)))</formula>
    </cfRule>
    <cfRule type="containsText" dxfId="846" priority="12" operator="containsText" text=")川燙小青花菜">
      <formula>NOT(ISERROR(SEARCH(")川燙小青花菜",A28)))</formula>
    </cfRule>
    <cfRule type="containsText" dxfId="845" priority="13" operator="containsText" text="湯凍">
      <formula>NOT(ISERROR(SEARCH("湯凍",A28)))</formula>
    </cfRule>
    <cfRule type="containsText" dxfId="844" priority="14" operator="containsText" text="中華">
      <formula>NOT(ISERROR(SEARCH("中華",A28)))</formula>
    </cfRule>
  </conditionalFormatting>
  <conditionalFormatting sqref="A28:A37">
    <cfRule type="containsText" dxfId="843" priority="7" operator="containsText" text="綠豆芽">
      <formula>NOT(ISERROR(SEARCH("綠豆芽",A28)))</formula>
    </cfRule>
    <cfRule type="containsText" dxfId="842" priority="8" operator="containsText" text="煮白細麵生(方#12)">
      <formula>NOT(ISERROR(SEARCH("煮白細麵生(方#12)",A28)))</formula>
    </cfRule>
  </conditionalFormatting>
  <conditionalFormatting sqref="H28:H37">
    <cfRule type="cellIs" dxfId="841" priority="6" operator="greaterThan">
      <formula>1.1</formula>
    </cfRule>
  </conditionalFormatting>
  <conditionalFormatting sqref="G5">
    <cfRule type="cellIs" dxfId="840" priority="1" operator="greaterThan">
      <formula>0.0025</formula>
    </cfRule>
    <cfRule type="cellIs" dxfId="839" priority="2" operator="greaterThan">
      <formula>0.0025</formula>
    </cfRule>
    <cfRule type="cellIs" dxfId="838" priority="4" operator="greaterThan">
      <formula>0.072</formula>
    </cfRule>
    <cfRule type="cellIs" dxfId="837" priority="5" operator="greaterThan">
      <formula>7.2</formula>
    </cfRule>
  </conditionalFormatting>
  <conditionalFormatting sqref="G5">
    <cfRule type="cellIs" dxfId="83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6" zoomScale="70" zoomScaleNormal="70" zoomScaleSheetLayoutView="70" workbookViewId="0">
      <selection activeCell="A23" sqref="A23:R2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859" t="s">
        <v>31</v>
      </c>
      <c r="B2" s="860"/>
      <c r="C2" s="431" t="s">
        <v>32</v>
      </c>
      <c r="D2" s="861" t="s">
        <v>33</v>
      </c>
      <c r="E2" s="861"/>
      <c r="F2" s="861" t="s">
        <v>34</v>
      </c>
      <c r="G2" s="861"/>
      <c r="H2" s="861" t="s">
        <v>33</v>
      </c>
      <c r="I2" s="861"/>
      <c r="J2" s="861" t="s">
        <v>34</v>
      </c>
      <c r="K2" s="861"/>
      <c r="L2" s="861" t="s">
        <v>33</v>
      </c>
      <c r="M2" s="862"/>
      <c r="R2" s="17"/>
    </row>
    <row r="3" spans="1:18" s="18" customFormat="1" ht="28.5" x14ac:dyDescent="0.45">
      <c r="A3" s="856">
        <v>45922</v>
      </c>
      <c r="B3" s="857"/>
      <c r="C3" s="858">
        <v>6192295.3499999996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856"/>
      <c r="B4" s="857"/>
      <c r="C4" s="85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854" t="s">
        <v>44</v>
      </c>
      <c r="B5" s="855"/>
      <c r="C5" s="855"/>
      <c r="D5" s="432">
        <v>15139.460000000005</v>
      </c>
      <c r="E5" s="22">
        <f>D5/C3</f>
        <v>2.4448866121994659E-3</v>
      </c>
      <c r="F5" s="432">
        <v>46173.88</v>
      </c>
      <c r="G5" s="23">
        <f>F5/C3</f>
        <v>7.4566662909578436E-3</v>
      </c>
      <c r="H5" s="24">
        <f>SUM(C12:C21)</f>
        <v>6077.3899999999994</v>
      </c>
      <c r="I5" s="25">
        <f>H5/D5</f>
        <v>0.40142713148289288</v>
      </c>
      <c r="J5" s="24">
        <f>SUM(C28:C37)</f>
        <v>26810.7</v>
      </c>
      <c r="K5" s="26">
        <f>J5/F5</f>
        <v>0.58064646072628079</v>
      </c>
      <c r="L5" s="27">
        <v>6900.4400000000014</v>
      </c>
      <c r="M5" s="28">
        <f>L5/D5</f>
        <v>0.45579168609712628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826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827</v>
      </c>
      <c r="B8" s="620"/>
      <c r="C8" s="620"/>
      <c r="D8" s="620" t="s">
        <v>828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829</v>
      </c>
      <c r="P8" s="630" t="s">
        <v>830</v>
      </c>
      <c r="Q8" s="629" t="s">
        <v>831</v>
      </c>
      <c r="R8" s="841" t="s">
        <v>832</v>
      </c>
    </row>
    <row r="9" spans="1:18" ht="20.45" customHeight="1" x14ac:dyDescent="0.25">
      <c r="A9" s="842" t="s">
        <v>833</v>
      </c>
      <c r="B9" s="634" t="s">
        <v>834</v>
      </c>
      <c r="C9" s="635"/>
      <c r="D9" s="636" t="s">
        <v>835</v>
      </c>
      <c r="E9" s="636"/>
      <c r="F9" s="636"/>
      <c r="G9" s="636"/>
      <c r="H9" s="636"/>
      <c r="I9" s="636"/>
      <c r="J9" s="637" t="s">
        <v>836</v>
      </c>
      <c r="K9" s="637"/>
      <c r="L9" s="637"/>
      <c r="M9" s="638"/>
      <c r="N9" s="638"/>
      <c r="O9" s="629"/>
      <c r="P9" s="629"/>
      <c r="Q9" s="629"/>
      <c r="R9" s="841"/>
    </row>
    <row r="10" spans="1:18" ht="20.45" customHeight="1" x14ac:dyDescent="0.3">
      <c r="A10" s="843"/>
      <c r="B10" s="845" t="s">
        <v>837</v>
      </c>
      <c r="C10" s="847" t="s">
        <v>838</v>
      </c>
      <c r="D10" s="849" t="s">
        <v>839</v>
      </c>
      <c r="E10" s="849"/>
      <c r="F10" s="849"/>
      <c r="G10" s="849"/>
      <c r="H10" s="849"/>
      <c r="I10" s="849"/>
      <c r="J10" s="850" t="s">
        <v>840</v>
      </c>
      <c r="K10" s="852"/>
      <c r="L10" s="853" t="s">
        <v>841</v>
      </c>
      <c r="M10" s="850"/>
      <c r="N10" s="850"/>
      <c r="O10" s="629"/>
      <c r="P10" s="629"/>
      <c r="Q10" s="629"/>
      <c r="R10" s="841"/>
    </row>
    <row r="11" spans="1:18" s="29" customFormat="1" ht="47.25" customHeight="1" x14ac:dyDescent="0.25">
      <c r="A11" s="844"/>
      <c r="B11" s="846"/>
      <c r="C11" s="848"/>
      <c r="D11" s="433" t="s">
        <v>842</v>
      </c>
      <c r="E11" s="433" t="s">
        <v>843</v>
      </c>
      <c r="F11" s="433" t="s">
        <v>844</v>
      </c>
      <c r="G11" s="433" t="s">
        <v>845</v>
      </c>
      <c r="H11" s="433" t="s">
        <v>846</v>
      </c>
      <c r="I11" s="433" t="s">
        <v>847</v>
      </c>
      <c r="J11" s="434" t="s">
        <v>848</v>
      </c>
      <c r="K11" s="434" t="s">
        <v>849</v>
      </c>
      <c r="L11" s="434" t="s">
        <v>848</v>
      </c>
      <c r="M11" s="434" t="s">
        <v>849</v>
      </c>
      <c r="N11" s="435" t="s">
        <v>850</v>
      </c>
      <c r="O11" s="629"/>
      <c r="P11" s="629"/>
      <c r="Q11" s="629"/>
      <c r="R11" s="841"/>
    </row>
    <row r="12" spans="1:18" s="38" customFormat="1" ht="24.95" customHeight="1" x14ac:dyDescent="0.25">
      <c r="A12" s="436">
        <v>1</v>
      </c>
      <c r="B12" s="30" t="s">
        <v>69</v>
      </c>
      <c r="C12" s="31">
        <v>1423.8</v>
      </c>
      <c r="D12" s="32">
        <v>9685</v>
      </c>
      <c r="E12" s="32">
        <v>9685</v>
      </c>
      <c r="F12" s="32">
        <v>203.4</v>
      </c>
      <c r="G12" s="31">
        <v>7</v>
      </c>
      <c r="H12" s="33">
        <f t="shared" ref="H12:H21" si="0">(E12+F12)/D12</f>
        <v>1.0210015487867836</v>
      </c>
      <c r="I12" s="31">
        <v>1423.8</v>
      </c>
      <c r="J12" s="32">
        <v>203.4</v>
      </c>
      <c r="K12" s="34">
        <f t="shared" ref="K12:K21" si="1">J12/D12</f>
        <v>2.1001548786783685E-2</v>
      </c>
      <c r="L12" s="437">
        <f t="shared" ref="L12:L21" si="2">((E12+F12)-D12)-J12</f>
        <v>-3.694822225952521E-13</v>
      </c>
      <c r="M12" s="35">
        <f t="shared" ref="M12:M21" si="3">L12/D12</f>
        <v>-3.8149945544166451E-17</v>
      </c>
      <c r="N12" s="438">
        <f t="shared" ref="N12:N21" si="4">L12*G12</f>
        <v>-2.5863755581667647E-12</v>
      </c>
      <c r="O12" s="456" t="s">
        <v>142</v>
      </c>
      <c r="P12" s="456" t="s">
        <v>26</v>
      </c>
      <c r="Q12" s="456" t="s">
        <v>143</v>
      </c>
      <c r="R12" s="37" t="s">
        <v>59</v>
      </c>
    </row>
    <row r="13" spans="1:18" s="38" customFormat="1" ht="24.95" customHeight="1" x14ac:dyDescent="0.25">
      <c r="A13" s="439">
        <v>2</v>
      </c>
      <c r="B13" s="30" t="s">
        <v>61</v>
      </c>
      <c r="C13" s="31">
        <v>1244.94</v>
      </c>
      <c r="D13" s="32">
        <v>7707</v>
      </c>
      <c r="E13" s="32">
        <v>7707</v>
      </c>
      <c r="F13" s="32">
        <v>189.2</v>
      </c>
      <c r="G13" s="31">
        <v>6.58</v>
      </c>
      <c r="H13" s="33">
        <f t="shared" si="0"/>
        <v>1.0245491111976126</v>
      </c>
      <c r="I13" s="31">
        <v>1244.94</v>
      </c>
      <c r="J13" s="32">
        <v>189.2</v>
      </c>
      <c r="K13" s="34">
        <f t="shared" si="1"/>
        <v>2.454911119761256E-2</v>
      </c>
      <c r="L13" s="437">
        <f t="shared" si="2"/>
        <v>0</v>
      </c>
      <c r="M13" s="35">
        <f t="shared" si="3"/>
        <v>0</v>
      </c>
      <c r="N13" s="438">
        <f t="shared" si="4"/>
        <v>0</v>
      </c>
      <c r="O13" s="456" t="s">
        <v>142</v>
      </c>
      <c r="P13" s="456" t="s">
        <v>26</v>
      </c>
      <c r="Q13" s="456" t="s">
        <v>143</v>
      </c>
      <c r="R13" s="37" t="s">
        <v>59</v>
      </c>
    </row>
    <row r="14" spans="1:18" s="39" customFormat="1" ht="24.95" customHeight="1" x14ac:dyDescent="0.25">
      <c r="A14" s="439">
        <v>3</v>
      </c>
      <c r="B14" s="30" t="s">
        <v>610</v>
      </c>
      <c r="C14" s="31">
        <v>911.75</v>
      </c>
      <c r="D14" s="32">
        <v>26.55</v>
      </c>
      <c r="E14" s="32">
        <v>26.55</v>
      </c>
      <c r="F14" s="32">
        <v>2</v>
      </c>
      <c r="G14" s="31">
        <v>930.36</v>
      </c>
      <c r="H14" s="33">
        <f t="shared" si="0"/>
        <v>1.0753295668549905</v>
      </c>
      <c r="I14" s="31">
        <v>1860.72</v>
      </c>
      <c r="J14" s="32">
        <v>0.98</v>
      </c>
      <c r="K14" s="34">
        <f t="shared" si="1"/>
        <v>3.6911487758945385E-2</v>
      </c>
      <c r="L14" s="437">
        <f t="shared" si="2"/>
        <v>1.02</v>
      </c>
      <c r="M14" s="35">
        <f t="shared" si="3"/>
        <v>3.84180790960452E-2</v>
      </c>
      <c r="N14" s="438">
        <f t="shared" si="4"/>
        <v>948.96720000000005</v>
      </c>
      <c r="O14" s="456" t="s">
        <v>139</v>
      </c>
      <c r="P14" s="456" t="s">
        <v>25</v>
      </c>
      <c r="Q14" s="456" t="s">
        <v>144</v>
      </c>
      <c r="R14" s="37" t="s">
        <v>77</v>
      </c>
    </row>
    <row r="15" spans="1:18" s="38" customFormat="1" ht="24.95" customHeight="1" x14ac:dyDescent="0.25">
      <c r="A15" s="436">
        <v>4</v>
      </c>
      <c r="B15" s="30" t="s">
        <v>58</v>
      </c>
      <c r="C15" s="31">
        <v>870</v>
      </c>
      <c r="D15" s="32">
        <v>16035</v>
      </c>
      <c r="E15" s="32">
        <v>16035</v>
      </c>
      <c r="F15" s="32">
        <v>150</v>
      </c>
      <c r="G15" s="31">
        <v>5.8</v>
      </c>
      <c r="H15" s="33">
        <f t="shared" si="0"/>
        <v>1.0093545369504209</v>
      </c>
      <c r="I15" s="31">
        <v>870</v>
      </c>
      <c r="J15" s="32">
        <v>150</v>
      </c>
      <c r="K15" s="34">
        <f t="shared" si="1"/>
        <v>9.3545369504209538E-3</v>
      </c>
      <c r="L15" s="437">
        <f t="shared" si="2"/>
        <v>0</v>
      </c>
      <c r="M15" s="35">
        <f t="shared" si="3"/>
        <v>0</v>
      </c>
      <c r="N15" s="438">
        <f t="shared" si="4"/>
        <v>0</v>
      </c>
      <c r="O15" s="456" t="s">
        <v>139</v>
      </c>
      <c r="P15" s="456" t="s">
        <v>28</v>
      </c>
      <c r="Q15" s="456" t="s">
        <v>888</v>
      </c>
      <c r="R15" s="37" t="s">
        <v>59</v>
      </c>
    </row>
    <row r="16" spans="1:18" s="39" customFormat="1" ht="24.95" customHeight="1" x14ac:dyDescent="0.25">
      <c r="A16" s="439">
        <v>5</v>
      </c>
      <c r="B16" s="30" t="s">
        <v>531</v>
      </c>
      <c r="C16" s="31">
        <v>504.9</v>
      </c>
      <c r="D16" s="32">
        <v>115.61</v>
      </c>
      <c r="E16" s="32">
        <v>115.61</v>
      </c>
      <c r="F16" s="32">
        <v>5.43</v>
      </c>
      <c r="G16" s="31">
        <v>313.60000000000002</v>
      </c>
      <c r="H16" s="33">
        <f t="shared" si="0"/>
        <v>1.0469682553412334</v>
      </c>
      <c r="I16" s="31">
        <v>1702.85</v>
      </c>
      <c r="J16" s="32">
        <v>1.61</v>
      </c>
      <c r="K16" s="34">
        <f t="shared" si="1"/>
        <v>1.3926130957529627E-2</v>
      </c>
      <c r="L16" s="437">
        <f t="shared" si="2"/>
        <v>3.8199999999999923</v>
      </c>
      <c r="M16" s="35">
        <f t="shared" si="3"/>
        <v>3.3042124383703762E-2</v>
      </c>
      <c r="N16" s="438">
        <f t="shared" si="4"/>
        <v>1197.9519999999977</v>
      </c>
      <c r="O16" s="456" t="s">
        <v>142</v>
      </c>
      <c r="P16" s="456" t="s">
        <v>26</v>
      </c>
      <c r="Q16" s="456" t="s">
        <v>143</v>
      </c>
      <c r="R16" s="37" t="s">
        <v>59</v>
      </c>
    </row>
    <row r="17" spans="1:18" s="38" customFormat="1" ht="24.95" customHeight="1" x14ac:dyDescent="0.25">
      <c r="A17" s="436">
        <v>6</v>
      </c>
      <c r="B17" s="30" t="s">
        <v>253</v>
      </c>
      <c r="C17" s="31">
        <v>413.78</v>
      </c>
      <c r="D17" s="32">
        <v>331.95</v>
      </c>
      <c r="E17" s="32">
        <v>331.95</v>
      </c>
      <c r="F17" s="32">
        <v>9.36</v>
      </c>
      <c r="G17" s="31">
        <v>95.34</v>
      </c>
      <c r="H17" s="33">
        <f t="shared" si="0"/>
        <v>1.0281970176231361</v>
      </c>
      <c r="I17" s="31">
        <v>892.38</v>
      </c>
      <c r="J17" s="32">
        <v>4.34</v>
      </c>
      <c r="K17" s="34">
        <f t="shared" si="1"/>
        <v>1.3074258171411357E-2</v>
      </c>
      <c r="L17" s="437">
        <f t="shared" si="2"/>
        <v>5.0200000000000138</v>
      </c>
      <c r="M17" s="35">
        <f t="shared" si="3"/>
        <v>1.5122759451724699E-2</v>
      </c>
      <c r="N17" s="438">
        <f t="shared" si="4"/>
        <v>478.60680000000133</v>
      </c>
      <c r="O17" s="456" t="s">
        <v>139</v>
      </c>
      <c r="P17" s="456" t="s">
        <v>25</v>
      </c>
      <c r="Q17" s="456" t="s">
        <v>144</v>
      </c>
      <c r="R17" s="37" t="s">
        <v>59</v>
      </c>
    </row>
    <row r="18" spans="1:18" s="39" customFormat="1" ht="24.95" customHeight="1" x14ac:dyDescent="0.25">
      <c r="A18" s="439">
        <v>7</v>
      </c>
      <c r="B18" s="30" t="s">
        <v>254</v>
      </c>
      <c r="C18" s="31">
        <v>200.38</v>
      </c>
      <c r="D18" s="32">
        <v>109.33</v>
      </c>
      <c r="E18" s="32">
        <v>109.33</v>
      </c>
      <c r="F18" s="32">
        <v>3.6</v>
      </c>
      <c r="G18" s="31">
        <v>110.1</v>
      </c>
      <c r="H18" s="33">
        <f t="shared" si="0"/>
        <v>1.0329278331656453</v>
      </c>
      <c r="I18" s="31">
        <v>396.36</v>
      </c>
      <c r="J18" s="32">
        <v>1.82</v>
      </c>
      <c r="K18" s="34">
        <f t="shared" si="1"/>
        <v>1.6646848989298454E-2</v>
      </c>
      <c r="L18" s="437">
        <f t="shared" si="2"/>
        <v>1.7799999999999943</v>
      </c>
      <c r="M18" s="35">
        <f t="shared" si="3"/>
        <v>1.6280984176346786E-2</v>
      </c>
      <c r="N18" s="438">
        <f t="shared" si="4"/>
        <v>195.97799999999935</v>
      </c>
      <c r="O18" s="456" t="s">
        <v>139</v>
      </c>
      <c r="P18" s="456" t="s">
        <v>25</v>
      </c>
      <c r="Q18" s="458" t="s">
        <v>134</v>
      </c>
      <c r="R18" s="37" t="s">
        <v>59</v>
      </c>
    </row>
    <row r="19" spans="1:18" s="38" customFormat="1" ht="24.95" customHeight="1" x14ac:dyDescent="0.25">
      <c r="A19" s="436">
        <v>8</v>
      </c>
      <c r="B19" s="30" t="s">
        <v>166</v>
      </c>
      <c r="C19" s="31">
        <v>184.62</v>
      </c>
      <c r="D19" s="32">
        <v>6012</v>
      </c>
      <c r="E19" s="32">
        <v>6012</v>
      </c>
      <c r="F19" s="32">
        <v>41.96</v>
      </c>
      <c r="G19" s="31">
        <v>4.4000000000000004</v>
      </c>
      <c r="H19" s="33">
        <f t="shared" si="0"/>
        <v>1.0069793745841651</v>
      </c>
      <c r="I19" s="31">
        <v>184.62</v>
      </c>
      <c r="J19" s="32">
        <v>41.96</v>
      </c>
      <c r="K19" s="34">
        <f t="shared" si="1"/>
        <v>6.9793745841650037E-3</v>
      </c>
      <c r="L19" s="437">
        <f t="shared" si="2"/>
        <v>0</v>
      </c>
      <c r="M19" s="35">
        <f t="shared" si="3"/>
        <v>0</v>
      </c>
      <c r="N19" s="438">
        <f t="shared" si="4"/>
        <v>0</v>
      </c>
      <c r="O19" s="456" t="s">
        <v>139</v>
      </c>
      <c r="P19" s="456" t="s">
        <v>28</v>
      </c>
      <c r="Q19" s="456" t="s">
        <v>889</v>
      </c>
      <c r="R19" s="37" t="s">
        <v>59</v>
      </c>
    </row>
    <row r="20" spans="1:18" s="38" customFormat="1" ht="24.95" customHeight="1" x14ac:dyDescent="0.25">
      <c r="A20" s="439">
        <v>9</v>
      </c>
      <c r="B20" s="30" t="s">
        <v>445</v>
      </c>
      <c r="C20" s="31">
        <v>175.43</v>
      </c>
      <c r="D20" s="32">
        <v>35.619999999999997</v>
      </c>
      <c r="E20" s="32">
        <v>35.619999999999997</v>
      </c>
      <c r="F20" s="32">
        <v>3.09</v>
      </c>
      <c r="G20" s="31">
        <v>113.18</v>
      </c>
      <c r="H20" s="33">
        <f t="shared" si="0"/>
        <v>1.0867490174059515</v>
      </c>
      <c r="I20" s="31">
        <v>349.73</v>
      </c>
      <c r="J20" s="32">
        <v>1.55</v>
      </c>
      <c r="K20" s="34">
        <f t="shared" si="1"/>
        <v>4.351487928130264E-2</v>
      </c>
      <c r="L20" s="437">
        <f t="shared" si="2"/>
        <v>1.5399999999999963</v>
      </c>
      <c r="M20" s="35">
        <f t="shared" si="3"/>
        <v>4.323413812464897E-2</v>
      </c>
      <c r="N20" s="438">
        <f t="shared" si="4"/>
        <v>174.29719999999958</v>
      </c>
      <c r="O20" s="456" t="s">
        <v>139</v>
      </c>
      <c r="P20" s="456" t="s">
        <v>25</v>
      </c>
      <c r="Q20" s="456" t="s">
        <v>141</v>
      </c>
      <c r="R20" s="37" t="s">
        <v>444</v>
      </c>
    </row>
    <row r="21" spans="1:18" s="38" customFormat="1" ht="24.95" customHeight="1" thickBot="1" x14ac:dyDescent="0.3">
      <c r="A21" s="440">
        <v>10</v>
      </c>
      <c r="B21" s="40" t="s">
        <v>616</v>
      </c>
      <c r="C21" s="41">
        <v>147.79</v>
      </c>
      <c r="D21" s="42">
        <v>36.08</v>
      </c>
      <c r="E21" s="42">
        <v>36.08</v>
      </c>
      <c r="F21" s="42">
        <v>1.53</v>
      </c>
      <c r="G21" s="41">
        <v>268.70999999999998</v>
      </c>
      <c r="H21" s="43">
        <f t="shared" si="0"/>
        <v>1.0424057649667406</v>
      </c>
      <c r="I21" s="41">
        <v>411.13</v>
      </c>
      <c r="J21" s="42">
        <v>0.55000000000000004</v>
      </c>
      <c r="K21" s="44">
        <f t="shared" si="1"/>
        <v>1.5243902439024392E-2</v>
      </c>
      <c r="L21" s="441">
        <f t="shared" si="2"/>
        <v>0.98000000000000109</v>
      </c>
      <c r="M21" s="45">
        <f t="shared" si="3"/>
        <v>2.7161862527716216E-2</v>
      </c>
      <c r="N21" s="442">
        <f t="shared" si="4"/>
        <v>263.33580000000029</v>
      </c>
      <c r="O21" s="457" t="s">
        <v>139</v>
      </c>
      <c r="P21" s="457" t="s">
        <v>25</v>
      </c>
      <c r="Q21" s="457" t="s">
        <v>144</v>
      </c>
      <c r="R21" s="47" t="s">
        <v>617</v>
      </c>
    </row>
    <row r="22" spans="1:18" s="53" customFormat="1" ht="24.95" customHeight="1" thickBot="1" x14ac:dyDescent="0.3">
      <c r="A22" s="443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444"/>
      <c r="M22" s="51"/>
      <c r="N22" s="445"/>
      <c r="O22" s="52"/>
      <c r="P22" s="52"/>
      <c r="Q22" s="52"/>
      <c r="R22" s="48"/>
    </row>
    <row r="23" spans="1:18" s="53" customFormat="1" ht="40.5" customHeight="1" x14ac:dyDescent="0.25">
      <c r="A23" s="616" t="s">
        <v>851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827</v>
      </c>
      <c r="B24" s="620"/>
      <c r="C24" s="620"/>
      <c r="D24" s="620" t="s">
        <v>828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829</v>
      </c>
      <c r="P24" s="630" t="s">
        <v>830</v>
      </c>
      <c r="Q24" s="629" t="s">
        <v>831</v>
      </c>
      <c r="R24" s="841" t="s">
        <v>832</v>
      </c>
    </row>
    <row r="25" spans="1:18" s="53" customFormat="1" ht="24.95" customHeight="1" x14ac:dyDescent="0.25">
      <c r="A25" s="842" t="s">
        <v>833</v>
      </c>
      <c r="B25" s="634" t="s">
        <v>834</v>
      </c>
      <c r="C25" s="635"/>
      <c r="D25" s="636" t="s">
        <v>835</v>
      </c>
      <c r="E25" s="636"/>
      <c r="F25" s="636"/>
      <c r="G25" s="636"/>
      <c r="H25" s="636"/>
      <c r="I25" s="636"/>
      <c r="J25" s="637" t="s">
        <v>836</v>
      </c>
      <c r="K25" s="637"/>
      <c r="L25" s="637"/>
      <c r="M25" s="638"/>
      <c r="N25" s="638"/>
      <c r="O25" s="629"/>
      <c r="P25" s="629"/>
      <c r="Q25" s="629"/>
      <c r="R25" s="841"/>
    </row>
    <row r="26" spans="1:18" s="53" customFormat="1" ht="24.95" customHeight="1" x14ac:dyDescent="0.3">
      <c r="A26" s="843"/>
      <c r="B26" s="845" t="s">
        <v>837</v>
      </c>
      <c r="C26" s="847" t="s">
        <v>852</v>
      </c>
      <c r="D26" s="849" t="s">
        <v>839</v>
      </c>
      <c r="E26" s="849"/>
      <c r="F26" s="849"/>
      <c r="G26" s="849"/>
      <c r="H26" s="849"/>
      <c r="I26" s="849"/>
      <c r="J26" s="850" t="s">
        <v>840</v>
      </c>
      <c r="K26" s="851"/>
      <c r="L26" s="852"/>
      <c r="M26" s="850" t="s">
        <v>841</v>
      </c>
      <c r="N26" s="852"/>
      <c r="O26" s="629"/>
      <c r="P26" s="629"/>
      <c r="Q26" s="629"/>
      <c r="R26" s="841"/>
    </row>
    <row r="27" spans="1:18" s="53" customFormat="1" ht="50.1" customHeight="1" x14ac:dyDescent="0.25">
      <c r="A27" s="844"/>
      <c r="B27" s="846"/>
      <c r="C27" s="848"/>
      <c r="D27" s="433" t="s">
        <v>842</v>
      </c>
      <c r="E27" s="433" t="s">
        <v>843</v>
      </c>
      <c r="F27" s="433" t="s">
        <v>844</v>
      </c>
      <c r="G27" s="433" t="s">
        <v>845</v>
      </c>
      <c r="H27" s="433" t="s">
        <v>846</v>
      </c>
      <c r="I27" s="433" t="s">
        <v>847</v>
      </c>
      <c r="J27" s="434" t="s">
        <v>848</v>
      </c>
      <c r="K27" s="434" t="s">
        <v>849</v>
      </c>
      <c r="L27" s="435" t="s">
        <v>850</v>
      </c>
      <c r="M27" s="434" t="s">
        <v>848</v>
      </c>
      <c r="N27" s="434" t="s">
        <v>849</v>
      </c>
      <c r="O27" s="629"/>
      <c r="P27" s="629"/>
      <c r="Q27" s="629"/>
      <c r="R27" s="841"/>
    </row>
    <row r="28" spans="1:18" s="53" customFormat="1" ht="24.95" customHeight="1" x14ac:dyDescent="0.25">
      <c r="A28" s="436">
        <v>1</v>
      </c>
      <c r="B28" s="30" t="s">
        <v>714</v>
      </c>
      <c r="C28" s="31">
        <v>13984.89</v>
      </c>
      <c r="D28" s="32">
        <v>127.16</v>
      </c>
      <c r="E28" s="32">
        <v>177.33</v>
      </c>
      <c r="F28" s="32">
        <v>0</v>
      </c>
      <c r="G28" s="31">
        <v>278.75</v>
      </c>
      <c r="H28" s="54">
        <f t="shared" ref="H28:H37" si="5">(E28+F28)/D28</f>
        <v>1.3945423089021707</v>
      </c>
      <c r="I28" s="31">
        <v>13984.89</v>
      </c>
      <c r="J28" s="32">
        <v>0</v>
      </c>
      <c r="K28" s="34">
        <f t="shared" ref="K28:K37" si="6">J28/D28</f>
        <v>0</v>
      </c>
      <c r="L28" s="438">
        <f t="shared" ref="L28:L37" si="7">J28*G28</f>
        <v>0</v>
      </c>
      <c r="M28" s="437">
        <f t="shared" ref="M28:M37" si="8">((E28+F28)-D28)-J28</f>
        <v>50.170000000000016</v>
      </c>
      <c r="N28" s="35">
        <f t="shared" ref="N28:N37" si="9">M28/D28</f>
        <v>0.39454230890217062</v>
      </c>
      <c r="O28" s="451" t="s">
        <v>142</v>
      </c>
      <c r="P28" s="458" t="s">
        <v>26</v>
      </c>
      <c r="Q28" s="458" t="s">
        <v>892</v>
      </c>
      <c r="R28" s="37" t="s">
        <v>59</v>
      </c>
    </row>
    <row r="29" spans="1:18" s="53" customFormat="1" ht="24.75" customHeight="1" x14ac:dyDescent="0.25">
      <c r="A29" s="439">
        <v>2</v>
      </c>
      <c r="B29" s="30" t="s">
        <v>80</v>
      </c>
      <c r="C29" s="31">
        <v>2159.7400000000002</v>
      </c>
      <c r="D29" s="32">
        <v>348</v>
      </c>
      <c r="E29" s="32">
        <v>348</v>
      </c>
      <c r="F29" s="32">
        <v>14.72</v>
      </c>
      <c r="G29" s="31">
        <v>156.72999999999999</v>
      </c>
      <c r="H29" s="54">
        <f t="shared" si="5"/>
        <v>1.0422988505747128</v>
      </c>
      <c r="I29" s="31">
        <v>2307.0700000000002</v>
      </c>
      <c r="J29" s="32">
        <v>0.94</v>
      </c>
      <c r="K29" s="34">
        <f t="shared" si="6"/>
        <v>2.701149425287356E-3</v>
      </c>
      <c r="L29" s="438">
        <f t="shared" si="7"/>
        <v>147.32619999999997</v>
      </c>
      <c r="M29" s="437">
        <f t="shared" si="8"/>
        <v>13.780000000000028</v>
      </c>
      <c r="N29" s="35">
        <f t="shared" si="9"/>
        <v>3.9597701149425367E-2</v>
      </c>
      <c r="O29" s="451" t="s">
        <v>133</v>
      </c>
      <c r="P29" s="458" t="s">
        <v>25</v>
      </c>
      <c r="Q29" s="458" t="s">
        <v>136</v>
      </c>
      <c r="R29" s="37" t="s">
        <v>59</v>
      </c>
    </row>
    <row r="30" spans="1:18" s="53" customFormat="1" ht="24.95" customHeight="1" x14ac:dyDescent="0.25">
      <c r="A30" s="439">
        <v>3</v>
      </c>
      <c r="B30" s="30" t="s">
        <v>74</v>
      </c>
      <c r="C30" s="31">
        <v>1903.77</v>
      </c>
      <c r="D30" s="32">
        <v>362.08</v>
      </c>
      <c r="E30" s="32">
        <v>362.08</v>
      </c>
      <c r="F30" s="32">
        <v>15.32</v>
      </c>
      <c r="G30" s="31">
        <v>133.88</v>
      </c>
      <c r="H30" s="54">
        <f t="shared" si="5"/>
        <v>1.0423110914714979</v>
      </c>
      <c r="I30" s="31">
        <v>2051.04</v>
      </c>
      <c r="J30" s="57">
        <v>1.1000000000000001</v>
      </c>
      <c r="K30" s="34">
        <f t="shared" si="6"/>
        <v>3.0380026513477688E-3</v>
      </c>
      <c r="L30" s="438">
        <f t="shared" si="7"/>
        <v>147.268</v>
      </c>
      <c r="M30" s="437">
        <f t="shared" si="8"/>
        <v>14.219999999999994</v>
      </c>
      <c r="N30" s="35">
        <f t="shared" si="9"/>
        <v>3.927308882015023E-2</v>
      </c>
      <c r="O30" s="451" t="s">
        <v>133</v>
      </c>
      <c r="P30" s="458" t="s">
        <v>25</v>
      </c>
      <c r="Q30" s="458" t="s">
        <v>134</v>
      </c>
      <c r="R30" s="37" t="s">
        <v>75</v>
      </c>
    </row>
    <row r="31" spans="1:18" s="53" customFormat="1" ht="24.95" customHeight="1" x14ac:dyDescent="0.25">
      <c r="A31" s="436">
        <v>4</v>
      </c>
      <c r="B31" s="30" t="s">
        <v>68</v>
      </c>
      <c r="C31" s="31">
        <v>1399.68</v>
      </c>
      <c r="D31" s="32">
        <v>233.22</v>
      </c>
      <c r="E31" s="32">
        <v>233.22</v>
      </c>
      <c r="F31" s="32">
        <v>9.8699999999999992</v>
      </c>
      <c r="G31" s="31">
        <v>156.74</v>
      </c>
      <c r="H31" s="54">
        <f t="shared" si="5"/>
        <v>1.042320555698482</v>
      </c>
      <c r="I31" s="31">
        <v>1547.02</v>
      </c>
      <c r="J31" s="32">
        <v>0.94</v>
      </c>
      <c r="K31" s="34">
        <f t="shared" si="6"/>
        <v>4.0305291141411537E-3</v>
      </c>
      <c r="L31" s="438">
        <f t="shared" si="7"/>
        <v>147.3356</v>
      </c>
      <c r="M31" s="437">
        <f t="shared" si="8"/>
        <v>8.930000000000005</v>
      </c>
      <c r="N31" s="35">
        <f t="shared" si="9"/>
        <v>3.829002658434099E-2</v>
      </c>
      <c r="O31" s="451" t="s">
        <v>133</v>
      </c>
      <c r="P31" s="458" t="s">
        <v>25</v>
      </c>
      <c r="Q31" s="458" t="s">
        <v>136</v>
      </c>
      <c r="R31" s="37" t="s">
        <v>59</v>
      </c>
    </row>
    <row r="32" spans="1:18" s="53" customFormat="1" ht="24.95" customHeight="1" x14ac:dyDescent="0.25">
      <c r="A32" s="439">
        <v>5</v>
      </c>
      <c r="B32" s="30" t="s">
        <v>87</v>
      </c>
      <c r="C32" s="31">
        <v>1362.16</v>
      </c>
      <c r="D32" s="32">
        <v>236.58</v>
      </c>
      <c r="E32" s="32">
        <v>236.58</v>
      </c>
      <c r="F32" s="32">
        <v>7.78</v>
      </c>
      <c r="G32" s="31">
        <v>194.04</v>
      </c>
      <c r="H32" s="54">
        <f t="shared" si="5"/>
        <v>1.0328852819342293</v>
      </c>
      <c r="I32" s="31">
        <v>1509.63</v>
      </c>
      <c r="J32" s="32">
        <v>0.76</v>
      </c>
      <c r="K32" s="34">
        <f t="shared" si="6"/>
        <v>3.2124439935751117E-3</v>
      </c>
      <c r="L32" s="438">
        <f t="shared" si="7"/>
        <v>147.47039999999998</v>
      </c>
      <c r="M32" s="437">
        <f t="shared" si="8"/>
        <v>7.0200000000000014</v>
      </c>
      <c r="N32" s="35">
        <f t="shared" si="9"/>
        <v>2.9672837940654329E-2</v>
      </c>
      <c r="O32" s="451" t="s">
        <v>133</v>
      </c>
      <c r="P32" s="458" t="s">
        <v>25</v>
      </c>
      <c r="Q32" s="458" t="s">
        <v>135</v>
      </c>
      <c r="R32" s="37" t="s">
        <v>88</v>
      </c>
    </row>
    <row r="33" spans="1:18" s="53" customFormat="1" ht="24.95" customHeight="1" x14ac:dyDescent="0.25">
      <c r="A33" s="436">
        <v>6</v>
      </c>
      <c r="B33" s="30" t="s">
        <v>651</v>
      </c>
      <c r="C33" s="31">
        <v>1344.61</v>
      </c>
      <c r="D33" s="32">
        <v>75.959999999999994</v>
      </c>
      <c r="E33" s="32">
        <v>75.959999999999994</v>
      </c>
      <c r="F33" s="32">
        <v>3.57</v>
      </c>
      <c r="G33" s="31">
        <v>417.58</v>
      </c>
      <c r="H33" s="54">
        <f t="shared" si="5"/>
        <v>1.0469984202211688</v>
      </c>
      <c r="I33" s="31">
        <v>1490.76</v>
      </c>
      <c r="J33" s="32">
        <v>0.35</v>
      </c>
      <c r="K33" s="34">
        <f t="shared" si="6"/>
        <v>4.6076882569773565E-3</v>
      </c>
      <c r="L33" s="438">
        <f t="shared" si="7"/>
        <v>146.15299999999999</v>
      </c>
      <c r="M33" s="437">
        <f t="shared" si="8"/>
        <v>3.2199999999999931</v>
      </c>
      <c r="N33" s="35">
        <f t="shared" si="9"/>
        <v>4.2390731964191596E-2</v>
      </c>
      <c r="O33" s="451" t="s">
        <v>133</v>
      </c>
      <c r="P33" s="458" t="s">
        <v>25</v>
      </c>
      <c r="Q33" s="458" t="s">
        <v>134</v>
      </c>
      <c r="R33" s="37" t="s">
        <v>656</v>
      </c>
    </row>
    <row r="34" spans="1:18" s="53" customFormat="1" ht="24.95" customHeight="1" x14ac:dyDescent="0.25">
      <c r="A34" s="439">
        <v>7</v>
      </c>
      <c r="B34" s="30" t="s">
        <v>70</v>
      </c>
      <c r="C34" s="31">
        <v>1318.94</v>
      </c>
      <c r="D34" s="32">
        <v>38.21</v>
      </c>
      <c r="E34" s="32">
        <v>38.21</v>
      </c>
      <c r="F34" s="32">
        <v>1.8</v>
      </c>
      <c r="G34" s="31">
        <v>814.16</v>
      </c>
      <c r="H34" s="54">
        <f t="shared" si="5"/>
        <v>1.047108086888249</v>
      </c>
      <c r="I34" s="31">
        <v>1465.49</v>
      </c>
      <c r="J34" s="32">
        <v>0.18</v>
      </c>
      <c r="K34" s="34">
        <f t="shared" si="6"/>
        <v>4.710808688824915E-3</v>
      </c>
      <c r="L34" s="438">
        <f t="shared" si="7"/>
        <v>146.5488</v>
      </c>
      <c r="M34" s="437">
        <f t="shared" si="8"/>
        <v>1.6199999999999972</v>
      </c>
      <c r="N34" s="35">
        <f t="shared" si="9"/>
        <v>4.2397278199424161E-2</v>
      </c>
      <c r="O34" s="451" t="s">
        <v>133</v>
      </c>
      <c r="P34" s="458" t="s">
        <v>27</v>
      </c>
      <c r="Q34" s="458" t="s">
        <v>659</v>
      </c>
      <c r="R34" s="37" t="s">
        <v>71</v>
      </c>
    </row>
    <row r="35" spans="1:18" s="53" customFormat="1" ht="24.95" customHeight="1" x14ac:dyDescent="0.25">
      <c r="A35" s="436">
        <v>8</v>
      </c>
      <c r="B35" s="30" t="s">
        <v>531</v>
      </c>
      <c r="C35" s="31">
        <v>1197.9499999999998</v>
      </c>
      <c r="D35" s="32">
        <v>115.61</v>
      </c>
      <c r="E35" s="32">
        <v>115.61</v>
      </c>
      <c r="F35" s="32">
        <v>5.43</v>
      </c>
      <c r="G35" s="31">
        <v>313.60000000000002</v>
      </c>
      <c r="H35" s="54">
        <f t="shared" si="5"/>
        <v>1.0469682553412334</v>
      </c>
      <c r="I35" s="31">
        <v>1702.85</v>
      </c>
      <c r="J35" s="32">
        <v>1.61</v>
      </c>
      <c r="K35" s="34">
        <f t="shared" si="6"/>
        <v>1.3926130957529627E-2</v>
      </c>
      <c r="L35" s="438">
        <f t="shared" si="7"/>
        <v>504.89600000000007</v>
      </c>
      <c r="M35" s="437">
        <f t="shared" si="8"/>
        <v>3.8199999999999923</v>
      </c>
      <c r="N35" s="35">
        <f t="shared" si="9"/>
        <v>3.3042124383703762E-2</v>
      </c>
      <c r="O35" s="451" t="s">
        <v>133</v>
      </c>
      <c r="P35" s="458" t="s">
        <v>25</v>
      </c>
      <c r="Q35" s="458" t="s">
        <v>136</v>
      </c>
      <c r="R35" s="37" t="s">
        <v>59</v>
      </c>
    </row>
    <row r="36" spans="1:18" s="53" customFormat="1" ht="24.95" customHeight="1" x14ac:dyDescent="0.25">
      <c r="A36" s="439">
        <v>9</v>
      </c>
      <c r="B36" s="30" t="s">
        <v>183</v>
      </c>
      <c r="C36" s="31">
        <v>1078.72</v>
      </c>
      <c r="D36" s="32">
        <v>106.24</v>
      </c>
      <c r="E36" s="32">
        <v>106.24</v>
      </c>
      <c r="F36" s="32">
        <v>2.99</v>
      </c>
      <c r="G36" s="31">
        <v>410.16</v>
      </c>
      <c r="H36" s="54">
        <f t="shared" si="5"/>
        <v>1.0281438253012047</v>
      </c>
      <c r="I36" s="31">
        <v>1226.3800000000001</v>
      </c>
      <c r="J36" s="32">
        <v>0.36</v>
      </c>
      <c r="K36" s="34">
        <f t="shared" si="6"/>
        <v>3.3885542168674699E-3</v>
      </c>
      <c r="L36" s="438">
        <f t="shared" si="7"/>
        <v>147.6576</v>
      </c>
      <c r="M36" s="437">
        <f t="shared" si="8"/>
        <v>2.629999999999995</v>
      </c>
      <c r="N36" s="35">
        <f t="shared" si="9"/>
        <v>2.4755271084337303E-2</v>
      </c>
      <c r="O36" s="451" t="s">
        <v>133</v>
      </c>
      <c r="P36" s="458" t="s">
        <v>25</v>
      </c>
      <c r="Q36" s="458" t="s">
        <v>134</v>
      </c>
      <c r="R36" s="37" t="s">
        <v>59</v>
      </c>
    </row>
    <row r="37" spans="1:18" s="53" customFormat="1" ht="24.95" customHeight="1" thickBot="1" x14ac:dyDescent="0.3">
      <c r="A37" s="440">
        <v>10</v>
      </c>
      <c r="B37" s="40" t="s">
        <v>92</v>
      </c>
      <c r="C37" s="41">
        <v>1060.24</v>
      </c>
      <c r="D37" s="42">
        <v>126.23</v>
      </c>
      <c r="E37" s="42">
        <v>126.23</v>
      </c>
      <c r="F37" s="42">
        <v>5.93</v>
      </c>
      <c r="G37" s="41">
        <v>203.5</v>
      </c>
      <c r="H37" s="58">
        <f t="shared" si="5"/>
        <v>1.0469777390477699</v>
      </c>
      <c r="I37" s="41">
        <v>1206.76</v>
      </c>
      <c r="J37" s="42">
        <v>0.72</v>
      </c>
      <c r="K37" s="44">
        <f t="shared" si="6"/>
        <v>5.7038738810108527E-3</v>
      </c>
      <c r="L37" s="442">
        <f t="shared" si="7"/>
        <v>146.51999999999998</v>
      </c>
      <c r="M37" s="441">
        <f t="shared" si="8"/>
        <v>5.2099999999999929</v>
      </c>
      <c r="N37" s="45">
        <f t="shared" si="9"/>
        <v>4.127386516675903E-2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94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838" t="s">
        <v>853</v>
      </c>
      <c r="B41" s="623" t="s">
        <v>834</v>
      </c>
      <c r="C41" s="623"/>
      <c r="D41" s="624"/>
      <c r="E41" s="62"/>
      <c r="G41" s="64"/>
      <c r="H41" s="65"/>
    </row>
    <row r="42" spans="1:18" ht="20.45" customHeight="1" x14ac:dyDescent="0.35">
      <c r="A42" s="838"/>
      <c r="B42" s="839" t="s">
        <v>854</v>
      </c>
      <c r="C42" s="840" t="s">
        <v>321</v>
      </c>
      <c r="D42" s="841" t="s">
        <v>855</v>
      </c>
      <c r="E42" s="62"/>
      <c r="G42" s="64"/>
      <c r="H42" s="65"/>
    </row>
    <row r="43" spans="1:18" ht="20.45" customHeight="1" x14ac:dyDescent="0.35">
      <c r="A43" s="838"/>
      <c r="B43" s="839"/>
      <c r="C43" s="840"/>
      <c r="D43" s="841"/>
      <c r="E43" s="62"/>
      <c r="G43" s="64"/>
      <c r="H43" s="65"/>
    </row>
    <row r="44" spans="1:18" s="68" customFormat="1" ht="24.95" customHeight="1" x14ac:dyDescent="0.35">
      <c r="A44" s="446">
        <v>1</v>
      </c>
      <c r="B44" s="30" t="s">
        <v>69</v>
      </c>
      <c r="C44" s="31">
        <v>1423.8</v>
      </c>
      <c r="D44" s="66">
        <f t="shared" ref="D44:D53" si="10">C44/$L$5</f>
        <v>0.20633466851389182</v>
      </c>
      <c r="E44" s="67"/>
      <c r="G44" s="64"/>
      <c r="H44" s="65"/>
    </row>
    <row r="45" spans="1:18" s="68" customFormat="1" ht="24.95" customHeight="1" x14ac:dyDescent="0.35">
      <c r="A45" s="447">
        <v>2</v>
      </c>
      <c r="B45" s="30" t="s">
        <v>61</v>
      </c>
      <c r="C45" s="31">
        <v>1244.94</v>
      </c>
      <c r="D45" s="66">
        <f t="shared" si="10"/>
        <v>0.18041458225852261</v>
      </c>
      <c r="E45" s="67"/>
      <c r="G45" s="64"/>
      <c r="H45" s="65"/>
    </row>
    <row r="46" spans="1:18" s="68" customFormat="1" ht="24.95" customHeight="1" x14ac:dyDescent="0.35">
      <c r="A46" s="447">
        <v>3</v>
      </c>
      <c r="B46" s="30" t="s">
        <v>58</v>
      </c>
      <c r="C46" s="31">
        <v>870</v>
      </c>
      <c r="D46" s="66">
        <f t="shared" si="10"/>
        <v>0.12607891670676069</v>
      </c>
      <c r="E46" s="67"/>
      <c r="G46" s="64"/>
      <c r="H46" s="65"/>
    </row>
    <row r="47" spans="1:18" s="68" customFormat="1" ht="24.95" customHeight="1" x14ac:dyDescent="0.35">
      <c r="A47" s="446">
        <v>4</v>
      </c>
      <c r="B47" s="30" t="s">
        <v>531</v>
      </c>
      <c r="C47" s="31">
        <v>504.9</v>
      </c>
      <c r="D47" s="66">
        <f t="shared" si="10"/>
        <v>7.3169247178440783E-2</v>
      </c>
      <c r="E47" s="67"/>
      <c r="G47" s="64"/>
      <c r="H47" s="65"/>
    </row>
    <row r="48" spans="1:18" s="68" customFormat="1" ht="24.95" customHeight="1" x14ac:dyDescent="0.35">
      <c r="A48" s="447">
        <v>5</v>
      </c>
      <c r="B48" s="30" t="s">
        <v>253</v>
      </c>
      <c r="C48" s="31">
        <v>413.78</v>
      </c>
      <c r="D48" s="66">
        <f t="shared" si="10"/>
        <v>5.9964292132095906E-2</v>
      </c>
      <c r="E48" s="67"/>
      <c r="G48" s="64"/>
      <c r="H48" s="65"/>
    </row>
    <row r="49" spans="1:5" s="68" customFormat="1" ht="24.95" customHeight="1" x14ac:dyDescent="0.25">
      <c r="A49" s="446">
        <v>6</v>
      </c>
      <c r="B49" s="30" t="s">
        <v>254</v>
      </c>
      <c r="C49" s="31">
        <v>200.38</v>
      </c>
      <c r="D49" s="66">
        <f t="shared" si="10"/>
        <v>2.903872796517323E-2</v>
      </c>
      <c r="E49" s="67"/>
    </row>
    <row r="50" spans="1:5" s="68" customFormat="1" ht="24.95" customHeight="1" x14ac:dyDescent="0.25">
      <c r="A50" s="447">
        <v>7</v>
      </c>
      <c r="B50" s="30" t="s">
        <v>166</v>
      </c>
      <c r="C50" s="31">
        <v>184.62</v>
      </c>
      <c r="D50" s="66">
        <f t="shared" si="10"/>
        <v>2.6754815634945014E-2</v>
      </c>
      <c r="E50" s="67"/>
    </row>
    <row r="51" spans="1:5" s="68" customFormat="1" ht="24.95" customHeight="1" x14ac:dyDescent="0.25">
      <c r="A51" s="446">
        <v>8</v>
      </c>
      <c r="B51" s="30" t="s">
        <v>618</v>
      </c>
      <c r="C51" s="31">
        <v>147.77000000000001</v>
      </c>
      <c r="D51" s="66">
        <f t="shared" si="10"/>
        <v>2.1414576461790839E-2</v>
      </c>
      <c r="E51" s="67"/>
    </row>
    <row r="52" spans="1:5" s="68" customFormat="1" ht="24.95" customHeight="1" x14ac:dyDescent="0.25">
      <c r="A52" s="447">
        <v>9</v>
      </c>
      <c r="B52" s="30" t="s">
        <v>65</v>
      </c>
      <c r="C52" s="31">
        <v>147.66</v>
      </c>
      <c r="D52" s="66">
        <f t="shared" si="10"/>
        <v>2.139863544933366E-2</v>
      </c>
      <c r="E52" s="67"/>
    </row>
    <row r="53" spans="1:5" s="68" customFormat="1" ht="24.95" customHeight="1" thickBot="1" x14ac:dyDescent="0.3">
      <c r="A53" s="448">
        <v>10</v>
      </c>
      <c r="B53" s="40" t="s">
        <v>183</v>
      </c>
      <c r="C53" s="41">
        <v>147.66</v>
      </c>
      <c r="D53" s="69">
        <f t="shared" si="10"/>
        <v>2.139863544933366E-2</v>
      </c>
      <c r="E53" s="67"/>
    </row>
    <row r="54" spans="1:5" x14ac:dyDescent="0.25">
      <c r="A54" s="614" t="s">
        <v>856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14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835" priority="33" operator="containsText" text="024">
      <formula>NOT(ISERROR(SEARCH("024",A12)))</formula>
    </cfRule>
    <cfRule type="containsText" dxfId="834" priority="34" operator="containsText" text="白醬">
      <formula>NOT(ISERROR(SEARCH("白醬",A12)))</formula>
    </cfRule>
    <cfRule type="containsText" dxfId="833" priority="35" operator="containsText" text="青蔥">
      <formula>NOT(ISERROR(SEARCH("青蔥",A12)))</formula>
    </cfRule>
    <cfRule type="containsText" dxfId="832" priority="36" operator="containsText" text=")川燙小青花菜">
      <formula>NOT(ISERROR(SEARCH(")川燙小青花菜",A12)))</formula>
    </cfRule>
    <cfRule type="containsText" dxfId="831" priority="37" operator="containsText" text="湯凍">
      <formula>NOT(ISERROR(SEARCH("湯凍",A12)))</formula>
    </cfRule>
    <cfRule type="containsText" dxfId="830" priority="38" operator="containsText" text="中華">
      <formula>NOT(ISERROR(SEARCH("中華",A12)))</formula>
    </cfRule>
  </conditionalFormatting>
  <conditionalFormatting sqref="A12:A22">
    <cfRule type="containsText" dxfId="829" priority="31" operator="containsText" text="綠豆芽">
      <formula>NOT(ISERROR(SEARCH("綠豆芽",A12)))</formula>
    </cfRule>
    <cfRule type="containsText" dxfId="828" priority="32" operator="containsText" text="煮白細麵生(方#12)">
      <formula>NOT(ISERROR(SEARCH("煮白細麵生(方#12)",A12)))</formula>
    </cfRule>
  </conditionalFormatting>
  <conditionalFormatting sqref="E5">
    <cfRule type="cellIs" dxfId="827" priority="16" operator="greaterThan">
      <formula>0.0025</formula>
    </cfRule>
    <cfRule type="cellIs" dxfId="826" priority="19" operator="greaterThan">
      <formula>0.0025</formula>
    </cfRule>
    <cfRule type="cellIs" dxfId="825" priority="29" operator="greaterThan">
      <formula>0.072</formula>
    </cfRule>
    <cfRule type="cellIs" dxfId="824" priority="30" operator="greaterThan">
      <formula>7.2</formula>
    </cfRule>
  </conditionalFormatting>
  <conditionalFormatting sqref="E5">
    <cfRule type="cellIs" dxfId="823" priority="28" operator="greaterThan">
      <formula>0.0025</formula>
    </cfRule>
  </conditionalFormatting>
  <conditionalFormatting sqref="A44:A53">
    <cfRule type="containsText" dxfId="822" priority="22" operator="containsText" text="024">
      <formula>NOT(ISERROR(SEARCH("024",A44)))</formula>
    </cfRule>
    <cfRule type="containsText" dxfId="821" priority="23" operator="containsText" text="白醬">
      <formula>NOT(ISERROR(SEARCH("白醬",A44)))</formula>
    </cfRule>
    <cfRule type="containsText" dxfId="820" priority="24" operator="containsText" text="青蔥">
      <formula>NOT(ISERROR(SEARCH("青蔥",A44)))</formula>
    </cfRule>
    <cfRule type="containsText" dxfId="819" priority="25" operator="containsText" text=")川燙小青花菜">
      <formula>NOT(ISERROR(SEARCH(")川燙小青花菜",A44)))</formula>
    </cfRule>
    <cfRule type="containsText" dxfId="818" priority="26" operator="containsText" text="湯凍">
      <formula>NOT(ISERROR(SEARCH("湯凍",A44)))</formula>
    </cfRule>
    <cfRule type="containsText" dxfId="817" priority="27" operator="containsText" text="中華">
      <formula>NOT(ISERROR(SEARCH("中華",A44)))</formula>
    </cfRule>
  </conditionalFormatting>
  <conditionalFormatting sqref="A44:A53">
    <cfRule type="containsText" dxfId="816" priority="20" operator="containsText" text="綠豆芽">
      <formula>NOT(ISERROR(SEARCH("綠豆芽",A44)))</formula>
    </cfRule>
    <cfRule type="containsText" dxfId="815" priority="21" operator="containsText" text="煮白細麵生(方#12)">
      <formula>NOT(ISERROR(SEARCH("煮白細麵生(方#12)",A44)))</formula>
    </cfRule>
  </conditionalFormatting>
  <conditionalFormatting sqref="D44:D53">
    <cfRule type="cellIs" dxfId="814" priority="18" operator="greaterThan">
      <formula>0.146</formula>
    </cfRule>
  </conditionalFormatting>
  <conditionalFormatting sqref="H12:H22">
    <cfRule type="cellIs" dxfId="813" priority="17" operator="greaterThan">
      <formula>1.1</formula>
    </cfRule>
  </conditionalFormatting>
  <conditionalFormatting sqref="I5">
    <cfRule type="cellIs" dxfId="812" priority="15" operator="greaterThan">
      <formula>0.2</formula>
    </cfRule>
  </conditionalFormatting>
  <conditionalFormatting sqref="A28:A37">
    <cfRule type="containsText" dxfId="811" priority="9" operator="containsText" text="024">
      <formula>NOT(ISERROR(SEARCH("024",A28)))</formula>
    </cfRule>
    <cfRule type="containsText" dxfId="810" priority="10" operator="containsText" text="白醬">
      <formula>NOT(ISERROR(SEARCH("白醬",A28)))</formula>
    </cfRule>
    <cfRule type="containsText" dxfId="809" priority="11" operator="containsText" text="青蔥">
      <formula>NOT(ISERROR(SEARCH("青蔥",A28)))</formula>
    </cfRule>
    <cfRule type="containsText" dxfId="808" priority="12" operator="containsText" text=")川燙小青花菜">
      <formula>NOT(ISERROR(SEARCH(")川燙小青花菜",A28)))</formula>
    </cfRule>
    <cfRule type="containsText" dxfId="807" priority="13" operator="containsText" text="湯凍">
      <formula>NOT(ISERROR(SEARCH("湯凍",A28)))</formula>
    </cfRule>
    <cfRule type="containsText" dxfId="806" priority="14" operator="containsText" text="中華">
      <formula>NOT(ISERROR(SEARCH("中華",A28)))</formula>
    </cfRule>
  </conditionalFormatting>
  <conditionalFormatting sqref="A28:A37">
    <cfRule type="containsText" dxfId="805" priority="7" operator="containsText" text="綠豆芽">
      <formula>NOT(ISERROR(SEARCH("綠豆芽",A28)))</formula>
    </cfRule>
    <cfRule type="containsText" dxfId="804" priority="8" operator="containsText" text="煮白細麵生(方#12)">
      <formula>NOT(ISERROR(SEARCH("煮白細麵生(方#12)",A28)))</formula>
    </cfRule>
  </conditionalFormatting>
  <conditionalFormatting sqref="H28:H37">
    <cfRule type="cellIs" dxfId="803" priority="6" operator="greaterThan">
      <formula>1.1</formula>
    </cfRule>
  </conditionalFormatting>
  <conditionalFormatting sqref="G5">
    <cfRule type="cellIs" dxfId="802" priority="1" operator="greaterThan">
      <formula>0.0025</formula>
    </cfRule>
    <cfRule type="cellIs" dxfId="801" priority="2" operator="greaterThan">
      <formula>0.0025</formula>
    </cfRule>
    <cfRule type="cellIs" dxfId="800" priority="4" operator="greaterThan">
      <formula>0.072</formula>
    </cfRule>
    <cfRule type="cellIs" dxfId="799" priority="5" operator="greaterThan">
      <formula>7.2</formula>
    </cfRule>
  </conditionalFormatting>
  <conditionalFormatting sqref="G5">
    <cfRule type="cellIs" dxfId="79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6" zoomScale="70" zoomScaleNormal="70" zoomScaleSheetLayoutView="70" workbookViewId="0">
      <selection activeCell="P24" sqref="P24:P2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884" t="s">
        <v>31</v>
      </c>
      <c r="B2" s="885"/>
      <c r="C2" s="359" t="s">
        <v>32</v>
      </c>
      <c r="D2" s="886" t="s">
        <v>33</v>
      </c>
      <c r="E2" s="886"/>
      <c r="F2" s="886" t="s">
        <v>34</v>
      </c>
      <c r="G2" s="886"/>
      <c r="H2" s="886" t="s">
        <v>33</v>
      </c>
      <c r="I2" s="886"/>
      <c r="J2" s="886" t="s">
        <v>34</v>
      </c>
      <c r="K2" s="886"/>
      <c r="L2" s="886" t="s">
        <v>33</v>
      </c>
      <c r="M2" s="887"/>
      <c r="R2" s="17"/>
    </row>
    <row r="3" spans="1:18" s="18" customFormat="1" ht="28.5" x14ac:dyDescent="0.45">
      <c r="A3" s="881">
        <v>45921</v>
      </c>
      <c r="B3" s="882"/>
      <c r="C3" s="883">
        <v>6327228.8799999999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881"/>
      <c r="B4" s="882"/>
      <c r="C4" s="88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879" t="s">
        <v>44</v>
      </c>
      <c r="B5" s="880"/>
      <c r="C5" s="880"/>
      <c r="D5" s="360">
        <v>15236.53</v>
      </c>
      <c r="E5" s="22">
        <f>D5/C3</f>
        <v>2.4080889578946291E-3</v>
      </c>
      <c r="F5" s="360">
        <v>47269.140000000014</v>
      </c>
      <c r="G5" s="23">
        <f>F5/C3</f>
        <v>7.4707491852262524E-3</v>
      </c>
      <c r="H5" s="24">
        <f>SUM(C12:C21)</f>
        <v>5852.1599999999989</v>
      </c>
      <c r="I5" s="25">
        <f>H5/D5</f>
        <v>0.38408745298306102</v>
      </c>
      <c r="J5" s="24">
        <f>SUM(C28:C37)</f>
        <v>29421.099999999995</v>
      </c>
      <c r="K5" s="26">
        <f>J5/F5</f>
        <v>0.62241665492539078</v>
      </c>
      <c r="L5" s="27">
        <v>7145.8299999999981</v>
      </c>
      <c r="M5" s="28">
        <f>L5/D5</f>
        <v>0.46899326815226289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45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47</v>
      </c>
      <c r="Q8" s="629" t="s">
        <v>96</v>
      </c>
      <c r="R8" s="866" t="s">
        <v>48</v>
      </c>
    </row>
    <row r="9" spans="1:18" ht="20.45" customHeight="1" x14ac:dyDescent="0.25">
      <c r="A9" s="867" t="s">
        <v>97</v>
      </c>
      <c r="B9" s="634" t="s">
        <v>98</v>
      </c>
      <c r="C9" s="635"/>
      <c r="D9" s="636" t="s">
        <v>49</v>
      </c>
      <c r="E9" s="636"/>
      <c r="F9" s="636"/>
      <c r="G9" s="636"/>
      <c r="H9" s="636"/>
      <c r="I9" s="636"/>
      <c r="J9" s="637" t="s">
        <v>99</v>
      </c>
      <c r="K9" s="637"/>
      <c r="L9" s="637"/>
      <c r="M9" s="638"/>
      <c r="N9" s="638"/>
      <c r="O9" s="629"/>
      <c r="P9" s="629"/>
      <c r="Q9" s="629"/>
      <c r="R9" s="866"/>
    </row>
    <row r="10" spans="1:18" ht="20.45" customHeight="1" x14ac:dyDescent="0.3">
      <c r="A10" s="868"/>
      <c r="B10" s="870" t="s">
        <v>100</v>
      </c>
      <c r="C10" s="872" t="s">
        <v>101</v>
      </c>
      <c r="D10" s="874" t="s">
        <v>50</v>
      </c>
      <c r="E10" s="874"/>
      <c r="F10" s="874"/>
      <c r="G10" s="874"/>
      <c r="H10" s="874"/>
      <c r="I10" s="874"/>
      <c r="J10" s="875" t="s">
        <v>51</v>
      </c>
      <c r="K10" s="877"/>
      <c r="L10" s="878" t="s">
        <v>102</v>
      </c>
      <c r="M10" s="875"/>
      <c r="N10" s="875"/>
      <c r="O10" s="629"/>
      <c r="P10" s="629"/>
      <c r="Q10" s="629"/>
      <c r="R10" s="866"/>
    </row>
    <row r="11" spans="1:18" s="29" customFormat="1" ht="47.25" customHeight="1" x14ac:dyDescent="0.25">
      <c r="A11" s="869"/>
      <c r="B11" s="871"/>
      <c r="C11" s="873"/>
      <c r="D11" s="361" t="s">
        <v>52</v>
      </c>
      <c r="E11" s="361" t="s">
        <v>104</v>
      </c>
      <c r="F11" s="361" t="s">
        <v>53</v>
      </c>
      <c r="G11" s="361" t="s">
        <v>54</v>
      </c>
      <c r="H11" s="361" t="s">
        <v>55</v>
      </c>
      <c r="I11" s="361" t="s">
        <v>73</v>
      </c>
      <c r="J11" s="362" t="s">
        <v>56</v>
      </c>
      <c r="K11" s="362" t="s">
        <v>57</v>
      </c>
      <c r="L11" s="362" t="s">
        <v>56</v>
      </c>
      <c r="M11" s="362" t="s">
        <v>57</v>
      </c>
      <c r="N11" s="363" t="s">
        <v>109</v>
      </c>
      <c r="O11" s="629"/>
      <c r="P11" s="629"/>
      <c r="Q11" s="629"/>
      <c r="R11" s="866"/>
    </row>
    <row r="12" spans="1:18" s="38" customFormat="1" ht="24.95" customHeight="1" x14ac:dyDescent="0.25">
      <c r="A12" s="364">
        <v>1</v>
      </c>
      <c r="B12" s="30" t="s">
        <v>58</v>
      </c>
      <c r="C12" s="31">
        <v>2276.27</v>
      </c>
      <c r="D12" s="32">
        <v>16334</v>
      </c>
      <c r="E12" s="32">
        <v>16334</v>
      </c>
      <c r="F12" s="32">
        <v>392.46</v>
      </c>
      <c r="G12" s="31">
        <v>5.8</v>
      </c>
      <c r="H12" s="33">
        <f t="shared" ref="H12:H21" si="0">(E12+F12)/D12</f>
        <v>1.0240271825639768</v>
      </c>
      <c r="I12" s="31">
        <v>2276.27</v>
      </c>
      <c r="J12" s="32">
        <v>392.46</v>
      </c>
      <c r="K12" s="34">
        <f t="shared" ref="K12:K21" si="1">J12/D12</f>
        <v>2.4027182563976981E-2</v>
      </c>
      <c r="L12" s="365">
        <f t="shared" ref="L12:L21" si="2">((E12+F12)-D12)-J12</f>
        <v>-8.5265128291212022E-13</v>
      </c>
      <c r="M12" s="35">
        <f t="shared" ref="M12:M21" si="3">L12/D12</f>
        <v>-5.2201009116696476E-17</v>
      </c>
      <c r="N12" s="366">
        <f t="shared" ref="N12:N21" si="4">L12*G12</f>
        <v>-4.9453774408902973E-12</v>
      </c>
      <c r="O12" s="456" t="s">
        <v>139</v>
      </c>
      <c r="P12" s="456" t="s">
        <v>28</v>
      </c>
      <c r="Q12" s="456" t="s">
        <v>890</v>
      </c>
      <c r="R12" s="37" t="s">
        <v>59</v>
      </c>
    </row>
    <row r="13" spans="1:18" s="38" customFormat="1" ht="24.95" customHeight="1" x14ac:dyDescent="0.25">
      <c r="A13" s="367">
        <v>2</v>
      </c>
      <c r="B13" s="30" t="s">
        <v>61</v>
      </c>
      <c r="C13" s="31">
        <v>1550.51</v>
      </c>
      <c r="D13" s="32">
        <v>8004</v>
      </c>
      <c r="E13" s="32">
        <v>8004</v>
      </c>
      <c r="F13" s="32">
        <v>235.64</v>
      </c>
      <c r="G13" s="31">
        <v>6.58</v>
      </c>
      <c r="H13" s="33">
        <f t="shared" si="0"/>
        <v>1.0294402798600699</v>
      </c>
      <c r="I13" s="31">
        <v>1550.51</v>
      </c>
      <c r="J13" s="32">
        <v>235.64</v>
      </c>
      <c r="K13" s="34">
        <f t="shared" si="1"/>
        <v>2.9440279860069963E-2</v>
      </c>
      <c r="L13" s="365">
        <f t="shared" si="2"/>
        <v>-5.6843418860808015E-13</v>
      </c>
      <c r="M13" s="35">
        <f t="shared" si="3"/>
        <v>-7.1018764193913066E-17</v>
      </c>
      <c r="N13" s="366">
        <f t="shared" si="4"/>
        <v>-3.7402969610411672E-12</v>
      </c>
      <c r="O13" s="456" t="s">
        <v>142</v>
      </c>
      <c r="P13" s="456" t="s">
        <v>26</v>
      </c>
      <c r="Q13" s="456" t="s">
        <v>143</v>
      </c>
      <c r="R13" s="37" t="s">
        <v>59</v>
      </c>
    </row>
    <row r="14" spans="1:18" s="39" customFormat="1" ht="24.95" customHeight="1" x14ac:dyDescent="0.25">
      <c r="A14" s="367">
        <v>3</v>
      </c>
      <c r="B14" s="30" t="s">
        <v>69</v>
      </c>
      <c r="C14" s="31">
        <v>729.82</v>
      </c>
      <c r="D14" s="32">
        <v>10053</v>
      </c>
      <c r="E14" s="32">
        <v>10053</v>
      </c>
      <c r="F14" s="32">
        <v>104.26</v>
      </c>
      <c r="G14" s="31">
        <v>7</v>
      </c>
      <c r="H14" s="33">
        <f t="shared" si="0"/>
        <v>1.0103710335223317</v>
      </c>
      <c r="I14" s="31">
        <v>729.82</v>
      </c>
      <c r="J14" s="32">
        <v>104.26</v>
      </c>
      <c r="K14" s="34">
        <f t="shared" si="1"/>
        <v>1.0371033522331643E-2</v>
      </c>
      <c r="L14" s="365">
        <f t="shared" si="2"/>
        <v>2.1316282072803006E-13</v>
      </c>
      <c r="M14" s="35">
        <f t="shared" si="3"/>
        <v>2.1203901395407346E-17</v>
      </c>
      <c r="N14" s="366">
        <f t="shared" si="4"/>
        <v>1.4921397450962104E-12</v>
      </c>
      <c r="O14" s="456" t="s">
        <v>142</v>
      </c>
      <c r="P14" s="456" t="s">
        <v>26</v>
      </c>
      <c r="Q14" s="456" t="s">
        <v>143</v>
      </c>
      <c r="R14" s="37" t="s">
        <v>59</v>
      </c>
    </row>
    <row r="15" spans="1:18" s="38" customFormat="1" ht="24.95" customHeight="1" x14ac:dyDescent="0.25">
      <c r="A15" s="364">
        <v>4</v>
      </c>
      <c r="B15" s="30" t="s">
        <v>166</v>
      </c>
      <c r="C15" s="31">
        <v>314.73</v>
      </c>
      <c r="D15" s="32">
        <v>6004</v>
      </c>
      <c r="E15" s="32">
        <v>6004</v>
      </c>
      <c r="F15" s="32">
        <v>71.53</v>
      </c>
      <c r="G15" s="31">
        <v>4.4000000000000004</v>
      </c>
      <c r="H15" s="33">
        <f t="shared" si="0"/>
        <v>1.0119137241838774</v>
      </c>
      <c r="I15" s="31">
        <v>314.73</v>
      </c>
      <c r="J15" s="32">
        <v>71.53</v>
      </c>
      <c r="K15" s="34">
        <f t="shared" si="1"/>
        <v>1.1913724183877416E-2</v>
      </c>
      <c r="L15" s="365">
        <f t="shared" si="2"/>
        <v>-2.5579538487363607E-13</v>
      </c>
      <c r="M15" s="35">
        <f t="shared" si="3"/>
        <v>-4.2604161371358437E-17</v>
      </c>
      <c r="N15" s="366">
        <f t="shared" si="4"/>
        <v>-1.1254996934439987E-12</v>
      </c>
      <c r="O15" s="456" t="s">
        <v>139</v>
      </c>
      <c r="P15" s="456" t="s">
        <v>28</v>
      </c>
      <c r="Q15" s="456" t="s">
        <v>891</v>
      </c>
      <c r="R15" s="37" t="s">
        <v>59</v>
      </c>
    </row>
    <row r="16" spans="1:18" s="39" customFormat="1" ht="24.95" customHeight="1" x14ac:dyDescent="0.25">
      <c r="A16" s="367">
        <v>5</v>
      </c>
      <c r="B16" s="30" t="s">
        <v>65</v>
      </c>
      <c r="C16" s="31">
        <v>239.15</v>
      </c>
      <c r="D16" s="32">
        <v>102.56</v>
      </c>
      <c r="E16" s="32">
        <v>102.56</v>
      </c>
      <c r="F16" s="32">
        <v>2.98</v>
      </c>
      <c r="G16" s="31">
        <v>160.5</v>
      </c>
      <c r="H16" s="33">
        <f t="shared" si="0"/>
        <v>1.02905616224649</v>
      </c>
      <c r="I16" s="31">
        <v>478.29</v>
      </c>
      <c r="J16" s="32">
        <v>1.49</v>
      </c>
      <c r="K16" s="34">
        <f t="shared" si="1"/>
        <v>1.452808112324493E-2</v>
      </c>
      <c r="L16" s="365">
        <f t="shared" si="2"/>
        <v>1.490000000000004</v>
      </c>
      <c r="M16" s="35">
        <f t="shared" si="3"/>
        <v>1.4528081123244968E-2</v>
      </c>
      <c r="N16" s="366">
        <f t="shared" si="4"/>
        <v>239.14500000000064</v>
      </c>
      <c r="O16" s="456" t="s">
        <v>139</v>
      </c>
      <c r="P16" s="456" t="s">
        <v>25</v>
      </c>
      <c r="Q16" s="456" t="s">
        <v>141</v>
      </c>
      <c r="R16" s="37" t="s">
        <v>59</v>
      </c>
    </row>
    <row r="17" spans="1:18" s="38" customFormat="1" ht="24.95" customHeight="1" x14ac:dyDescent="0.25">
      <c r="A17" s="364">
        <v>6</v>
      </c>
      <c r="B17" s="30" t="s">
        <v>445</v>
      </c>
      <c r="C17" s="31">
        <v>187.88</v>
      </c>
      <c r="D17" s="32">
        <v>36.369999999999997</v>
      </c>
      <c r="E17" s="32">
        <v>36.369999999999997</v>
      </c>
      <c r="F17" s="32">
        <v>3.56</v>
      </c>
      <c r="G17" s="31">
        <v>113.18</v>
      </c>
      <c r="H17" s="33">
        <f t="shared" si="0"/>
        <v>1.0978828704976631</v>
      </c>
      <c r="I17" s="31">
        <v>402.92</v>
      </c>
      <c r="J17" s="32">
        <v>1.66</v>
      </c>
      <c r="K17" s="34">
        <f t="shared" si="1"/>
        <v>4.5642012647786639E-2</v>
      </c>
      <c r="L17" s="365">
        <f t="shared" si="2"/>
        <v>1.9000000000000024</v>
      </c>
      <c r="M17" s="35">
        <f t="shared" si="3"/>
        <v>5.2240857849876338E-2</v>
      </c>
      <c r="N17" s="366">
        <f t="shared" si="4"/>
        <v>215.04200000000029</v>
      </c>
      <c r="O17" s="456" t="s">
        <v>139</v>
      </c>
      <c r="P17" s="456" t="s">
        <v>25</v>
      </c>
      <c r="Q17" s="456" t="s">
        <v>141</v>
      </c>
      <c r="R17" s="37" t="s">
        <v>444</v>
      </c>
    </row>
    <row r="18" spans="1:18" s="39" customFormat="1" ht="24.95" customHeight="1" x14ac:dyDescent="0.25">
      <c r="A18" s="367">
        <v>7</v>
      </c>
      <c r="B18" s="30" t="s">
        <v>713</v>
      </c>
      <c r="C18" s="31">
        <v>163.49</v>
      </c>
      <c r="D18" s="32">
        <v>186.8</v>
      </c>
      <c r="E18" s="32">
        <v>186.8</v>
      </c>
      <c r="F18" s="32">
        <v>9.74</v>
      </c>
      <c r="G18" s="31">
        <v>39.020000000000003</v>
      </c>
      <c r="H18" s="33">
        <f t="shared" si="0"/>
        <v>1.0521413276231264</v>
      </c>
      <c r="I18" s="31">
        <v>380.05</v>
      </c>
      <c r="J18" s="32">
        <v>4.1900000000000004</v>
      </c>
      <c r="K18" s="34">
        <f t="shared" si="1"/>
        <v>2.2430406852248393E-2</v>
      </c>
      <c r="L18" s="365">
        <f t="shared" si="2"/>
        <v>5.5500000000000087</v>
      </c>
      <c r="M18" s="35">
        <f t="shared" si="3"/>
        <v>2.9710920770877988E-2</v>
      </c>
      <c r="N18" s="366">
        <f t="shared" si="4"/>
        <v>216.56100000000035</v>
      </c>
      <c r="O18" s="456" t="s">
        <v>139</v>
      </c>
      <c r="P18" s="456" t="s">
        <v>25</v>
      </c>
      <c r="Q18" s="456" t="s">
        <v>134</v>
      </c>
      <c r="R18" s="37" t="s">
        <v>657</v>
      </c>
    </row>
    <row r="19" spans="1:18" s="38" customFormat="1" ht="24.95" customHeight="1" x14ac:dyDescent="0.25">
      <c r="A19" s="364">
        <v>8</v>
      </c>
      <c r="B19" s="30" t="s">
        <v>60</v>
      </c>
      <c r="C19" s="31">
        <v>150.66</v>
      </c>
      <c r="D19" s="32">
        <v>280.14</v>
      </c>
      <c r="E19" s="32">
        <v>280.14</v>
      </c>
      <c r="F19" s="32">
        <v>5.69</v>
      </c>
      <c r="G19" s="31">
        <v>99.12</v>
      </c>
      <c r="H19" s="33">
        <f t="shared" si="0"/>
        <v>1.020311272934961</v>
      </c>
      <c r="I19" s="31">
        <v>563.99</v>
      </c>
      <c r="J19" s="32">
        <v>1.52</v>
      </c>
      <c r="K19" s="34">
        <f t="shared" si="1"/>
        <v>5.4258584993217684E-3</v>
      </c>
      <c r="L19" s="365">
        <f t="shared" si="2"/>
        <v>4.1699999999999982</v>
      </c>
      <c r="M19" s="35">
        <f t="shared" si="3"/>
        <v>1.4885414435639318E-2</v>
      </c>
      <c r="N19" s="366">
        <f t="shared" si="4"/>
        <v>413.33039999999983</v>
      </c>
      <c r="O19" s="456" t="s">
        <v>139</v>
      </c>
      <c r="P19" s="456" t="s">
        <v>25</v>
      </c>
      <c r="Q19" s="456" t="s">
        <v>141</v>
      </c>
      <c r="R19" s="37" t="s">
        <v>59</v>
      </c>
    </row>
    <row r="20" spans="1:18" s="38" customFormat="1" ht="24.95" customHeight="1" x14ac:dyDescent="0.25">
      <c r="A20" s="367">
        <v>9</v>
      </c>
      <c r="B20" s="30" t="s">
        <v>254</v>
      </c>
      <c r="C20" s="31">
        <v>129.91999999999999</v>
      </c>
      <c r="D20" s="32">
        <v>116.13</v>
      </c>
      <c r="E20" s="32">
        <v>116.13</v>
      </c>
      <c r="F20" s="32">
        <v>2.36</v>
      </c>
      <c r="G20" s="31">
        <v>110.1</v>
      </c>
      <c r="H20" s="33">
        <f t="shared" si="0"/>
        <v>1.0203220528717816</v>
      </c>
      <c r="I20" s="31">
        <v>259.83999999999997</v>
      </c>
      <c r="J20" s="32">
        <v>1.18</v>
      </c>
      <c r="K20" s="34">
        <f t="shared" si="1"/>
        <v>1.0161026435890811E-2</v>
      </c>
      <c r="L20" s="365">
        <f t="shared" si="2"/>
        <v>1.1799999999999995</v>
      </c>
      <c r="M20" s="35">
        <f t="shared" si="3"/>
        <v>1.0161026435890808E-2</v>
      </c>
      <c r="N20" s="366">
        <f t="shared" si="4"/>
        <v>129.91799999999995</v>
      </c>
      <c r="O20" s="456" t="s">
        <v>139</v>
      </c>
      <c r="P20" s="456" t="s">
        <v>25</v>
      </c>
      <c r="Q20" s="458" t="s">
        <v>134</v>
      </c>
      <c r="R20" s="37" t="s">
        <v>59</v>
      </c>
    </row>
    <row r="21" spans="1:18" s="38" customFormat="1" ht="24.95" customHeight="1" thickBot="1" x14ac:dyDescent="0.3">
      <c r="A21" s="368">
        <v>10</v>
      </c>
      <c r="B21" s="40" t="s">
        <v>301</v>
      </c>
      <c r="C21" s="41">
        <v>109.73</v>
      </c>
      <c r="D21" s="42">
        <v>10.039999999999999</v>
      </c>
      <c r="E21" s="42">
        <v>10.039999999999999</v>
      </c>
      <c r="F21" s="42">
        <v>0.15</v>
      </c>
      <c r="G21" s="41">
        <v>1567.63</v>
      </c>
      <c r="H21" s="43">
        <f t="shared" si="0"/>
        <v>1.0149402390438247</v>
      </c>
      <c r="I21" s="41">
        <v>235.14</v>
      </c>
      <c r="J21" s="42">
        <v>7.0000000000000007E-2</v>
      </c>
      <c r="K21" s="44">
        <f t="shared" si="1"/>
        <v>6.9721115537848622E-3</v>
      </c>
      <c r="L21" s="369">
        <f t="shared" si="2"/>
        <v>8.0000000000000349E-2</v>
      </c>
      <c r="M21" s="45">
        <f t="shared" si="3"/>
        <v>7.9681274900398752E-3</v>
      </c>
      <c r="N21" s="370">
        <f t="shared" si="4"/>
        <v>125.41040000000055</v>
      </c>
      <c r="O21" s="457" t="s">
        <v>139</v>
      </c>
      <c r="P21" s="457" t="s">
        <v>25</v>
      </c>
      <c r="Q21" s="457" t="s">
        <v>141</v>
      </c>
      <c r="R21" s="47" t="s">
        <v>79</v>
      </c>
    </row>
    <row r="22" spans="1:18" s="53" customFormat="1" ht="24.95" customHeight="1" thickBot="1" x14ac:dyDescent="0.3">
      <c r="A22" s="371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72"/>
      <c r="M22" s="51"/>
      <c r="N22" s="373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45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72</v>
      </c>
      <c r="P24" s="630" t="s">
        <v>47</v>
      </c>
      <c r="Q24" s="629" t="s">
        <v>96</v>
      </c>
      <c r="R24" s="866" t="s">
        <v>48</v>
      </c>
    </row>
    <row r="25" spans="1:18" s="53" customFormat="1" ht="24.95" customHeight="1" x14ac:dyDescent="0.25">
      <c r="A25" s="867" t="s">
        <v>97</v>
      </c>
      <c r="B25" s="634" t="s">
        <v>98</v>
      </c>
      <c r="C25" s="635"/>
      <c r="D25" s="636" t="s">
        <v>49</v>
      </c>
      <c r="E25" s="636"/>
      <c r="F25" s="636"/>
      <c r="G25" s="636"/>
      <c r="H25" s="636"/>
      <c r="I25" s="636"/>
      <c r="J25" s="637" t="s">
        <v>99</v>
      </c>
      <c r="K25" s="637"/>
      <c r="L25" s="637"/>
      <c r="M25" s="638"/>
      <c r="N25" s="638"/>
      <c r="O25" s="629"/>
      <c r="P25" s="629"/>
      <c r="Q25" s="629"/>
      <c r="R25" s="866"/>
    </row>
    <row r="26" spans="1:18" s="53" customFormat="1" ht="24.95" customHeight="1" x14ac:dyDescent="0.3">
      <c r="A26" s="868"/>
      <c r="B26" s="870" t="s">
        <v>100</v>
      </c>
      <c r="C26" s="872" t="s">
        <v>172</v>
      </c>
      <c r="D26" s="874" t="s">
        <v>50</v>
      </c>
      <c r="E26" s="874"/>
      <c r="F26" s="874"/>
      <c r="G26" s="874"/>
      <c r="H26" s="874"/>
      <c r="I26" s="874"/>
      <c r="J26" s="875" t="s">
        <v>51</v>
      </c>
      <c r="K26" s="876"/>
      <c r="L26" s="877"/>
      <c r="M26" s="875" t="s">
        <v>102</v>
      </c>
      <c r="N26" s="877"/>
      <c r="O26" s="629"/>
      <c r="P26" s="629"/>
      <c r="Q26" s="629"/>
      <c r="R26" s="866"/>
    </row>
    <row r="27" spans="1:18" s="53" customFormat="1" ht="50.1" customHeight="1" x14ac:dyDescent="0.25">
      <c r="A27" s="869"/>
      <c r="B27" s="871"/>
      <c r="C27" s="873"/>
      <c r="D27" s="361" t="s">
        <v>52</v>
      </c>
      <c r="E27" s="361" t="s">
        <v>104</v>
      </c>
      <c r="F27" s="361" t="s">
        <v>53</v>
      </c>
      <c r="G27" s="361" t="s">
        <v>54</v>
      </c>
      <c r="H27" s="361" t="s">
        <v>55</v>
      </c>
      <c r="I27" s="361" t="s">
        <v>73</v>
      </c>
      <c r="J27" s="362" t="s">
        <v>56</v>
      </c>
      <c r="K27" s="362" t="s">
        <v>57</v>
      </c>
      <c r="L27" s="363" t="s">
        <v>109</v>
      </c>
      <c r="M27" s="362" t="s">
        <v>56</v>
      </c>
      <c r="N27" s="362" t="s">
        <v>57</v>
      </c>
      <c r="O27" s="629"/>
      <c r="P27" s="629"/>
      <c r="Q27" s="629"/>
      <c r="R27" s="866"/>
    </row>
    <row r="28" spans="1:18" s="53" customFormat="1" ht="24.95" customHeight="1" x14ac:dyDescent="0.25">
      <c r="A28" s="364">
        <v>1</v>
      </c>
      <c r="B28" s="30" t="s">
        <v>714</v>
      </c>
      <c r="C28" s="31">
        <v>13000.900000000001</v>
      </c>
      <c r="D28" s="32">
        <v>126.66</v>
      </c>
      <c r="E28" s="32">
        <v>172.85</v>
      </c>
      <c r="F28" s="32">
        <v>0.82</v>
      </c>
      <c r="G28" s="31">
        <v>278.75</v>
      </c>
      <c r="H28" s="54">
        <f t="shared" ref="H28:H37" si="5">(E28+F28)/D28</f>
        <v>1.3711511132164851</v>
      </c>
      <c r="I28" s="31">
        <v>13104.04</v>
      </c>
      <c r="J28" s="32">
        <v>0.37</v>
      </c>
      <c r="K28" s="34">
        <f t="shared" ref="K28:K37" si="6">J28/D28</f>
        <v>2.9212063792831201E-3</v>
      </c>
      <c r="L28" s="366">
        <f t="shared" ref="L28:L37" si="7">J28*G28</f>
        <v>103.1375</v>
      </c>
      <c r="M28" s="365">
        <f t="shared" ref="M28:M37" si="8">((E28+F28)-D28)-J28</f>
        <v>46.639999999999993</v>
      </c>
      <c r="N28" s="35">
        <f t="shared" ref="N28:N37" si="9">M28/D28</f>
        <v>0.36822990683720191</v>
      </c>
      <c r="O28" s="451" t="s">
        <v>142</v>
      </c>
      <c r="P28" s="458" t="s">
        <v>26</v>
      </c>
      <c r="Q28" s="458" t="s">
        <v>893</v>
      </c>
      <c r="R28" s="37" t="s">
        <v>59</v>
      </c>
    </row>
    <row r="29" spans="1:18" s="53" customFormat="1" ht="24.75" customHeight="1" x14ac:dyDescent="0.25">
      <c r="A29" s="367">
        <v>2</v>
      </c>
      <c r="B29" s="30" t="s">
        <v>607</v>
      </c>
      <c r="C29" s="31">
        <v>8875</v>
      </c>
      <c r="D29" s="32">
        <v>10275</v>
      </c>
      <c r="E29" s="32">
        <v>10275</v>
      </c>
      <c r="F29" s="32">
        <v>500</v>
      </c>
      <c r="G29" s="31">
        <v>17.75</v>
      </c>
      <c r="H29" s="54">
        <f t="shared" si="5"/>
        <v>1.0486618004866179</v>
      </c>
      <c r="I29" s="31">
        <v>8875</v>
      </c>
      <c r="J29" s="32">
        <v>0</v>
      </c>
      <c r="K29" s="34">
        <f t="shared" si="6"/>
        <v>0</v>
      </c>
      <c r="L29" s="366">
        <f t="shared" si="7"/>
        <v>0</v>
      </c>
      <c r="M29" s="365">
        <f t="shared" si="8"/>
        <v>500</v>
      </c>
      <c r="N29" s="35">
        <f t="shared" si="9"/>
        <v>4.8661800486618008E-2</v>
      </c>
      <c r="O29" s="451" t="s">
        <v>142</v>
      </c>
      <c r="P29" s="458" t="s">
        <v>26</v>
      </c>
      <c r="Q29" s="458" t="s">
        <v>894</v>
      </c>
      <c r="R29" s="37" t="s">
        <v>608</v>
      </c>
    </row>
    <row r="30" spans="1:18" s="53" customFormat="1" ht="24.95" customHeight="1" x14ac:dyDescent="0.25">
      <c r="A30" s="367">
        <v>3</v>
      </c>
      <c r="B30" s="30" t="s">
        <v>80</v>
      </c>
      <c r="C30" s="31">
        <v>993.66999999999985</v>
      </c>
      <c r="D30" s="32">
        <v>344.98</v>
      </c>
      <c r="E30" s="32">
        <v>344.98</v>
      </c>
      <c r="F30" s="32">
        <v>7</v>
      </c>
      <c r="G30" s="31">
        <v>156.72999999999999</v>
      </c>
      <c r="H30" s="54">
        <f t="shared" si="5"/>
        <v>1.0202910313641371</v>
      </c>
      <c r="I30" s="31">
        <v>1097.1099999999999</v>
      </c>
      <c r="J30" s="57">
        <v>0.66</v>
      </c>
      <c r="K30" s="34">
        <f t="shared" si="6"/>
        <v>1.9131543857614933E-3</v>
      </c>
      <c r="L30" s="366">
        <f t="shared" si="7"/>
        <v>103.4418</v>
      </c>
      <c r="M30" s="365">
        <f t="shared" si="8"/>
        <v>6.34</v>
      </c>
      <c r="N30" s="35">
        <f t="shared" si="9"/>
        <v>1.8377876978375556E-2</v>
      </c>
      <c r="O30" s="451" t="s">
        <v>133</v>
      </c>
      <c r="P30" s="458" t="s">
        <v>25</v>
      </c>
      <c r="Q30" s="458" t="s">
        <v>136</v>
      </c>
      <c r="R30" s="37" t="s">
        <v>59</v>
      </c>
    </row>
    <row r="31" spans="1:18" s="53" customFormat="1" ht="24.95" customHeight="1" x14ac:dyDescent="0.25">
      <c r="A31" s="364">
        <v>4</v>
      </c>
      <c r="B31" s="30" t="s">
        <v>531</v>
      </c>
      <c r="C31" s="31">
        <v>987.83999999999992</v>
      </c>
      <c r="D31" s="32">
        <v>120.06</v>
      </c>
      <c r="E31" s="32">
        <v>120.06</v>
      </c>
      <c r="F31" s="32">
        <v>3.48</v>
      </c>
      <c r="G31" s="31">
        <v>313.60000000000002</v>
      </c>
      <c r="H31" s="54">
        <f t="shared" si="5"/>
        <v>1.0289855072463769</v>
      </c>
      <c r="I31" s="31">
        <v>1091.33</v>
      </c>
      <c r="J31" s="32">
        <v>0.33</v>
      </c>
      <c r="K31" s="34">
        <f t="shared" si="6"/>
        <v>2.7486256871564218E-3</v>
      </c>
      <c r="L31" s="366">
        <f t="shared" si="7"/>
        <v>103.48800000000001</v>
      </c>
      <c r="M31" s="365">
        <f t="shared" si="8"/>
        <v>3.1500000000000039</v>
      </c>
      <c r="N31" s="35">
        <f t="shared" si="9"/>
        <v>2.6236881559220424E-2</v>
      </c>
      <c r="O31" s="451" t="s">
        <v>133</v>
      </c>
      <c r="P31" s="458" t="s">
        <v>25</v>
      </c>
      <c r="Q31" s="458" t="s">
        <v>136</v>
      </c>
      <c r="R31" s="37" t="s">
        <v>59</v>
      </c>
    </row>
    <row r="32" spans="1:18" s="53" customFormat="1" ht="24.95" customHeight="1" x14ac:dyDescent="0.25">
      <c r="A32" s="367">
        <v>5</v>
      </c>
      <c r="B32" s="30" t="s">
        <v>83</v>
      </c>
      <c r="C32" s="31">
        <v>986.43999999999983</v>
      </c>
      <c r="D32" s="32">
        <v>526.86</v>
      </c>
      <c r="E32" s="32">
        <v>526.86</v>
      </c>
      <c r="F32" s="32">
        <v>12.75</v>
      </c>
      <c r="G32" s="31">
        <v>85.48</v>
      </c>
      <c r="H32" s="54">
        <f t="shared" si="5"/>
        <v>1.0241999772235508</v>
      </c>
      <c r="I32" s="31">
        <v>1089.8699999999999</v>
      </c>
      <c r="J32" s="32">
        <v>1.21</v>
      </c>
      <c r="K32" s="34">
        <f t="shared" si="6"/>
        <v>2.2966252894507078E-3</v>
      </c>
      <c r="L32" s="366">
        <f t="shared" si="7"/>
        <v>103.4308</v>
      </c>
      <c r="M32" s="365">
        <f t="shared" si="8"/>
        <v>11.54</v>
      </c>
      <c r="N32" s="35">
        <f t="shared" si="9"/>
        <v>2.1903351934100139E-2</v>
      </c>
      <c r="O32" s="451" t="s">
        <v>133</v>
      </c>
      <c r="P32" s="458" t="s">
        <v>25</v>
      </c>
      <c r="Q32" s="458" t="s">
        <v>134</v>
      </c>
      <c r="R32" s="37" t="s">
        <v>84</v>
      </c>
    </row>
    <row r="33" spans="1:18" s="53" customFormat="1" ht="24.95" customHeight="1" x14ac:dyDescent="0.25">
      <c r="A33" s="364">
        <v>6</v>
      </c>
      <c r="B33" s="30" t="s">
        <v>81</v>
      </c>
      <c r="C33" s="31">
        <v>966.51</v>
      </c>
      <c r="D33" s="32">
        <v>585.34</v>
      </c>
      <c r="E33" s="32">
        <v>585.34</v>
      </c>
      <c r="F33" s="32">
        <v>13.58</v>
      </c>
      <c r="G33" s="31">
        <v>78.77</v>
      </c>
      <c r="H33" s="54">
        <f t="shared" si="5"/>
        <v>1.0232001913417843</v>
      </c>
      <c r="I33" s="31">
        <v>1069.7</v>
      </c>
      <c r="J33" s="32">
        <v>1.31</v>
      </c>
      <c r="K33" s="34">
        <f t="shared" si="6"/>
        <v>2.2380155123517954E-3</v>
      </c>
      <c r="L33" s="366">
        <f t="shared" si="7"/>
        <v>103.1887</v>
      </c>
      <c r="M33" s="365">
        <f t="shared" si="8"/>
        <v>12.27000000000004</v>
      </c>
      <c r="N33" s="35">
        <f t="shared" si="9"/>
        <v>2.0962175829432536E-2</v>
      </c>
      <c r="O33" s="451" t="s">
        <v>133</v>
      </c>
      <c r="P33" s="458" t="s">
        <v>25</v>
      </c>
      <c r="Q33" s="458" t="s">
        <v>137</v>
      </c>
      <c r="R33" s="37" t="s">
        <v>82</v>
      </c>
    </row>
    <row r="34" spans="1:18" s="53" customFormat="1" ht="24.95" customHeight="1" x14ac:dyDescent="0.25">
      <c r="A34" s="367">
        <v>7</v>
      </c>
      <c r="B34" s="30" t="s">
        <v>74</v>
      </c>
      <c r="C34" s="31">
        <v>965.26999999999987</v>
      </c>
      <c r="D34" s="32">
        <v>382.51</v>
      </c>
      <c r="E34" s="32">
        <v>382.51</v>
      </c>
      <c r="F34" s="32">
        <v>7.98</v>
      </c>
      <c r="G34" s="31">
        <v>133.88</v>
      </c>
      <c r="H34" s="54">
        <f t="shared" si="5"/>
        <v>1.0208621996810541</v>
      </c>
      <c r="I34" s="31">
        <v>1068.3599999999999</v>
      </c>
      <c r="J34" s="32">
        <v>0.77</v>
      </c>
      <c r="K34" s="34">
        <f t="shared" si="6"/>
        <v>2.0130192674701316E-3</v>
      </c>
      <c r="L34" s="366">
        <f t="shared" si="7"/>
        <v>103.08759999999999</v>
      </c>
      <c r="M34" s="365">
        <f t="shared" si="8"/>
        <v>7.2100000000000186</v>
      </c>
      <c r="N34" s="35">
        <f t="shared" si="9"/>
        <v>1.8849180413584007E-2</v>
      </c>
      <c r="O34" s="451" t="s">
        <v>133</v>
      </c>
      <c r="P34" s="458" t="s">
        <v>25</v>
      </c>
      <c r="Q34" s="458" t="s">
        <v>134</v>
      </c>
      <c r="R34" s="37" t="s">
        <v>75</v>
      </c>
    </row>
    <row r="35" spans="1:18" s="53" customFormat="1" ht="24.95" customHeight="1" x14ac:dyDescent="0.25">
      <c r="A35" s="364">
        <v>8</v>
      </c>
      <c r="B35" s="30" t="s">
        <v>651</v>
      </c>
      <c r="C35" s="31">
        <v>964.6</v>
      </c>
      <c r="D35" s="32">
        <v>88.36</v>
      </c>
      <c r="E35" s="32">
        <v>88.36</v>
      </c>
      <c r="F35" s="32">
        <v>2.56</v>
      </c>
      <c r="G35" s="31">
        <v>417.58</v>
      </c>
      <c r="H35" s="54">
        <f t="shared" si="5"/>
        <v>1.0289723856948847</v>
      </c>
      <c r="I35" s="31">
        <v>1069</v>
      </c>
      <c r="J35" s="32">
        <v>0.25</v>
      </c>
      <c r="K35" s="34">
        <f t="shared" si="6"/>
        <v>2.8293345405160705E-3</v>
      </c>
      <c r="L35" s="366">
        <f t="shared" si="7"/>
        <v>104.395</v>
      </c>
      <c r="M35" s="365">
        <f t="shared" si="8"/>
        <v>2.3100000000000023</v>
      </c>
      <c r="N35" s="35">
        <f t="shared" si="9"/>
        <v>2.6143051154368518E-2</v>
      </c>
      <c r="O35" s="451" t="s">
        <v>133</v>
      </c>
      <c r="P35" s="458" t="s">
        <v>25</v>
      </c>
      <c r="Q35" s="458" t="s">
        <v>134</v>
      </c>
      <c r="R35" s="37" t="s">
        <v>656</v>
      </c>
    </row>
    <row r="36" spans="1:18" s="53" customFormat="1" ht="24.95" customHeight="1" x14ac:dyDescent="0.25">
      <c r="A36" s="367">
        <v>9</v>
      </c>
      <c r="B36" s="30" t="s">
        <v>68</v>
      </c>
      <c r="C36" s="31">
        <v>893.42</v>
      </c>
      <c r="D36" s="32">
        <v>243.61</v>
      </c>
      <c r="E36" s="32">
        <v>243.61</v>
      </c>
      <c r="F36" s="32">
        <v>6.36</v>
      </c>
      <c r="G36" s="31">
        <v>156.74</v>
      </c>
      <c r="H36" s="54">
        <f t="shared" si="5"/>
        <v>1.0261073026558845</v>
      </c>
      <c r="I36" s="31">
        <v>996.87</v>
      </c>
      <c r="J36" s="32">
        <v>0.66</v>
      </c>
      <c r="K36" s="34">
        <f t="shared" si="6"/>
        <v>2.709248388818193E-3</v>
      </c>
      <c r="L36" s="366">
        <f t="shared" si="7"/>
        <v>103.44840000000001</v>
      </c>
      <c r="M36" s="365">
        <f t="shared" si="8"/>
        <v>5.7000000000000135</v>
      </c>
      <c r="N36" s="35">
        <f t="shared" si="9"/>
        <v>2.3398054267066266E-2</v>
      </c>
      <c r="O36" s="451" t="s">
        <v>133</v>
      </c>
      <c r="P36" s="458" t="s">
        <v>25</v>
      </c>
      <c r="Q36" s="458" t="s">
        <v>136</v>
      </c>
      <c r="R36" s="37" t="s">
        <v>59</v>
      </c>
    </row>
    <row r="37" spans="1:18" s="53" customFormat="1" ht="24.95" customHeight="1" thickBot="1" x14ac:dyDescent="0.3">
      <c r="A37" s="368">
        <v>10</v>
      </c>
      <c r="B37" s="40" t="s">
        <v>85</v>
      </c>
      <c r="C37" s="41">
        <v>787.45</v>
      </c>
      <c r="D37" s="42">
        <v>526.14</v>
      </c>
      <c r="E37" s="42">
        <v>526.14</v>
      </c>
      <c r="F37" s="42">
        <v>11.21</v>
      </c>
      <c r="G37" s="41">
        <v>79.459999999999994</v>
      </c>
      <c r="H37" s="58">
        <f t="shared" si="5"/>
        <v>1.0213061162428252</v>
      </c>
      <c r="I37" s="41">
        <v>890.75</v>
      </c>
      <c r="J37" s="42">
        <v>1.3</v>
      </c>
      <c r="K37" s="44">
        <f t="shared" si="6"/>
        <v>2.4708252556353825E-3</v>
      </c>
      <c r="L37" s="370">
        <f t="shared" si="7"/>
        <v>103.298</v>
      </c>
      <c r="M37" s="369">
        <f t="shared" si="8"/>
        <v>9.9100000000000357</v>
      </c>
      <c r="N37" s="45">
        <f t="shared" si="9"/>
        <v>1.8835290987189789E-2</v>
      </c>
      <c r="O37" s="59" t="s">
        <v>133</v>
      </c>
      <c r="P37" s="60" t="s">
        <v>25</v>
      </c>
      <c r="Q37" s="60" t="s">
        <v>137</v>
      </c>
      <c r="R37" s="61" t="s">
        <v>86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45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863" t="s">
        <v>97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863"/>
      <c r="B42" s="864" t="s">
        <v>100</v>
      </c>
      <c r="C42" s="865" t="s">
        <v>101</v>
      </c>
      <c r="D42" s="866" t="s">
        <v>130</v>
      </c>
      <c r="E42" s="62"/>
      <c r="G42" s="64"/>
      <c r="H42" s="65"/>
    </row>
    <row r="43" spans="1:18" ht="20.45" customHeight="1" x14ac:dyDescent="0.35">
      <c r="A43" s="863"/>
      <c r="B43" s="864"/>
      <c r="C43" s="865"/>
      <c r="D43" s="866"/>
      <c r="E43" s="62"/>
      <c r="G43" s="64"/>
      <c r="H43" s="65"/>
    </row>
    <row r="44" spans="1:18" s="68" customFormat="1" ht="24.95" customHeight="1" x14ac:dyDescent="0.35">
      <c r="A44" s="374">
        <v>1</v>
      </c>
      <c r="B44" s="30" t="s">
        <v>58</v>
      </c>
      <c r="C44" s="31">
        <v>2276.27</v>
      </c>
      <c r="D44" s="66">
        <f t="shared" ref="D44:D53" si="10">C44/$L$5</f>
        <v>0.31854522147882058</v>
      </c>
      <c r="E44" s="67"/>
      <c r="G44" s="64"/>
      <c r="H44" s="65"/>
    </row>
    <row r="45" spans="1:18" s="68" customFormat="1" ht="24.95" customHeight="1" x14ac:dyDescent="0.35">
      <c r="A45" s="375">
        <v>2</v>
      </c>
      <c r="B45" s="30" t="s">
        <v>61</v>
      </c>
      <c r="C45" s="31">
        <v>1550.51</v>
      </c>
      <c r="D45" s="66">
        <f t="shared" si="10"/>
        <v>0.21698109246931432</v>
      </c>
      <c r="E45" s="67"/>
      <c r="G45" s="64"/>
      <c r="H45" s="65"/>
    </row>
    <row r="46" spans="1:18" s="68" customFormat="1" ht="24.95" customHeight="1" x14ac:dyDescent="0.35">
      <c r="A46" s="375">
        <v>3</v>
      </c>
      <c r="B46" s="30" t="s">
        <v>69</v>
      </c>
      <c r="C46" s="31">
        <v>729.82</v>
      </c>
      <c r="D46" s="66">
        <f t="shared" si="10"/>
        <v>0.10213229253984495</v>
      </c>
      <c r="E46" s="67"/>
      <c r="G46" s="64"/>
      <c r="H46" s="65"/>
    </row>
    <row r="47" spans="1:18" s="68" customFormat="1" ht="24.95" customHeight="1" x14ac:dyDescent="0.35">
      <c r="A47" s="374">
        <v>4</v>
      </c>
      <c r="B47" s="30" t="s">
        <v>166</v>
      </c>
      <c r="C47" s="31">
        <v>314.73</v>
      </c>
      <c r="D47" s="66">
        <f t="shared" si="10"/>
        <v>4.4043868941746459E-2</v>
      </c>
      <c r="E47" s="67"/>
      <c r="G47" s="64"/>
      <c r="H47" s="65"/>
    </row>
    <row r="48" spans="1:18" s="68" customFormat="1" ht="24.95" customHeight="1" x14ac:dyDescent="0.35">
      <c r="A48" s="375">
        <v>5</v>
      </c>
      <c r="B48" s="30" t="s">
        <v>65</v>
      </c>
      <c r="C48" s="31">
        <v>239.15</v>
      </c>
      <c r="D48" s="66">
        <f t="shared" si="10"/>
        <v>3.3467071005047706E-2</v>
      </c>
      <c r="E48" s="67"/>
      <c r="G48" s="64"/>
      <c r="H48" s="65"/>
    </row>
    <row r="49" spans="1:5" s="68" customFormat="1" ht="24.95" customHeight="1" x14ac:dyDescent="0.25">
      <c r="A49" s="374">
        <v>6</v>
      </c>
      <c r="B49" s="30" t="s">
        <v>60</v>
      </c>
      <c r="C49" s="31">
        <v>150.66</v>
      </c>
      <c r="D49" s="66">
        <f t="shared" si="10"/>
        <v>2.1083624995276971E-2</v>
      </c>
      <c r="E49" s="67"/>
    </row>
    <row r="50" spans="1:5" s="68" customFormat="1" ht="24.95" customHeight="1" x14ac:dyDescent="0.25">
      <c r="A50" s="375">
        <v>7</v>
      </c>
      <c r="B50" s="30" t="s">
        <v>254</v>
      </c>
      <c r="C50" s="31">
        <v>129.91999999999999</v>
      </c>
      <c r="D50" s="66">
        <f t="shared" si="10"/>
        <v>1.8181232970837541E-2</v>
      </c>
      <c r="E50" s="67"/>
    </row>
    <row r="51" spans="1:5" s="68" customFormat="1" ht="24.95" customHeight="1" x14ac:dyDescent="0.25">
      <c r="A51" s="374">
        <v>8</v>
      </c>
      <c r="B51" s="30" t="s">
        <v>90</v>
      </c>
      <c r="C51" s="31">
        <v>105.89</v>
      </c>
      <c r="D51" s="66">
        <f t="shared" si="10"/>
        <v>1.4818432568365051E-2</v>
      </c>
      <c r="E51" s="67"/>
    </row>
    <row r="52" spans="1:5" s="68" customFormat="1" ht="24.95" customHeight="1" x14ac:dyDescent="0.25">
      <c r="A52" s="375">
        <v>9</v>
      </c>
      <c r="B52" s="30" t="s">
        <v>92</v>
      </c>
      <c r="C52" s="31">
        <v>103.79</v>
      </c>
      <c r="D52" s="66">
        <f t="shared" si="10"/>
        <v>1.4524554880258842E-2</v>
      </c>
      <c r="E52" s="67"/>
    </row>
    <row r="53" spans="1:5" s="68" customFormat="1" ht="24.95" customHeight="1" thickBot="1" x14ac:dyDescent="0.3">
      <c r="A53" s="376">
        <v>10</v>
      </c>
      <c r="B53" s="40" t="s">
        <v>226</v>
      </c>
      <c r="C53" s="41">
        <v>103.72</v>
      </c>
      <c r="D53" s="69">
        <f t="shared" si="10"/>
        <v>1.4514758957321966E-2</v>
      </c>
      <c r="E53" s="67"/>
    </row>
    <row r="54" spans="1:5" x14ac:dyDescent="0.25">
      <c r="A54" s="614" t="s">
        <v>131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14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797" priority="33" operator="containsText" text="024">
      <formula>NOT(ISERROR(SEARCH("024",A12)))</formula>
    </cfRule>
    <cfRule type="containsText" dxfId="796" priority="34" operator="containsText" text="白醬">
      <formula>NOT(ISERROR(SEARCH("白醬",A12)))</formula>
    </cfRule>
    <cfRule type="containsText" dxfId="795" priority="35" operator="containsText" text="青蔥">
      <formula>NOT(ISERROR(SEARCH("青蔥",A12)))</formula>
    </cfRule>
    <cfRule type="containsText" dxfId="794" priority="36" operator="containsText" text=")川燙小青花菜">
      <formula>NOT(ISERROR(SEARCH(")川燙小青花菜",A12)))</formula>
    </cfRule>
    <cfRule type="containsText" dxfId="793" priority="37" operator="containsText" text="湯凍">
      <formula>NOT(ISERROR(SEARCH("湯凍",A12)))</formula>
    </cfRule>
    <cfRule type="containsText" dxfId="792" priority="38" operator="containsText" text="中華">
      <formula>NOT(ISERROR(SEARCH("中華",A12)))</formula>
    </cfRule>
  </conditionalFormatting>
  <conditionalFormatting sqref="A12:A22">
    <cfRule type="containsText" dxfId="791" priority="31" operator="containsText" text="綠豆芽">
      <formula>NOT(ISERROR(SEARCH("綠豆芽",A12)))</formula>
    </cfRule>
    <cfRule type="containsText" dxfId="790" priority="32" operator="containsText" text="煮白細麵生(方#12)">
      <formula>NOT(ISERROR(SEARCH("煮白細麵生(方#12)",A12)))</formula>
    </cfRule>
  </conditionalFormatting>
  <conditionalFormatting sqref="E5">
    <cfRule type="cellIs" dxfId="789" priority="16" operator="greaterThan">
      <formula>0.0025</formula>
    </cfRule>
    <cfRule type="cellIs" dxfId="788" priority="19" operator="greaterThan">
      <formula>0.0025</formula>
    </cfRule>
    <cfRule type="cellIs" dxfId="787" priority="29" operator="greaterThan">
      <formula>0.072</formula>
    </cfRule>
    <cfRule type="cellIs" dxfId="786" priority="30" operator="greaterThan">
      <formula>7.2</formula>
    </cfRule>
  </conditionalFormatting>
  <conditionalFormatting sqref="E5">
    <cfRule type="cellIs" dxfId="785" priority="28" operator="greaterThan">
      <formula>0.0025</formula>
    </cfRule>
  </conditionalFormatting>
  <conditionalFormatting sqref="A44:A53">
    <cfRule type="containsText" dxfId="784" priority="22" operator="containsText" text="024">
      <formula>NOT(ISERROR(SEARCH("024",A44)))</formula>
    </cfRule>
    <cfRule type="containsText" dxfId="783" priority="23" operator="containsText" text="白醬">
      <formula>NOT(ISERROR(SEARCH("白醬",A44)))</formula>
    </cfRule>
    <cfRule type="containsText" dxfId="782" priority="24" operator="containsText" text="青蔥">
      <formula>NOT(ISERROR(SEARCH("青蔥",A44)))</formula>
    </cfRule>
    <cfRule type="containsText" dxfId="781" priority="25" operator="containsText" text=")川燙小青花菜">
      <formula>NOT(ISERROR(SEARCH(")川燙小青花菜",A44)))</formula>
    </cfRule>
    <cfRule type="containsText" dxfId="780" priority="26" operator="containsText" text="湯凍">
      <formula>NOT(ISERROR(SEARCH("湯凍",A44)))</formula>
    </cfRule>
    <cfRule type="containsText" dxfId="779" priority="27" operator="containsText" text="中華">
      <formula>NOT(ISERROR(SEARCH("中華",A44)))</formula>
    </cfRule>
  </conditionalFormatting>
  <conditionalFormatting sqref="A44:A53">
    <cfRule type="containsText" dxfId="778" priority="20" operator="containsText" text="綠豆芽">
      <formula>NOT(ISERROR(SEARCH("綠豆芽",A44)))</formula>
    </cfRule>
    <cfRule type="containsText" dxfId="777" priority="21" operator="containsText" text="煮白細麵生(方#12)">
      <formula>NOT(ISERROR(SEARCH("煮白細麵生(方#12)",A44)))</formula>
    </cfRule>
  </conditionalFormatting>
  <conditionalFormatting sqref="D44:D53">
    <cfRule type="cellIs" dxfId="776" priority="18" operator="greaterThan">
      <formula>0.146</formula>
    </cfRule>
  </conditionalFormatting>
  <conditionalFormatting sqref="H12:H22">
    <cfRule type="cellIs" dxfId="775" priority="17" operator="greaterThan">
      <formula>1.1</formula>
    </cfRule>
  </conditionalFormatting>
  <conditionalFormatting sqref="I5">
    <cfRule type="cellIs" dxfId="774" priority="15" operator="greaterThan">
      <formula>0.2</formula>
    </cfRule>
  </conditionalFormatting>
  <conditionalFormatting sqref="A28:A37">
    <cfRule type="containsText" dxfId="773" priority="9" operator="containsText" text="024">
      <formula>NOT(ISERROR(SEARCH("024",A28)))</formula>
    </cfRule>
    <cfRule type="containsText" dxfId="772" priority="10" operator="containsText" text="白醬">
      <formula>NOT(ISERROR(SEARCH("白醬",A28)))</formula>
    </cfRule>
    <cfRule type="containsText" dxfId="771" priority="11" operator="containsText" text="青蔥">
      <formula>NOT(ISERROR(SEARCH("青蔥",A28)))</formula>
    </cfRule>
    <cfRule type="containsText" dxfId="770" priority="12" operator="containsText" text=")川燙小青花菜">
      <formula>NOT(ISERROR(SEARCH(")川燙小青花菜",A28)))</formula>
    </cfRule>
    <cfRule type="containsText" dxfId="769" priority="13" operator="containsText" text="湯凍">
      <formula>NOT(ISERROR(SEARCH("湯凍",A28)))</formula>
    </cfRule>
    <cfRule type="containsText" dxfId="768" priority="14" operator="containsText" text="中華">
      <formula>NOT(ISERROR(SEARCH("中華",A28)))</formula>
    </cfRule>
  </conditionalFormatting>
  <conditionalFormatting sqref="A28:A37">
    <cfRule type="containsText" dxfId="767" priority="7" operator="containsText" text="綠豆芽">
      <formula>NOT(ISERROR(SEARCH("綠豆芽",A28)))</formula>
    </cfRule>
    <cfRule type="containsText" dxfId="766" priority="8" operator="containsText" text="煮白細麵生(方#12)">
      <formula>NOT(ISERROR(SEARCH("煮白細麵生(方#12)",A28)))</formula>
    </cfRule>
  </conditionalFormatting>
  <conditionalFormatting sqref="H28:H37">
    <cfRule type="cellIs" dxfId="765" priority="6" operator="greaterThan">
      <formula>1.1</formula>
    </cfRule>
  </conditionalFormatting>
  <conditionalFormatting sqref="G5">
    <cfRule type="cellIs" dxfId="764" priority="1" operator="greaterThan">
      <formula>0.0025</formula>
    </cfRule>
    <cfRule type="cellIs" dxfId="763" priority="2" operator="greaterThan">
      <formula>0.0025</formula>
    </cfRule>
    <cfRule type="cellIs" dxfId="762" priority="4" operator="greaterThan">
      <formula>0.072</formula>
    </cfRule>
    <cfRule type="cellIs" dxfId="761" priority="5" operator="greaterThan">
      <formula>7.2</formula>
    </cfRule>
  </conditionalFormatting>
  <conditionalFormatting sqref="G5">
    <cfRule type="cellIs" dxfId="76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7" zoomScale="70" zoomScaleNormal="70" zoomScaleSheetLayoutView="70" workbookViewId="0">
      <selection activeCell="Q20" sqref="Q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888" t="s">
        <v>31</v>
      </c>
      <c r="B2" s="889"/>
      <c r="C2" s="341" t="s">
        <v>32</v>
      </c>
      <c r="D2" s="890" t="s">
        <v>33</v>
      </c>
      <c r="E2" s="890"/>
      <c r="F2" s="890" t="s">
        <v>34</v>
      </c>
      <c r="G2" s="890"/>
      <c r="H2" s="890" t="s">
        <v>33</v>
      </c>
      <c r="I2" s="890"/>
      <c r="J2" s="890" t="s">
        <v>34</v>
      </c>
      <c r="K2" s="890"/>
      <c r="L2" s="890" t="s">
        <v>33</v>
      </c>
      <c r="M2" s="891"/>
      <c r="R2" s="17"/>
    </row>
    <row r="3" spans="1:18" s="18" customFormat="1" ht="28.5" x14ac:dyDescent="0.45">
      <c r="A3" s="898">
        <v>45920</v>
      </c>
      <c r="B3" s="899"/>
      <c r="C3" s="900">
        <v>4900519.26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898"/>
      <c r="B4" s="899"/>
      <c r="C4" s="900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892" t="s">
        <v>44</v>
      </c>
      <c r="B5" s="893"/>
      <c r="C5" s="893"/>
      <c r="D5" s="342">
        <v>11821.340000000006</v>
      </c>
      <c r="E5" s="22">
        <f>D5/C3</f>
        <v>2.4122627364186722E-3</v>
      </c>
      <c r="F5" s="342">
        <v>35740.400000000001</v>
      </c>
      <c r="G5" s="23">
        <f>F5/C3</f>
        <v>7.2931863143009057E-3</v>
      </c>
      <c r="H5" s="24">
        <f>SUM(C12:C21)</f>
        <v>4332.34</v>
      </c>
      <c r="I5" s="25">
        <f>H5/D5</f>
        <v>0.36648467940182738</v>
      </c>
      <c r="J5" s="24">
        <f>SUM(C28:C37)</f>
        <v>19739.989999999998</v>
      </c>
      <c r="K5" s="26">
        <f>J5/F5</f>
        <v>0.552315866638314</v>
      </c>
      <c r="L5" s="27">
        <v>5762.6100000000006</v>
      </c>
      <c r="M5" s="28">
        <f>L5/D5</f>
        <v>0.48747519316761023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665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666</v>
      </c>
      <c r="B8" s="620"/>
      <c r="C8" s="620"/>
      <c r="D8" s="620" t="s">
        <v>667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668</v>
      </c>
      <c r="Q8" s="629" t="s">
        <v>669</v>
      </c>
      <c r="R8" s="894" t="s">
        <v>670</v>
      </c>
    </row>
    <row r="9" spans="1:18" ht="20.45" customHeight="1" x14ac:dyDescent="0.25">
      <c r="A9" s="895" t="s">
        <v>671</v>
      </c>
      <c r="B9" s="634" t="s">
        <v>672</v>
      </c>
      <c r="C9" s="635"/>
      <c r="D9" s="636" t="s">
        <v>284</v>
      </c>
      <c r="E9" s="636"/>
      <c r="F9" s="636"/>
      <c r="G9" s="636"/>
      <c r="H9" s="636"/>
      <c r="I9" s="636"/>
      <c r="J9" s="637" t="s">
        <v>673</v>
      </c>
      <c r="K9" s="637"/>
      <c r="L9" s="637"/>
      <c r="M9" s="638"/>
      <c r="N9" s="638"/>
      <c r="O9" s="629"/>
      <c r="P9" s="629"/>
      <c r="Q9" s="629"/>
      <c r="R9" s="894"/>
    </row>
    <row r="10" spans="1:18" ht="20.45" customHeight="1" x14ac:dyDescent="0.3">
      <c r="A10" s="896"/>
      <c r="B10" s="901" t="s">
        <v>674</v>
      </c>
      <c r="C10" s="903" t="s">
        <v>675</v>
      </c>
      <c r="D10" s="905" t="s">
        <v>676</v>
      </c>
      <c r="E10" s="905"/>
      <c r="F10" s="905"/>
      <c r="G10" s="905"/>
      <c r="H10" s="905"/>
      <c r="I10" s="905"/>
      <c r="J10" s="906" t="s">
        <v>51</v>
      </c>
      <c r="K10" s="907"/>
      <c r="L10" s="908" t="s">
        <v>677</v>
      </c>
      <c r="M10" s="906"/>
      <c r="N10" s="906"/>
      <c r="O10" s="629"/>
      <c r="P10" s="629"/>
      <c r="Q10" s="629"/>
      <c r="R10" s="894"/>
    </row>
    <row r="11" spans="1:18" s="29" customFormat="1" ht="47.25" customHeight="1" x14ac:dyDescent="0.25">
      <c r="A11" s="897"/>
      <c r="B11" s="902"/>
      <c r="C11" s="904"/>
      <c r="D11" s="343" t="s">
        <v>678</v>
      </c>
      <c r="E11" s="343" t="s">
        <v>679</v>
      </c>
      <c r="F11" s="343" t="s">
        <v>261</v>
      </c>
      <c r="G11" s="343" t="s">
        <v>680</v>
      </c>
      <c r="H11" s="343" t="s">
        <v>681</v>
      </c>
      <c r="I11" s="343" t="s">
        <v>682</v>
      </c>
      <c r="J11" s="344" t="s">
        <v>683</v>
      </c>
      <c r="K11" s="344" t="s">
        <v>684</v>
      </c>
      <c r="L11" s="344" t="s">
        <v>685</v>
      </c>
      <c r="M11" s="344" t="s">
        <v>686</v>
      </c>
      <c r="N11" s="345" t="s">
        <v>687</v>
      </c>
      <c r="O11" s="629"/>
      <c r="P11" s="629"/>
      <c r="Q11" s="629"/>
      <c r="R11" s="894"/>
    </row>
    <row r="12" spans="1:18" s="38" customFormat="1" ht="24.95" customHeight="1" x14ac:dyDescent="0.25">
      <c r="A12" s="346">
        <v>1</v>
      </c>
      <c r="B12" s="30" t="s">
        <v>58</v>
      </c>
      <c r="C12" s="31">
        <v>1195.73</v>
      </c>
      <c r="D12" s="32">
        <v>12116</v>
      </c>
      <c r="E12" s="32">
        <v>12116</v>
      </c>
      <c r="F12" s="32">
        <v>206.16</v>
      </c>
      <c r="G12" s="31">
        <v>5.8</v>
      </c>
      <c r="H12" s="33">
        <f t="shared" ref="H12:H21" si="0">(E12+F12)/D12</f>
        <v>1.0170155166721691</v>
      </c>
      <c r="I12" s="31">
        <v>1195.73</v>
      </c>
      <c r="J12" s="32">
        <v>206.16</v>
      </c>
      <c r="K12" s="34">
        <f t="shared" ref="K12:K21" si="1">J12/D12</f>
        <v>1.7015516672169034E-2</v>
      </c>
      <c r="L12" s="347">
        <f t="shared" ref="L12:L21" si="2">((E12+F12)-D12)-J12</f>
        <v>0</v>
      </c>
      <c r="M12" s="35">
        <f t="shared" ref="M12:M21" si="3">L12/D12</f>
        <v>0</v>
      </c>
      <c r="N12" s="348">
        <f t="shared" ref="N12:N21" si="4">L12*G12</f>
        <v>0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349">
        <v>2</v>
      </c>
      <c r="B13" s="30" t="s">
        <v>69</v>
      </c>
      <c r="C13" s="31">
        <v>836.78</v>
      </c>
      <c r="D13" s="32">
        <v>7685</v>
      </c>
      <c r="E13" s="32">
        <v>7685</v>
      </c>
      <c r="F13" s="32">
        <v>119.54</v>
      </c>
      <c r="G13" s="31">
        <v>7</v>
      </c>
      <c r="H13" s="33">
        <f t="shared" si="0"/>
        <v>1.015554977228367</v>
      </c>
      <c r="I13" s="31">
        <v>836.78</v>
      </c>
      <c r="J13" s="32">
        <v>119.54</v>
      </c>
      <c r="K13" s="34">
        <f t="shared" si="1"/>
        <v>1.555497722836695E-2</v>
      </c>
      <c r="L13" s="347">
        <f t="shared" si="2"/>
        <v>0</v>
      </c>
      <c r="M13" s="35">
        <f t="shared" si="3"/>
        <v>0</v>
      </c>
      <c r="N13" s="348">
        <f t="shared" si="4"/>
        <v>0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349">
        <v>3</v>
      </c>
      <c r="B14" s="30" t="s">
        <v>80</v>
      </c>
      <c r="C14" s="31">
        <v>590.87</v>
      </c>
      <c r="D14" s="32">
        <v>242.4</v>
      </c>
      <c r="E14" s="32">
        <v>242.4</v>
      </c>
      <c r="F14" s="32">
        <v>19.55</v>
      </c>
      <c r="G14" s="31">
        <v>156.72999999999999</v>
      </c>
      <c r="H14" s="33">
        <f t="shared" si="0"/>
        <v>1.0806518151815181</v>
      </c>
      <c r="I14" s="31">
        <v>3064.07</v>
      </c>
      <c r="J14" s="32">
        <v>3.77</v>
      </c>
      <c r="K14" s="34">
        <f t="shared" si="1"/>
        <v>1.5552805280528053E-2</v>
      </c>
      <c r="L14" s="347">
        <f t="shared" si="2"/>
        <v>15.779999999999983</v>
      </c>
      <c r="M14" s="35">
        <f t="shared" si="3"/>
        <v>6.5099009900990032E-2</v>
      </c>
      <c r="N14" s="348">
        <f t="shared" si="4"/>
        <v>2473.1993999999972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346">
        <v>4</v>
      </c>
      <c r="B15" s="30" t="s">
        <v>68</v>
      </c>
      <c r="C15" s="31">
        <v>460.82</v>
      </c>
      <c r="D15" s="32">
        <v>181.09</v>
      </c>
      <c r="E15" s="32">
        <v>181.09</v>
      </c>
      <c r="F15" s="32">
        <v>14.85</v>
      </c>
      <c r="G15" s="31">
        <v>156.74</v>
      </c>
      <c r="H15" s="33">
        <f t="shared" si="0"/>
        <v>1.0820034237119664</v>
      </c>
      <c r="I15" s="31">
        <v>2327.59</v>
      </c>
      <c r="J15" s="32">
        <v>2.94</v>
      </c>
      <c r="K15" s="34">
        <f t="shared" si="1"/>
        <v>1.6235021260146889E-2</v>
      </c>
      <c r="L15" s="347">
        <f t="shared" si="2"/>
        <v>11.909999999999995</v>
      </c>
      <c r="M15" s="35">
        <f t="shared" si="3"/>
        <v>6.5768402451819502E-2</v>
      </c>
      <c r="N15" s="348">
        <f t="shared" si="4"/>
        <v>1866.7733999999994</v>
      </c>
      <c r="O15" s="36" t="s">
        <v>142</v>
      </c>
      <c r="P15" s="36" t="s">
        <v>26</v>
      </c>
      <c r="Q15" s="36" t="s">
        <v>143</v>
      </c>
      <c r="R15" s="37" t="s">
        <v>59</v>
      </c>
    </row>
    <row r="16" spans="1:18" s="39" customFormat="1" ht="24.95" customHeight="1" x14ac:dyDescent="0.25">
      <c r="A16" s="349">
        <v>5</v>
      </c>
      <c r="B16" s="30" t="s">
        <v>166</v>
      </c>
      <c r="C16" s="31">
        <v>313.68</v>
      </c>
      <c r="D16" s="32">
        <v>4750</v>
      </c>
      <c r="E16" s="32">
        <v>4750</v>
      </c>
      <c r="F16" s="32">
        <v>71.290000000000006</v>
      </c>
      <c r="G16" s="31">
        <v>4.4000000000000004</v>
      </c>
      <c r="H16" s="33">
        <f t="shared" si="0"/>
        <v>1.0150084210526316</v>
      </c>
      <c r="I16" s="31">
        <v>313.68</v>
      </c>
      <c r="J16" s="32">
        <v>71.290000000000006</v>
      </c>
      <c r="K16" s="34">
        <f t="shared" si="1"/>
        <v>1.5008421052631581E-2</v>
      </c>
      <c r="L16" s="347">
        <f t="shared" si="2"/>
        <v>0</v>
      </c>
      <c r="M16" s="35">
        <f t="shared" si="3"/>
        <v>0</v>
      </c>
      <c r="N16" s="348">
        <f t="shared" si="4"/>
        <v>0</v>
      </c>
      <c r="O16" s="36" t="s">
        <v>139</v>
      </c>
      <c r="P16" s="36" t="s">
        <v>28</v>
      </c>
      <c r="Q16" s="36" t="s">
        <v>140</v>
      </c>
      <c r="R16" s="37" t="s">
        <v>59</v>
      </c>
    </row>
    <row r="17" spans="1:18" s="38" customFormat="1" ht="24.95" customHeight="1" x14ac:dyDescent="0.25">
      <c r="A17" s="346">
        <v>6</v>
      </c>
      <c r="B17" s="30" t="s">
        <v>65</v>
      </c>
      <c r="C17" s="31">
        <v>210.26</v>
      </c>
      <c r="D17" s="32">
        <v>73.73</v>
      </c>
      <c r="E17" s="32">
        <v>73.73</v>
      </c>
      <c r="F17" s="32">
        <v>6.26</v>
      </c>
      <c r="G17" s="31">
        <v>160.5</v>
      </c>
      <c r="H17" s="33">
        <f t="shared" si="0"/>
        <v>1.0849043808490439</v>
      </c>
      <c r="I17" s="31">
        <v>1004.73</v>
      </c>
      <c r="J17" s="32">
        <v>1.31</v>
      </c>
      <c r="K17" s="34">
        <f t="shared" si="1"/>
        <v>1.7767530177675302E-2</v>
      </c>
      <c r="L17" s="347">
        <f t="shared" si="2"/>
        <v>4.9500000000000046</v>
      </c>
      <c r="M17" s="35">
        <f t="shared" si="3"/>
        <v>6.713685067136857E-2</v>
      </c>
      <c r="N17" s="348">
        <f t="shared" si="4"/>
        <v>794.4750000000007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349">
        <v>7</v>
      </c>
      <c r="B18" s="30" t="s">
        <v>60</v>
      </c>
      <c r="C18" s="31">
        <v>181.39</v>
      </c>
      <c r="D18" s="32">
        <v>197.76</v>
      </c>
      <c r="E18" s="32">
        <v>197.76</v>
      </c>
      <c r="F18" s="32">
        <v>11.76</v>
      </c>
      <c r="G18" s="31">
        <v>99.12</v>
      </c>
      <c r="H18" s="33">
        <f t="shared" si="0"/>
        <v>1.0594660194174756</v>
      </c>
      <c r="I18" s="31">
        <v>1165.6500000000001</v>
      </c>
      <c r="J18" s="32">
        <v>1.83</v>
      </c>
      <c r="K18" s="34">
        <f t="shared" si="1"/>
        <v>9.2536407766990302E-3</v>
      </c>
      <c r="L18" s="347">
        <f t="shared" si="2"/>
        <v>9.9299999999999908</v>
      </c>
      <c r="M18" s="35">
        <f t="shared" si="3"/>
        <v>5.0212378640776656E-2</v>
      </c>
      <c r="N18" s="348">
        <f t="shared" si="4"/>
        <v>984.26159999999913</v>
      </c>
      <c r="O18" s="36" t="s">
        <v>139</v>
      </c>
      <c r="P18" s="36" t="s">
        <v>25</v>
      </c>
      <c r="Q18" s="36" t="s">
        <v>141</v>
      </c>
      <c r="R18" s="37" t="s">
        <v>59</v>
      </c>
    </row>
    <row r="19" spans="1:18" s="38" customFormat="1" ht="24.95" customHeight="1" x14ac:dyDescent="0.25">
      <c r="A19" s="346">
        <v>8</v>
      </c>
      <c r="B19" s="30" t="s">
        <v>90</v>
      </c>
      <c r="C19" s="31">
        <v>181.37</v>
      </c>
      <c r="D19" s="32">
        <v>81.38</v>
      </c>
      <c r="E19" s="32">
        <v>81.38</v>
      </c>
      <c r="F19" s="32">
        <v>4.8499999999999996</v>
      </c>
      <c r="G19" s="31">
        <v>104.84</v>
      </c>
      <c r="H19" s="33">
        <f t="shared" si="0"/>
        <v>1.0595969525681985</v>
      </c>
      <c r="I19" s="31">
        <v>508.47</v>
      </c>
      <c r="J19" s="32">
        <v>1.73</v>
      </c>
      <c r="K19" s="34">
        <f t="shared" si="1"/>
        <v>2.1258294421233719E-2</v>
      </c>
      <c r="L19" s="347">
        <f t="shared" si="2"/>
        <v>3.1199999999999943</v>
      </c>
      <c r="M19" s="35">
        <f t="shared" si="3"/>
        <v>3.8338658146964792E-2</v>
      </c>
      <c r="N19" s="348">
        <f t="shared" si="4"/>
        <v>327.10079999999942</v>
      </c>
      <c r="O19" s="36" t="s">
        <v>139</v>
      </c>
      <c r="P19" s="36" t="s">
        <v>25</v>
      </c>
      <c r="Q19" s="36" t="s">
        <v>141</v>
      </c>
      <c r="R19" s="37" t="s">
        <v>59</v>
      </c>
    </row>
    <row r="20" spans="1:18" s="38" customFormat="1" ht="24.95" customHeight="1" x14ac:dyDescent="0.25">
      <c r="A20" s="349">
        <v>9</v>
      </c>
      <c r="B20" s="30" t="s">
        <v>688</v>
      </c>
      <c r="C20" s="31">
        <v>180.76</v>
      </c>
      <c r="D20" s="32">
        <v>39.020000000000003</v>
      </c>
      <c r="E20" s="32">
        <v>39.020000000000003</v>
      </c>
      <c r="F20" s="32">
        <v>2.98</v>
      </c>
      <c r="G20" s="31">
        <v>225.95</v>
      </c>
      <c r="H20" s="33">
        <f t="shared" si="0"/>
        <v>1.0763710917478215</v>
      </c>
      <c r="I20" s="31">
        <v>673.33</v>
      </c>
      <c r="J20" s="32">
        <v>0.8</v>
      </c>
      <c r="K20" s="34">
        <f t="shared" si="1"/>
        <v>2.0502306509482315E-2</v>
      </c>
      <c r="L20" s="347">
        <f t="shared" si="2"/>
        <v>2.1799999999999971</v>
      </c>
      <c r="M20" s="35">
        <f t="shared" si="3"/>
        <v>5.5868785238339234E-2</v>
      </c>
      <c r="N20" s="348">
        <f t="shared" si="4"/>
        <v>492.57099999999929</v>
      </c>
      <c r="O20" s="36" t="s">
        <v>139</v>
      </c>
      <c r="P20" s="36" t="s">
        <v>25</v>
      </c>
      <c r="Q20" s="36" t="s">
        <v>141</v>
      </c>
      <c r="R20" s="37" t="s">
        <v>182</v>
      </c>
    </row>
    <row r="21" spans="1:18" s="38" customFormat="1" ht="24.95" customHeight="1" thickBot="1" x14ac:dyDescent="0.3">
      <c r="A21" s="350">
        <v>10</v>
      </c>
      <c r="B21" s="40" t="s">
        <v>689</v>
      </c>
      <c r="C21" s="41">
        <v>180.68</v>
      </c>
      <c r="D21" s="42">
        <v>21.68</v>
      </c>
      <c r="E21" s="42">
        <v>21.68</v>
      </c>
      <c r="F21" s="42">
        <v>1.66</v>
      </c>
      <c r="G21" s="41">
        <v>354.28</v>
      </c>
      <c r="H21" s="43">
        <f t="shared" si="0"/>
        <v>1.0765682656826567</v>
      </c>
      <c r="I21" s="41">
        <v>588.1</v>
      </c>
      <c r="J21" s="42">
        <v>0.51</v>
      </c>
      <c r="K21" s="44">
        <f t="shared" si="1"/>
        <v>2.3523985239852399E-2</v>
      </c>
      <c r="L21" s="351">
        <f t="shared" si="2"/>
        <v>1.1500000000000001</v>
      </c>
      <c r="M21" s="45">
        <f t="shared" si="3"/>
        <v>5.3044280442804438E-2</v>
      </c>
      <c r="N21" s="352">
        <f t="shared" si="4"/>
        <v>407.42200000000003</v>
      </c>
      <c r="O21" s="46" t="s">
        <v>139</v>
      </c>
      <c r="P21" s="46" t="s">
        <v>25</v>
      </c>
      <c r="Q21" s="46" t="s">
        <v>141</v>
      </c>
      <c r="R21" s="47" t="s">
        <v>182</v>
      </c>
    </row>
    <row r="22" spans="1:18" s="53" customFormat="1" ht="24.95" customHeight="1" thickBot="1" x14ac:dyDescent="0.3">
      <c r="A22" s="353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54"/>
      <c r="M22" s="51"/>
      <c r="N22" s="355"/>
      <c r="O22" s="52"/>
      <c r="P22" s="52"/>
      <c r="Q22" s="52"/>
      <c r="R22" s="48"/>
    </row>
    <row r="23" spans="1:18" s="53" customFormat="1" ht="40.5" customHeight="1" x14ac:dyDescent="0.25">
      <c r="A23" s="616" t="s">
        <v>690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666</v>
      </c>
      <c r="B24" s="620"/>
      <c r="C24" s="620"/>
      <c r="D24" s="620" t="s">
        <v>691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692</v>
      </c>
      <c r="P24" s="630" t="s">
        <v>693</v>
      </c>
      <c r="Q24" s="629" t="s">
        <v>669</v>
      </c>
      <c r="R24" s="894" t="s">
        <v>694</v>
      </c>
    </row>
    <row r="25" spans="1:18" s="53" customFormat="1" ht="24.95" customHeight="1" x14ac:dyDescent="0.25">
      <c r="A25" s="895" t="s">
        <v>97</v>
      </c>
      <c r="B25" s="634" t="s">
        <v>695</v>
      </c>
      <c r="C25" s="635"/>
      <c r="D25" s="636" t="s">
        <v>696</v>
      </c>
      <c r="E25" s="636"/>
      <c r="F25" s="636"/>
      <c r="G25" s="636"/>
      <c r="H25" s="636"/>
      <c r="I25" s="636"/>
      <c r="J25" s="637" t="s">
        <v>697</v>
      </c>
      <c r="K25" s="637"/>
      <c r="L25" s="637"/>
      <c r="M25" s="638"/>
      <c r="N25" s="638"/>
      <c r="O25" s="629"/>
      <c r="P25" s="629"/>
      <c r="Q25" s="629"/>
      <c r="R25" s="894"/>
    </row>
    <row r="26" spans="1:18" s="53" customFormat="1" ht="24.95" customHeight="1" x14ac:dyDescent="0.3">
      <c r="A26" s="896"/>
      <c r="B26" s="901" t="s">
        <v>698</v>
      </c>
      <c r="C26" s="903" t="s">
        <v>699</v>
      </c>
      <c r="D26" s="905" t="s">
        <v>700</v>
      </c>
      <c r="E26" s="905"/>
      <c r="F26" s="905"/>
      <c r="G26" s="905"/>
      <c r="H26" s="905"/>
      <c r="I26" s="905"/>
      <c r="J26" s="906" t="s">
        <v>701</v>
      </c>
      <c r="K26" s="909"/>
      <c r="L26" s="907"/>
      <c r="M26" s="906" t="s">
        <v>702</v>
      </c>
      <c r="N26" s="907"/>
      <c r="O26" s="629"/>
      <c r="P26" s="629"/>
      <c r="Q26" s="629"/>
      <c r="R26" s="894"/>
    </row>
    <row r="27" spans="1:18" s="53" customFormat="1" ht="50.1" customHeight="1" x14ac:dyDescent="0.25">
      <c r="A27" s="897"/>
      <c r="B27" s="902"/>
      <c r="C27" s="904"/>
      <c r="D27" s="343" t="s">
        <v>703</v>
      </c>
      <c r="E27" s="343" t="s">
        <v>704</v>
      </c>
      <c r="F27" s="343" t="s">
        <v>705</v>
      </c>
      <c r="G27" s="343" t="s">
        <v>680</v>
      </c>
      <c r="H27" s="343" t="s">
        <v>706</v>
      </c>
      <c r="I27" s="343" t="s">
        <v>106</v>
      </c>
      <c r="J27" s="344" t="s">
        <v>683</v>
      </c>
      <c r="K27" s="344" t="s">
        <v>686</v>
      </c>
      <c r="L27" s="345" t="s">
        <v>707</v>
      </c>
      <c r="M27" s="344" t="s">
        <v>683</v>
      </c>
      <c r="N27" s="344" t="s">
        <v>57</v>
      </c>
      <c r="O27" s="629"/>
      <c r="P27" s="629"/>
      <c r="Q27" s="629"/>
      <c r="R27" s="894"/>
    </row>
    <row r="28" spans="1:18" s="53" customFormat="1" ht="24.95" customHeight="1" x14ac:dyDescent="0.25">
      <c r="A28" s="346">
        <v>1</v>
      </c>
      <c r="B28" s="30" t="s">
        <v>651</v>
      </c>
      <c r="C28" s="31">
        <v>2789.43</v>
      </c>
      <c r="D28" s="32">
        <v>82.08</v>
      </c>
      <c r="E28" s="32">
        <v>82.08</v>
      </c>
      <c r="F28" s="32">
        <v>7.11</v>
      </c>
      <c r="G28" s="31">
        <v>417.58</v>
      </c>
      <c r="H28" s="54">
        <f t="shared" ref="H28:H37" si="5">(E28+F28)/D28</f>
        <v>1.0866228070175439</v>
      </c>
      <c r="I28" s="31">
        <v>2968.99</v>
      </c>
      <c r="J28" s="32">
        <v>0.43</v>
      </c>
      <c r="K28" s="34">
        <f t="shared" ref="K28:K37" si="6">J28/D28</f>
        <v>5.238791423001949E-3</v>
      </c>
      <c r="L28" s="348">
        <f t="shared" ref="L28:L37" si="7">J28*G28</f>
        <v>179.55939999999998</v>
      </c>
      <c r="M28" s="347">
        <f t="shared" ref="M28:M37" si="8">((E28+F28)-D28)-J28</f>
        <v>6.68</v>
      </c>
      <c r="N28" s="35">
        <f t="shared" ref="N28:N37" si="9">M28/D28</f>
        <v>8.1384015594541906E-2</v>
      </c>
      <c r="O28" s="451" t="s">
        <v>133</v>
      </c>
      <c r="P28" s="458" t="s">
        <v>25</v>
      </c>
      <c r="Q28" s="458" t="s">
        <v>134</v>
      </c>
      <c r="R28" s="37" t="s">
        <v>656</v>
      </c>
    </row>
    <row r="29" spans="1:18" s="53" customFormat="1" ht="24.75" customHeight="1" x14ac:dyDescent="0.25">
      <c r="A29" s="349">
        <v>2</v>
      </c>
      <c r="B29" s="30" t="s">
        <v>80</v>
      </c>
      <c r="C29" s="31">
        <v>2473.2000000000003</v>
      </c>
      <c r="D29" s="32">
        <v>242.4</v>
      </c>
      <c r="E29" s="32">
        <v>242.4</v>
      </c>
      <c r="F29" s="32">
        <v>19.55</v>
      </c>
      <c r="G29" s="31">
        <v>156.72999999999999</v>
      </c>
      <c r="H29" s="54">
        <f t="shared" si="5"/>
        <v>1.0806518151815181</v>
      </c>
      <c r="I29" s="31">
        <v>3064.07</v>
      </c>
      <c r="J29" s="32">
        <v>3.77</v>
      </c>
      <c r="K29" s="34">
        <f t="shared" si="6"/>
        <v>1.5552805280528053E-2</v>
      </c>
      <c r="L29" s="348">
        <f t="shared" si="7"/>
        <v>590.87209999999993</v>
      </c>
      <c r="M29" s="347">
        <f t="shared" si="8"/>
        <v>15.779999999999983</v>
      </c>
      <c r="N29" s="35">
        <f t="shared" si="9"/>
        <v>6.5099009900990032E-2</v>
      </c>
      <c r="O29" s="451" t="s">
        <v>133</v>
      </c>
      <c r="P29" s="458" t="s">
        <v>25</v>
      </c>
      <c r="Q29" s="458" t="s">
        <v>136</v>
      </c>
      <c r="R29" s="37" t="s">
        <v>59</v>
      </c>
    </row>
    <row r="30" spans="1:18" s="53" customFormat="1" ht="24.95" customHeight="1" x14ac:dyDescent="0.25">
      <c r="A30" s="349">
        <v>3</v>
      </c>
      <c r="B30" s="30" t="s">
        <v>531</v>
      </c>
      <c r="C30" s="31">
        <v>2395.91</v>
      </c>
      <c r="D30" s="32">
        <v>84.76</v>
      </c>
      <c r="E30" s="32">
        <v>84.76</v>
      </c>
      <c r="F30" s="32">
        <v>8.2100000000000009</v>
      </c>
      <c r="G30" s="31">
        <v>313.60000000000002</v>
      </c>
      <c r="H30" s="54">
        <f t="shared" si="5"/>
        <v>1.0968617272298253</v>
      </c>
      <c r="I30" s="31">
        <v>2574.66</v>
      </c>
      <c r="J30" s="57">
        <v>0.56999999999999995</v>
      </c>
      <c r="K30" s="34">
        <f t="shared" si="6"/>
        <v>6.7248702218027359E-3</v>
      </c>
      <c r="L30" s="348">
        <f t="shared" si="7"/>
        <v>178.75200000000001</v>
      </c>
      <c r="M30" s="347">
        <f t="shared" si="8"/>
        <v>7.6399999999999935</v>
      </c>
      <c r="N30" s="35">
        <f t="shared" si="9"/>
        <v>9.013685700802257E-2</v>
      </c>
      <c r="O30" s="451" t="s">
        <v>133</v>
      </c>
      <c r="P30" s="458" t="s">
        <v>25</v>
      </c>
      <c r="Q30" s="458" t="s">
        <v>136</v>
      </c>
      <c r="R30" s="37" t="s">
        <v>59</v>
      </c>
    </row>
    <row r="31" spans="1:18" s="53" customFormat="1" ht="24.95" customHeight="1" x14ac:dyDescent="0.25">
      <c r="A31" s="346">
        <v>4</v>
      </c>
      <c r="B31" s="30" t="s">
        <v>70</v>
      </c>
      <c r="C31" s="31">
        <v>2344.7800000000002</v>
      </c>
      <c r="D31" s="32">
        <v>36.119999999999997</v>
      </c>
      <c r="E31" s="32">
        <v>36.119999999999997</v>
      </c>
      <c r="F31" s="32">
        <v>3.1</v>
      </c>
      <c r="G31" s="31">
        <v>814.16</v>
      </c>
      <c r="H31" s="54">
        <f t="shared" si="5"/>
        <v>1.0858250276854928</v>
      </c>
      <c r="I31" s="31">
        <v>2523.9</v>
      </c>
      <c r="J31" s="32">
        <v>0.22</v>
      </c>
      <c r="K31" s="34">
        <f t="shared" si="6"/>
        <v>6.090808416389812E-3</v>
      </c>
      <c r="L31" s="348">
        <f t="shared" si="7"/>
        <v>179.11519999999999</v>
      </c>
      <c r="M31" s="347">
        <f t="shared" si="8"/>
        <v>2.8800000000000012</v>
      </c>
      <c r="N31" s="35">
        <f t="shared" si="9"/>
        <v>7.9734219269103027E-2</v>
      </c>
      <c r="O31" s="451" t="s">
        <v>133</v>
      </c>
      <c r="P31" s="458" t="s">
        <v>27</v>
      </c>
      <c r="Q31" s="458" t="s">
        <v>659</v>
      </c>
      <c r="R31" s="37" t="s">
        <v>71</v>
      </c>
    </row>
    <row r="32" spans="1:18" s="53" customFormat="1" ht="24.95" customHeight="1" x14ac:dyDescent="0.25">
      <c r="A32" s="349">
        <v>5</v>
      </c>
      <c r="B32" s="30" t="s">
        <v>183</v>
      </c>
      <c r="C32" s="31">
        <v>1919.55</v>
      </c>
      <c r="D32" s="32">
        <v>81.38</v>
      </c>
      <c r="E32" s="32">
        <v>81.38</v>
      </c>
      <c r="F32" s="32">
        <v>5.12</v>
      </c>
      <c r="G32" s="31">
        <v>410.16</v>
      </c>
      <c r="H32" s="54">
        <f t="shared" si="5"/>
        <v>1.0629147210616861</v>
      </c>
      <c r="I32" s="31">
        <v>2100.02</v>
      </c>
      <c r="J32" s="32">
        <v>0.44</v>
      </c>
      <c r="K32" s="34">
        <f t="shared" si="6"/>
        <v>5.4067338412386338E-3</v>
      </c>
      <c r="L32" s="348">
        <f t="shared" si="7"/>
        <v>180.47040000000001</v>
      </c>
      <c r="M32" s="347">
        <f t="shared" si="8"/>
        <v>4.6800000000000042</v>
      </c>
      <c r="N32" s="35">
        <f t="shared" si="9"/>
        <v>5.7507987220447337E-2</v>
      </c>
      <c r="O32" s="451" t="s">
        <v>133</v>
      </c>
      <c r="P32" s="458" t="s">
        <v>25</v>
      </c>
      <c r="Q32" s="458" t="s">
        <v>134</v>
      </c>
      <c r="R32" s="37" t="s">
        <v>59</v>
      </c>
    </row>
    <row r="33" spans="1:18" s="53" customFormat="1" ht="24.95" customHeight="1" x14ac:dyDescent="0.25">
      <c r="A33" s="346">
        <v>6</v>
      </c>
      <c r="B33" s="30" t="s">
        <v>68</v>
      </c>
      <c r="C33" s="31">
        <v>1866.7700000000002</v>
      </c>
      <c r="D33" s="32">
        <v>181.09</v>
      </c>
      <c r="E33" s="32">
        <v>181.09</v>
      </c>
      <c r="F33" s="32">
        <v>14.85</v>
      </c>
      <c r="G33" s="31">
        <v>156.74</v>
      </c>
      <c r="H33" s="54">
        <f t="shared" si="5"/>
        <v>1.0820034237119664</v>
      </c>
      <c r="I33" s="31">
        <v>2327.59</v>
      </c>
      <c r="J33" s="32">
        <v>2.94</v>
      </c>
      <c r="K33" s="34">
        <f t="shared" si="6"/>
        <v>1.6235021260146889E-2</v>
      </c>
      <c r="L33" s="348">
        <f t="shared" si="7"/>
        <v>460.81560000000002</v>
      </c>
      <c r="M33" s="347">
        <f t="shared" si="8"/>
        <v>11.909999999999995</v>
      </c>
      <c r="N33" s="35">
        <f t="shared" si="9"/>
        <v>6.5768402451819502E-2</v>
      </c>
      <c r="O33" s="451" t="s">
        <v>133</v>
      </c>
      <c r="P33" s="458" t="s">
        <v>25</v>
      </c>
      <c r="Q33" s="458" t="s">
        <v>136</v>
      </c>
      <c r="R33" s="37" t="s">
        <v>59</v>
      </c>
    </row>
    <row r="34" spans="1:18" s="53" customFormat="1" ht="24.95" customHeight="1" x14ac:dyDescent="0.25">
      <c r="A34" s="349">
        <v>7</v>
      </c>
      <c r="B34" s="30" t="s">
        <v>304</v>
      </c>
      <c r="C34" s="31">
        <v>1811.24</v>
      </c>
      <c r="D34" s="32">
        <v>77.260000000000005</v>
      </c>
      <c r="E34" s="32">
        <v>77.260000000000005</v>
      </c>
      <c r="F34" s="32">
        <v>6.25</v>
      </c>
      <c r="G34" s="31">
        <v>318.32</v>
      </c>
      <c r="H34" s="54">
        <f t="shared" si="5"/>
        <v>1.0808956769350246</v>
      </c>
      <c r="I34" s="31">
        <v>1989.5</v>
      </c>
      <c r="J34" s="32">
        <v>0.56000000000000005</v>
      </c>
      <c r="K34" s="34">
        <f t="shared" si="6"/>
        <v>7.2482526533782033E-3</v>
      </c>
      <c r="L34" s="348">
        <f t="shared" si="7"/>
        <v>178.25920000000002</v>
      </c>
      <c r="M34" s="347">
        <f t="shared" si="8"/>
        <v>5.6899999999999995</v>
      </c>
      <c r="N34" s="35">
        <f t="shared" si="9"/>
        <v>7.3647424281646376E-2</v>
      </c>
      <c r="O34" s="451" t="s">
        <v>133</v>
      </c>
      <c r="P34" s="458" t="s">
        <v>27</v>
      </c>
      <c r="Q34" s="458" t="s">
        <v>659</v>
      </c>
      <c r="R34" s="37" t="s">
        <v>77</v>
      </c>
    </row>
    <row r="35" spans="1:18" s="53" customFormat="1" ht="24.95" customHeight="1" x14ac:dyDescent="0.25">
      <c r="A35" s="346">
        <v>8</v>
      </c>
      <c r="B35" s="30" t="s">
        <v>609</v>
      </c>
      <c r="C35" s="31">
        <v>1639.45</v>
      </c>
      <c r="D35" s="32">
        <v>64.97</v>
      </c>
      <c r="E35" s="32">
        <v>64.97</v>
      </c>
      <c r="F35" s="32">
        <v>5.45</v>
      </c>
      <c r="G35" s="31">
        <v>333.9</v>
      </c>
      <c r="H35" s="54">
        <f t="shared" si="5"/>
        <v>1.0838848699399724</v>
      </c>
      <c r="I35" s="31">
        <v>1819.76</v>
      </c>
      <c r="J35" s="32">
        <v>0.54</v>
      </c>
      <c r="K35" s="34">
        <f t="shared" si="6"/>
        <v>8.3115283977220258E-3</v>
      </c>
      <c r="L35" s="348">
        <f t="shared" si="7"/>
        <v>180.30600000000001</v>
      </c>
      <c r="M35" s="347">
        <f t="shared" si="8"/>
        <v>4.9100000000000028</v>
      </c>
      <c r="N35" s="35">
        <f t="shared" si="9"/>
        <v>7.5573341542250316E-2</v>
      </c>
      <c r="O35" s="451" t="s">
        <v>133</v>
      </c>
      <c r="P35" s="458" t="s">
        <v>27</v>
      </c>
      <c r="Q35" s="458" t="s">
        <v>659</v>
      </c>
      <c r="R35" s="37" t="s">
        <v>86</v>
      </c>
    </row>
    <row r="36" spans="1:18" s="53" customFormat="1" ht="24.95" customHeight="1" x14ac:dyDescent="0.25">
      <c r="A36" s="349">
        <v>9</v>
      </c>
      <c r="B36" s="30" t="s">
        <v>610</v>
      </c>
      <c r="C36" s="31">
        <v>1274.5899999999999</v>
      </c>
      <c r="D36" s="32">
        <v>22.97</v>
      </c>
      <c r="E36" s="32">
        <v>22.97</v>
      </c>
      <c r="F36" s="32">
        <v>1.56</v>
      </c>
      <c r="G36" s="31">
        <v>930.36</v>
      </c>
      <c r="H36" s="54">
        <f t="shared" si="5"/>
        <v>1.0679146713104049</v>
      </c>
      <c r="I36" s="31">
        <v>1451.36</v>
      </c>
      <c r="J36" s="32">
        <v>0.19</v>
      </c>
      <c r="K36" s="34">
        <f t="shared" si="6"/>
        <v>8.2716586852416198E-3</v>
      </c>
      <c r="L36" s="348">
        <f t="shared" si="7"/>
        <v>176.76840000000001</v>
      </c>
      <c r="M36" s="347">
        <f t="shared" si="8"/>
        <v>1.3699999999999988</v>
      </c>
      <c r="N36" s="35">
        <f t="shared" si="9"/>
        <v>5.9643012625163208E-2</v>
      </c>
      <c r="O36" s="451" t="s">
        <v>133</v>
      </c>
      <c r="P36" s="458" t="s">
        <v>25</v>
      </c>
      <c r="Q36" s="458" t="s">
        <v>135</v>
      </c>
      <c r="R36" s="37" t="s">
        <v>77</v>
      </c>
    </row>
    <row r="37" spans="1:18" s="53" customFormat="1" ht="24.95" customHeight="1" thickBot="1" x14ac:dyDescent="0.3">
      <c r="A37" s="350">
        <v>10</v>
      </c>
      <c r="B37" s="40" t="s">
        <v>92</v>
      </c>
      <c r="C37" s="41">
        <v>1225.0700000000002</v>
      </c>
      <c r="D37" s="42">
        <v>81.22</v>
      </c>
      <c r="E37" s="42">
        <v>81.22</v>
      </c>
      <c r="F37" s="42">
        <v>6.9</v>
      </c>
      <c r="G37" s="41">
        <v>203.5</v>
      </c>
      <c r="H37" s="58">
        <f t="shared" si="5"/>
        <v>1.0849544447180499</v>
      </c>
      <c r="I37" s="41">
        <v>1404.15</v>
      </c>
      <c r="J37" s="42">
        <v>0.88</v>
      </c>
      <c r="K37" s="44">
        <f t="shared" si="6"/>
        <v>1.0834769761142575E-2</v>
      </c>
      <c r="L37" s="352">
        <f t="shared" si="7"/>
        <v>179.08</v>
      </c>
      <c r="M37" s="351">
        <f t="shared" si="8"/>
        <v>6.0200000000000058</v>
      </c>
      <c r="N37" s="45">
        <f t="shared" si="9"/>
        <v>7.4119674956907244E-2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265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708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910" t="s">
        <v>97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910"/>
      <c r="B42" s="911" t="s">
        <v>100</v>
      </c>
      <c r="C42" s="912" t="s">
        <v>675</v>
      </c>
      <c r="D42" s="894" t="s">
        <v>709</v>
      </c>
      <c r="E42" s="62"/>
      <c r="G42" s="64"/>
      <c r="H42" s="65"/>
    </row>
    <row r="43" spans="1:18" ht="20.45" customHeight="1" x14ac:dyDescent="0.35">
      <c r="A43" s="910"/>
      <c r="B43" s="911"/>
      <c r="C43" s="912"/>
      <c r="D43" s="894"/>
      <c r="E43" s="62"/>
      <c r="G43" s="64"/>
      <c r="H43" s="65"/>
    </row>
    <row r="44" spans="1:18" s="68" customFormat="1" ht="24.95" customHeight="1" x14ac:dyDescent="0.35">
      <c r="A44" s="356">
        <v>1</v>
      </c>
      <c r="B44" s="30" t="s">
        <v>58</v>
      </c>
      <c r="C44" s="31">
        <v>1195.73</v>
      </c>
      <c r="D44" s="66">
        <f t="shared" ref="D44:D53" si="10">C44/$L$5</f>
        <v>0.20749799136155317</v>
      </c>
      <c r="E44" s="67"/>
      <c r="G44" s="64"/>
      <c r="H44" s="65"/>
    </row>
    <row r="45" spans="1:18" s="68" customFormat="1" ht="24.95" customHeight="1" x14ac:dyDescent="0.35">
      <c r="A45" s="357">
        <v>2</v>
      </c>
      <c r="B45" s="30" t="s">
        <v>69</v>
      </c>
      <c r="C45" s="31">
        <v>836.78</v>
      </c>
      <c r="D45" s="66">
        <f t="shared" si="10"/>
        <v>0.1452085079503905</v>
      </c>
      <c r="E45" s="67"/>
      <c r="G45" s="64"/>
      <c r="H45" s="65"/>
    </row>
    <row r="46" spans="1:18" s="68" customFormat="1" ht="24.95" customHeight="1" x14ac:dyDescent="0.35">
      <c r="A46" s="357">
        <v>3</v>
      </c>
      <c r="B46" s="30" t="s">
        <v>80</v>
      </c>
      <c r="C46" s="31">
        <v>590.87</v>
      </c>
      <c r="D46" s="66">
        <f t="shared" si="10"/>
        <v>0.10253513598872732</v>
      </c>
      <c r="E46" s="67"/>
      <c r="G46" s="64"/>
      <c r="H46" s="65"/>
    </row>
    <row r="47" spans="1:18" s="68" customFormat="1" ht="24.95" customHeight="1" x14ac:dyDescent="0.35">
      <c r="A47" s="356">
        <v>4</v>
      </c>
      <c r="B47" s="30" t="s">
        <v>68</v>
      </c>
      <c r="C47" s="31">
        <v>460.82</v>
      </c>
      <c r="D47" s="66">
        <f t="shared" si="10"/>
        <v>7.9967237067925814E-2</v>
      </c>
      <c r="E47" s="67"/>
      <c r="G47" s="64"/>
      <c r="H47" s="65"/>
    </row>
    <row r="48" spans="1:18" s="68" customFormat="1" ht="24.95" customHeight="1" x14ac:dyDescent="0.35">
      <c r="A48" s="357">
        <v>5</v>
      </c>
      <c r="B48" s="30" t="s">
        <v>166</v>
      </c>
      <c r="C48" s="31">
        <v>313.68</v>
      </c>
      <c r="D48" s="66">
        <f t="shared" si="10"/>
        <v>5.4433668077485717E-2</v>
      </c>
      <c r="E48" s="67"/>
      <c r="G48" s="64"/>
      <c r="H48" s="65"/>
    </row>
    <row r="49" spans="1:5" s="68" customFormat="1" ht="24.95" customHeight="1" x14ac:dyDescent="0.25">
      <c r="A49" s="356">
        <v>6</v>
      </c>
      <c r="B49" s="30" t="s">
        <v>65</v>
      </c>
      <c r="C49" s="31">
        <v>210.26</v>
      </c>
      <c r="D49" s="66">
        <f t="shared" si="10"/>
        <v>3.6486939077952522E-2</v>
      </c>
      <c r="E49" s="67"/>
    </row>
    <row r="50" spans="1:5" s="68" customFormat="1" ht="24.95" customHeight="1" x14ac:dyDescent="0.25">
      <c r="A50" s="357">
        <v>7</v>
      </c>
      <c r="B50" s="30" t="s">
        <v>60</v>
      </c>
      <c r="C50" s="31">
        <v>181.39</v>
      </c>
      <c r="D50" s="66">
        <f t="shared" si="10"/>
        <v>3.1477056403261712E-2</v>
      </c>
      <c r="E50" s="67"/>
    </row>
    <row r="51" spans="1:5" s="68" customFormat="1" ht="24.95" customHeight="1" x14ac:dyDescent="0.25">
      <c r="A51" s="356">
        <v>8</v>
      </c>
      <c r="B51" s="30" t="s">
        <v>90</v>
      </c>
      <c r="C51" s="31">
        <v>181.37</v>
      </c>
      <c r="D51" s="66">
        <f t="shared" si="10"/>
        <v>3.1473585753677584E-2</v>
      </c>
      <c r="E51" s="67"/>
    </row>
    <row r="52" spans="1:5" s="68" customFormat="1" ht="24.95" customHeight="1" x14ac:dyDescent="0.25">
      <c r="A52" s="357">
        <v>9</v>
      </c>
      <c r="B52" s="30" t="s">
        <v>183</v>
      </c>
      <c r="C52" s="31">
        <v>180.47</v>
      </c>
      <c r="D52" s="66">
        <f t="shared" si="10"/>
        <v>3.1317406522391761E-2</v>
      </c>
      <c r="E52" s="67"/>
    </row>
    <row r="53" spans="1:5" s="68" customFormat="1" ht="24.95" customHeight="1" thickBot="1" x14ac:dyDescent="0.3">
      <c r="A53" s="358">
        <v>10</v>
      </c>
      <c r="B53" s="40" t="s">
        <v>227</v>
      </c>
      <c r="C53" s="41">
        <v>179.86</v>
      </c>
      <c r="D53" s="69">
        <f t="shared" si="10"/>
        <v>3.1211551710075815E-2</v>
      </c>
      <c r="E53" s="67"/>
    </row>
    <row r="54" spans="1:5" x14ac:dyDescent="0.25">
      <c r="A54" s="614" t="s">
        <v>710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711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759" priority="33" operator="containsText" text="024">
      <formula>NOT(ISERROR(SEARCH("024",A12)))</formula>
    </cfRule>
    <cfRule type="containsText" dxfId="758" priority="34" operator="containsText" text="白醬">
      <formula>NOT(ISERROR(SEARCH("白醬",A12)))</formula>
    </cfRule>
    <cfRule type="containsText" dxfId="757" priority="35" operator="containsText" text="青蔥">
      <formula>NOT(ISERROR(SEARCH("青蔥",A12)))</formula>
    </cfRule>
    <cfRule type="containsText" dxfId="756" priority="36" operator="containsText" text=")川燙小青花菜">
      <formula>NOT(ISERROR(SEARCH(")川燙小青花菜",A12)))</formula>
    </cfRule>
    <cfRule type="containsText" dxfId="755" priority="37" operator="containsText" text="湯凍">
      <formula>NOT(ISERROR(SEARCH("湯凍",A12)))</formula>
    </cfRule>
    <cfRule type="containsText" dxfId="754" priority="38" operator="containsText" text="中華">
      <formula>NOT(ISERROR(SEARCH("中華",A12)))</formula>
    </cfRule>
  </conditionalFormatting>
  <conditionalFormatting sqref="A12:A22">
    <cfRule type="containsText" dxfId="753" priority="31" operator="containsText" text="綠豆芽">
      <formula>NOT(ISERROR(SEARCH("綠豆芽",A12)))</formula>
    </cfRule>
    <cfRule type="containsText" dxfId="752" priority="32" operator="containsText" text="煮白細麵生(方#12)">
      <formula>NOT(ISERROR(SEARCH("煮白細麵生(方#12)",A12)))</formula>
    </cfRule>
  </conditionalFormatting>
  <conditionalFormatting sqref="E5">
    <cfRule type="cellIs" dxfId="751" priority="16" operator="greaterThan">
      <formula>0.0025</formula>
    </cfRule>
    <cfRule type="cellIs" dxfId="750" priority="19" operator="greaterThan">
      <formula>0.0025</formula>
    </cfRule>
    <cfRule type="cellIs" dxfId="749" priority="29" operator="greaterThan">
      <formula>0.072</formula>
    </cfRule>
    <cfRule type="cellIs" dxfId="748" priority="30" operator="greaterThan">
      <formula>7.2</formula>
    </cfRule>
  </conditionalFormatting>
  <conditionalFormatting sqref="E5">
    <cfRule type="cellIs" dxfId="747" priority="28" operator="greaterThan">
      <formula>0.0025</formula>
    </cfRule>
  </conditionalFormatting>
  <conditionalFormatting sqref="A44:A53">
    <cfRule type="containsText" dxfId="746" priority="22" operator="containsText" text="024">
      <formula>NOT(ISERROR(SEARCH("024",A44)))</formula>
    </cfRule>
    <cfRule type="containsText" dxfId="745" priority="23" operator="containsText" text="白醬">
      <formula>NOT(ISERROR(SEARCH("白醬",A44)))</formula>
    </cfRule>
    <cfRule type="containsText" dxfId="744" priority="24" operator="containsText" text="青蔥">
      <formula>NOT(ISERROR(SEARCH("青蔥",A44)))</formula>
    </cfRule>
    <cfRule type="containsText" dxfId="743" priority="25" operator="containsText" text=")川燙小青花菜">
      <formula>NOT(ISERROR(SEARCH(")川燙小青花菜",A44)))</formula>
    </cfRule>
    <cfRule type="containsText" dxfId="742" priority="26" operator="containsText" text="湯凍">
      <formula>NOT(ISERROR(SEARCH("湯凍",A44)))</formula>
    </cfRule>
    <cfRule type="containsText" dxfId="741" priority="27" operator="containsText" text="中華">
      <formula>NOT(ISERROR(SEARCH("中華",A44)))</formula>
    </cfRule>
  </conditionalFormatting>
  <conditionalFormatting sqref="A44:A53">
    <cfRule type="containsText" dxfId="740" priority="20" operator="containsText" text="綠豆芽">
      <formula>NOT(ISERROR(SEARCH("綠豆芽",A44)))</formula>
    </cfRule>
    <cfRule type="containsText" dxfId="739" priority="21" operator="containsText" text="煮白細麵生(方#12)">
      <formula>NOT(ISERROR(SEARCH("煮白細麵生(方#12)",A44)))</formula>
    </cfRule>
  </conditionalFormatting>
  <conditionalFormatting sqref="D44:D53">
    <cfRule type="cellIs" dxfId="738" priority="18" operator="greaterThan">
      <formula>0.146</formula>
    </cfRule>
  </conditionalFormatting>
  <conditionalFormatting sqref="H12:H22">
    <cfRule type="cellIs" dxfId="737" priority="17" operator="greaterThan">
      <formula>1.1</formula>
    </cfRule>
  </conditionalFormatting>
  <conditionalFormatting sqref="I5">
    <cfRule type="cellIs" dxfId="736" priority="15" operator="greaterThan">
      <formula>0.2</formula>
    </cfRule>
  </conditionalFormatting>
  <conditionalFormatting sqref="A28:A37">
    <cfRule type="containsText" dxfId="735" priority="9" operator="containsText" text="024">
      <formula>NOT(ISERROR(SEARCH("024",A28)))</formula>
    </cfRule>
    <cfRule type="containsText" dxfId="734" priority="10" operator="containsText" text="白醬">
      <formula>NOT(ISERROR(SEARCH("白醬",A28)))</formula>
    </cfRule>
    <cfRule type="containsText" dxfId="733" priority="11" operator="containsText" text="青蔥">
      <formula>NOT(ISERROR(SEARCH("青蔥",A28)))</formula>
    </cfRule>
    <cfRule type="containsText" dxfId="732" priority="12" operator="containsText" text=")川燙小青花菜">
      <formula>NOT(ISERROR(SEARCH(")川燙小青花菜",A28)))</formula>
    </cfRule>
    <cfRule type="containsText" dxfId="731" priority="13" operator="containsText" text="湯凍">
      <formula>NOT(ISERROR(SEARCH("湯凍",A28)))</formula>
    </cfRule>
    <cfRule type="containsText" dxfId="730" priority="14" operator="containsText" text="中華">
      <formula>NOT(ISERROR(SEARCH("中華",A28)))</formula>
    </cfRule>
  </conditionalFormatting>
  <conditionalFormatting sqref="A28:A37">
    <cfRule type="containsText" dxfId="729" priority="7" operator="containsText" text="綠豆芽">
      <formula>NOT(ISERROR(SEARCH("綠豆芽",A28)))</formula>
    </cfRule>
    <cfRule type="containsText" dxfId="728" priority="8" operator="containsText" text="煮白細麵生(方#12)">
      <formula>NOT(ISERROR(SEARCH("煮白細麵生(方#12)",A28)))</formula>
    </cfRule>
  </conditionalFormatting>
  <conditionalFormatting sqref="H28:H37">
    <cfRule type="cellIs" dxfId="727" priority="6" operator="greaterThan">
      <formula>1.1</formula>
    </cfRule>
  </conditionalFormatting>
  <conditionalFormatting sqref="G5">
    <cfRule type="cellIs" dxfId="726" priority="1" operator="greaterThan">
      <formula>0.0025</formula>
    </cfRule>
    <cfRule type="cellIs" dxfId="725" priority="2" operator="greaterThan">
      <formula>0.0025</formula>
    </cfRule>
    <cfRule type="cellIs" dxfId="724" priority="4" operator="greaterThan">
      <formula>0.072</formula>
    </cfRule>
    <cfRule type="cellIs" dxfId="723" priority="5" operator="greaterThan">
      <formula>7.2</formula>
    </cfRule>
  </conditionalFormatting>
  <conditionalFormatting sqref="G5">
    <cfRule type="cellIs" dxfId="72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0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913" t="s">
        <v>31</v>
      </c>
      <c r="B2" s="914"/>
      <c r="C2" s="413" t="s">
        <v>32</v>
      </c>
      <c r="D2" s="915" t="s">
        <v>33</v>
      </c>
      <c r="E2" s="915"/>
      <c r="F2" s="915" t="s">
        <v>34</v>
      </c>
      <c r="G2" s="915"/>
      <c r="H2" s="915" t="s">
        <v>33</v>
      </c>
      <c r="I2" s="915"/>
      <c r="J2" s="915" t="s">
        <v>34</v>
      </c>
      <c r="K2" s="915"/>
      <c r="L2" s="915" t="s">
        <v>33</v>
      </c>
      <c r="M2" s="916"/>
      <c r="R2" s="17"/>
    </row>
    <row r="3" spans="1:18" s="18" customFormat="1" ht="28.5" x14ac:dyDescent="0.45">
      <c r="A3" s="923">
        <v>45919</v>
      </c>
      <c r="B3" s="924"/>
      <c r="C3" s="925">
        <v>4674568.32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923"/>
      <c r="B4" s="924"/>
      <c r="C4" s="92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917" t="s">
        <v>44</v>
      </c>
      <c r="B5" s="918"/>
      <c r="C5" s="918"/>
      <c r="D5" s="414">
        <v>11259.97</v>
      </c>
      <c r="E5" s="22">
        <f>D5/C3</f>
        <v>2.4087721537461664E-3</v>
      </c>
      <c r="F5" s="414">
        <v>35142.329999999987</v>
      </c>
      <c r="G5" s="23">
        <f>F5/C3</f>
        <v>7.5177701114442124E-3</v>
      </c>
      <c r="H5" s="24">
        <f>SUM(C12:C21)</f>
        <v>7911.7799999999988</v>
      </c>
      <c r="I5" s="25">
        <f>H5/D5</f>
        <v>0.70264663227344293</v>
      </c>
      <c r="J5" s="24">
        <f>SUM(C28:C37)</f>
        <v>11626.099999999999</v>
      </c>
      <c r="K5" s="26">
        <f>J5/F5</f>
        <v>0.33082894617403008</v>
      </c>
      <c r="L5" s="27">
        <v>8404.2899999999991</v>
      </c>
      <c r="M5" s="28">
        <f>L5/D5</f>
        <v>0.74638653566572555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801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802</v>
      </c>
      <c r="B8" s="620"/>
      <c r="C8" s="620"/>
      <c r="D8" s="620" t="s">
        <v>803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804</v>
      </c>
      <c r="P8" s="630" t="s">
        <v>47</v>
      </c>
      <c r="Q8" s="629" t="s">
        <v>96</v>
      </c>
      <c r="R8" s="919" t="s">
        <v>805</v>
      </c>
    </row>
    <row r="9" spans="1:18" ht="20.45" customHeight="1" x14ac:dyDescent="0.25">
      <c r="A9" s="920" t="s">
        <v>806</v>
      </c>
      <c r="B9" s="634" t="s">
        <v>807</v>
      </c>
      <c r="C9" s="635"/>
      <c r="D9" s="636" t="s">
        <v>808</v>
      </c>
      <c r="E9" s="636"/>
      <c r="F9" s="636"/>
      <c r="G9" s="636"/>
      <c r="H9" s="636"/>
      <c r="I9" s="636"/>
      <c r="J9" s="637" t="s">
        <v>809</v>
      </c>
      <c r="K9" s="637"/>
      <c r="L9" s="637"/>
      <c r="M9" s="638"/>
      <c r="N9" s="638"/>
      <c r="O9" s="629"/>
      <c r="P9" s="629"/>
      <c r="Q9" s="629"/>
      <c r="R9" s="919"/>
    </row>
    <row r="10" spans="1:18" ht="20.45" customHeight="1" x14ac:dyDescent="0.3">
      <c r="A10" s="921"/>
      <c r="B10" s="926" t="s">
        <v>100</v>
      </c>
      <c r="C10" s="928" t="s">
        <v>101</v>
      </c>
      <c r="D10" s="930" t="s">
        <v>50</v>
      </c>
      <c r="E10" s="930"/>
      <c r="F10" s="930"/>
      <c r="G10" s="930"/>
      <c r="H10" s="930"/>
      <c r="I10" s="930"/>
      <c r="J10" s="931" t="s">
        <v>51</v>
      </c>
      <c r="K10" s="932"/>
      <c r="L10" s="933" t="s">
        <v>810</v>
      </c>
      <c r="M10" s="931"/>
      <c r="N10" s="931"/>
      <c r="O10" s="629"/>
      <c r="P10" s="629"/>
      <c r="Q10" s="629"/>
      <c r="R10" s="919"/>
    </row>
    <row r="11" spans="1:18" s="29" customFormat="1" ht="47.25" customHeight="1" x14ac:dyDescent="0.25">
      <c r="A11" s="922"/>
      <c r="B11" s="927"/>
      <c r="C11" s="929"/>
      <c r="D11" s="415" t="s">
        <v>52</v>
      </c>
      <c r="E11" s="415" t="s">
        <v>811</v>
      </c>
      <c r="F11" s="415" t="s">
        <v>53</v>
      </c>
      <c r="G11" s="415" t="s">
        <v>54</v>
      </c>
      <c r="H11" s="415" t="s">
        <v>812</v>
      </c>
      <c r="I11" s="415" t="s">
        <v>813</v>
      </c>
      <c r="J11" s="416" t="s">
        <v>814</v>
      </c>
      <c r="K11" s="416" t="s">
        <v>57</v>
      </c>
      <c r="L11" s="416" t="s">
        <v>56</v>
      </c>
      <c r="M11" s="416" t="s">
        <v>815</v>
      </c>
      <c r="N11" s="417" t="s">
        <v>109</v>
      </c>
      <c r="O11" s="629"/>
      <c r="P11" s="629"/>
      <c r="Q11" s="629"/>
      <c r="R11" s="919"/>
    </row>
    <row r="12" spans="1:18" s="38" customFormat="1" ht="24.95" customHeight="1" x14ac:dyDescent="0.25">
      <c r="A12" s="418">
        <v>1</v>
      </c>
      <c r="B12" s="30" t="s">
        <v>58</v>
      </c>
      <c r="C12" s="31">
        <v>3288.6</v>
      </c>
      <c r="D12" s="32">
        <v>11763</v>
      </c>
      <c r="E12" s="32">
        <v>11763</v>
      </c>
      <c r="F12" s="32">
        <v>567</v>
      </c>
      <c r="G12" s="31">
        <v>5.8</v>
      </c>
      <c r="H12" s="33">
        <f t="shared" ref="H12:H21" si="0">(E12+F12)/D12</f>
        <v>1.0482019892884469</v>
      </c>
      <c r="I12" s="31">
        <v>3288.6</v>
      </c>
      <c r="J12" s="32">
        <v>567</v>
      </c>
      <c r="K12" s="34">
        <f t="shared" ref="K12:K21" si="1">J12/D12</f>
        <v>4.8201989288446823E-2</v>
      </c>
      <c r="L12" s="419">
        <f t="shared" ref="L12:L21" si="2">((E12+F12)-D12)-J12</f>
        <v>0</v>
      </c>
      <c r="M12" s="35">
        <f t="shared" ref="M12:M21" si="3">L12/D12</f>
        <v>0</v>
      </c>
      <c r="N12" s="420">
        <f t="shared" ref="N12:N21" si="4">L12*G12</f>
        <v>0</v>
      </c>
      <c r="O12" s="456" t="s">
        <v>139</v>
      </c>
      <c r="P12" s="456" t="s">
        <v>28</v>
      </c>
      <c r="Q12" s="456" t="s">
        <v>140</v>
      </c>
      <c r="R12" s="37" t="s">
        <v>59</v>
      </c>
    </row>
    <row r="13" spans="1:18" s="38" customFormat="1" ht="24.95" customHeight="1" x14ac:dyDescent="0.25">
      <c r="A13" s="421">
        <v>2</v>
      </c>
      <c r="B13" s="30" t="s">
        <v>61</v>
      </c>
      <c r="C13" s="31">
        <v>1230.5899999999999</v>
      </c>
      <c r="D13" s="32">
        <v>5575</v>
      </c>
      <c r="E13" s="32">
        <v>5575</v>
      </c>
      <c r="F13" s="32">
        <v>187.02</v>
      </c>
      <c r="G13" s="31">
        <v>6.58</v>
      </c>
      <c r="H13" s="33">
        <f t="shared" si="0"/>
        <v>1.0335461883408072</v>
      </c>
      <c r="I13" s="31">
        <v>1230.5899999999999</v>
      </c>
      <c r="J13" s="32">
        <v>187.02</v>
      </c>
      <c r="K13" s="34">
        <f t="shared" si="1"/>
        <v>3.3546188340807179E-2</v>
      </c>
      <c r="L13" s="419">
        <f t="shared" si="2"/>
        <v>4.2632564145606011E-13</v>
      </c>
      <c r="M13" s="35">
        <f t="shared" si="3"/>
        <v>7.6470967077320203E-17</v>
      </c>
      <c r="N13" s="420">
        <f t="shared" si="4"/>
        <v>2.8052227207808756E-12</v>
      </c>
      <c r="O13" s="456" t="s">
        <v>142</v>
      </c>
      <c r="P13" s="456" t="s">
        <v>26</v>
      </c>
      <c r="Q13" s="456" t="s">
        <v>143</v>
      </c>
      <c r="R13" s="37" t="s">
        <v>59</v>
      </c>
    </row>
    <row r="14" spans="1:18" s="39" customFormat="1" ht="24.95" customHeight="1" x14ac:dyDescent="0.25">
      <c r="A14" s="421">
        <v>3</v>
      </c>
      <c r="B14" s="30" t="s">
        <v>166</v>
      </c>
      <c r="C14" s="31">
        <v>1100</v>
      </c>
      <c r="D14" s="32">
        <v>4641</v>
      </c>
      <c r="E14" s="32">
        <v>4641</v>
      </c>
      <c r="F14" s="32">
        <v>250</v>
      </c>
      <c r="G14" s="31">
        <v>4.4000000000000004</v>
      </c>
      <c r="H14" s="33">
        <f t="shared" si="0"/>
        <v>1.0538677009265245</v>
      </c>
      <c r="I14" s="31">
        <v>1100</v>
      </c>
      <c r="J14" s="32">
        <v>250</v>
      </c>
      <c r="K14" s="34">
        <f t="shared" si="1"/>
        <v>5.3867700926524459E-2</v>
      </c>
      <c r="L14" s="419">
        <f t="shared" si="2"/>
        <v>0</v>
      </c>
      <c r="M14" s="35">
        <f t="shared" si="3"/>
        <v>0</v>
      </c>
      <c r="N14" s="420">
        <f t="shared" si="4"/>
        <v>0</v>
      </c>
      <c r="O14" s="456" t="s">
        <v>139</v>
      </c>
      <c r="P14" s="456" t="s">
        <v>28</v>
      </c>
      <c r="Q14" s="456" t="s">
        <v>140</v>
      </c>
      <c r="R14" s="37" t="s">
        <v>59</v>
      </c>
    </row>
    <row r="15" spans="1:18" s="38" customFormat="1" ht="24.95" customHeight="1" x14ac:dyDescent="0.25">
      <c r="A15" s="418">
        <v>4</v>
      </c>
      <c r="B15" s="30" t="s">
        <v>69</v>
      </c>
      <c r="C15" s="31">
        <v>861</v>
      </c>
      <c r="D15" s="32">
        <v>7639</v>
      </c>
      <c r="E15" s="32">
        <v>7639</v>
      </c>
      <c r="F15" s="32">
        <v>123</v>
      </c>
      <c r="G15" s="31">
        <v>7</v>
      </c>
      <c r="H15" s="33">
        <f t="shared" si="0"/>
        <v>1.0161015839769603</v>
      </c>
      <c r="I15" s="31">
        <v>861</v>
      </c>
      <c r="J15" s="32">
        <v>123</v>
      </c>
      <c r="K15" s="34">
        <f t="shared" si="1"/>
        <v>1.6101583976960335E-2</v>
      </c>
      <c r="L15" s="419">
        <f t="shared" si="2"/>
        <v>0</v>
      </c>
      <c r="M15" s="35">
        <f t="shared" si="3"/>
        <v>0</v>
      </c>
      <c r="N15" s="420">
        <f t="shared" si="4"/>
        <v>0</v>
      </c>
      <c r="O15" s="456" t="s">
        <v>142</v>
      </c>
      <c r="P15" s="456" t="s">
        <v>26</v>
      </c>
      <c r="Q15" s="456" t="s">
        <v>143</v>
      </c>
      <c r="R15" s="37" t="s">
        <v>59</v>
      </c>
    </row>
    <row r="16" spans="1:18" s="39" customFormat="1" ht="24.95" customHeight="1" x14ac:dyDescent="0.25">
      <c r="A16" s="421">
        <v>5</v>
      </c>
      <c r="B16" s="30" t="s">
        <v>253</v>
      </c>
      <c r="C16" s="31">
        <v>832.32</v>
      </c>
      <c r="D16" s="32">
        <v>218.39</v>
      </c>
      <c r="E16" s="32">
        <v>218.39</v>
      </c>
      <c r="F16" s="32">
        <v>19.399999999999999</v>
      </c>
      <c r="G16" s="31">
        <v>95.34</v>
      </c>
      <c r="H16" s="33">
        <f t="shared" si="0"/>
        <v>1.0888319062228125</v>
      </c>
      <c r="I16" s="31">
        <v>1849.6</v>
      </c>
      <c r="J16" s="32">
        <v>8.73</v>
      </c>
      <c r="K16" s="34">
        <f t="shared" si="1"/>
        <v>3.9974357800265585E-2</v>
      </c>
      <c r="L16" s="419">
        <f t="shared" si="2"/>
        <v>10.670000000000005</v>
      </c>
      <c r="M16" s="35">
        <f t="shared" si="3"/>
        <v>4.8857548422546845E-2</v>
      </c>
      <c r="N16" s="420">
        <f t="shared" si="4"/>
        <v>1017.2778000000005</v>
      </c>
      <c r="O16" s="456" t="s">
        <v>139</v>
      </c>
      <c r="P16" s="456" t="s">
        <v>25</v>
      </c>
      <c r="Q16" s="456" t="s">
        <v>144</v>
      </c>
      <c r="R16" s="37" t="s">
        <v>59</v>
      </c>
    </row>
    <row r="17" spans="1:18" s="38" customFormat="1" ht="24.95" customHeight="1" x14ac:dyDescent="0.25">
      <c r="A17" s="418">
        <v>6</v>
      </c>
      <c r="B17" s="30" t="s">
        <v>60</v>
      </c>
      <c r="C17" s="31">
        <v>167.51</v>
      </c>
      <c r="D17" s="32">
        <v>195.13</v>
      </c>
      <c r="E17" s="32">
        <v>203</v>
      </c>
      <c r="F17" s="32">
        <v>1.8</v>
      </c>
      <c r="G17" s="31">
        <v>99.12</v>
      </c>
      <c r="H17" s="33">
        <f t="shared" si="0"/>
        <v>1.0495567057858863</v>
      </c>
      <c r="I17" s="31">
        <v>958.49</v>
      </c>
      <c r="J17" s="32">
        <v>1.69</v>
      </c>
      <c r="K17" s="34">
        <f t="shared" si="1"/>
        <v>8.6608927381745509E-3</v>
      </c>
      <c r="L17" s="419">
        <f t="shared" si="2"/>
        <v>7.9800000000000164</v>
      </c>
      <c r="M17" s="35">
        <f t="shared" si="3"/>
        <v>4.0895813047711865E-2</v>
      </c>
      <c r="N17" s="420">
        <f t="shared" si="4"/>
        <v>790.97760000000164</v>
      </c>
      <c r="O17" s="456" t="s">
        <v>139</v>
      </c>
      <c r="P17" s="456" t="s">
        <v>25</v>
      </c>
      <c r="Q17" s="456" t="s">
        <v>141</v>
      </c>
      <c r="R17" s="37" t="s">
        <v>59</v>
      </c>
    </row>
    <row r="18" spans="1:18" s="39" customFormat="1" ht="24.95" customHeight="1" x14ac:dyDescent="0.25">
      <c r="A18" s="421">
        <v>7</v>
      </c>
      <c r="B18" s="30" t="s">
        <v>80</v>
      </c>
      <c r="C18" s="31">
        <v>150.46</v>
      </c>
      <c r="D18" s="32">
        <v>244.4</v>
      </c>
      <c r="E18" s="32">
        <v>244.4</v>
      </c>
      <c r="F18" s="32">
        <v>8.58</v>
      </c>
      <c r="G18" s="31">
        <v>156.72999999999999</v>
      </c>
      <c r="H18" s="33">
        <f t="shared" si="0"/>
        <v>1.0351063829787235</v>
      </c>
      <c r="I18" s="31">
        <v>1344.74</v>
      </c>
      <c r="J18" s="32">
        <v>0.96</v>
      </c>
      <c r="K18" s="34">
        <f t="shared" si="1"/>
        <v>3.9279869067103106E-3</v>
      </c>
      <c r="L18" s="419">
        <f t="shared" si="2"/>
        <v>7.6200000000000125</v>
      </c>
      <c r="M18" s="35">
        <f t="shared" si="3"/>
        <v>3.1178396072013143E-2</v>
      </c>
      <c r="N18" s="420">
        <f t="shared" si="4"/>
        <v>1194.2826000000018</v>
      </c>
      <c r="O18" s="456" t="s">
        <v>142</v>
      </c>
      <c r="P18" s="456" t="s">
        <v>26</v>
      </c>
      <c r="Q18" s="456" t="s">
        <v>143</v>
      </c>
      <c r="R18" s="37" t="s">
        <v>59</v>
      </c>
    </row>
    <row r="19" spans="1:18" s="38" customFormat="1" ht="24.95" customHeight="1" x14ac:dyDescent="0.25">
      <c r="A19" s="418">
        <v>8</v>
      </c>
      <c r="B19" s="30" t="s">
        <v>254</v>
      </c>
      <c r="C19" s="31">
        <v>132.12</v>
      </c>
      <c r="D19" s="32">
        <v>89.66</v>
      </c>
      <c r="E19" s="32">
        <v>89.66</v>
      </c>
      <c r="F19" s="32">
        <v>2.4500000000000002</v>
      </c>
      <c r="G19" s="31">
        <v>110.1</v>
      </c>
      <c r="H19" s="33">
        <f t="shared" si="0"/>
        <v>1.0273254517064465</v>
      </c>
      <c r="I19" s="31">
        <v>269.75</v>
      </c>
      <c r="J19" s="32">
        <v>1.2</v>
      </c>
      <c r="K19" s="34">
        <f t="shared" si="1"/>
        <v>1.3383894713361589E-2</v>
      </c>
      <c r="L19" s="419">
        <f t="shared" si="2"/>
        <v>1.2500000000000029</v>
      </c>
      <c r="M19" s="35">
        <f t="shared" si="3"/>
        <v>1.3941556993085021E-2</v>
      </c>
      <c r="N19" s="420">
        <f t="shared" si="4"/>
        <v>137.62500000000031</v>
      </c>
      <c r="O19" s="456" t="s">
        <v>139</v>
      </c>
      <c r="P19" s="456" t="s">
        <v>25</v>
      </c>
      <c r="Q19" s="458" t="s">
        <v>134</v>
      </c>
      <c r="R19" s="37" t="s">
        <v>59</v>
      </c>
    </row>
    <row r="20" spans="1:18" s="38" customFormat="1" ht="24.95" customHeight="1" x14ac:dyDescent="0.25">
      <c r="A20" s="421">
        <v>9</v>
      </c>
      <c r="B20" s="30" t="s">
        <v>90</v>
      </c>
      <c r="C20" s="31">
        <v>115.32</v>
      </c>
      <c r="D20" s="32">
        <v>81.06</v>
      </c>
      <c r="E20" s="32">
        <v>81.06</v>
      </c>
      <c r="F20" s="32">
        <v>2.21</v>
      </c>
      <c r="G20" s="31">
        <v>104.84</v>
      </c>
      <c r="H20" s="33">
        <f t="shared" si="0"/>
        <v>1.0272637552430297</v>
      </c>
      <c r="I20" s="31">
        <v>231.7</v>
      </c>
      <c r="J20" s="32">
        <v>1.1000000000000001</v>
      </c>
      <c r="K20" s="34">
        <f t="shared" si="1"/>
        <v>1.3570194917345178E-2</v>
      </c>
      <c r="L20" s="419">
        <f t="shared" si="2"/>
        <v>1.1099999999999937</v>
      </c>
      <c r="M20" s="35">
        <f t="shared" si="3"/>
        <v>1.36935603256846E-2</v>
      </c>
      <c r="N20" s="420">
        <f t="shared" si="4"/>
        <v>116.37239999999935</v>
      </c>
      <c r="O20" s="456" t="s">
        <v>139</v>
      </c>
      <c r="P20" s="456" t="s">
        <v>25</v>
      </c>
      <c r="Q20" s="456" t="s">
        <v>141</v>
      </c>
      <c r="R20" s="37" t="s">
        <v>59</v>
      </c>
    </row>
    <row r="21" spans="1:18" s="38" customFormat="1" ht="24.95" customHeight="1" thickBot="1" x14ac:dyDescent="0.3">
      <c r="A21" s="422">
        <v>10</v>
      </c>
      <c r="B21" s="40" t="s">
        <v>167</v>
      </c>
      <c r="C21" s="41">
        <v>33.86</v>
      </c>
      <c r="D21" s="42">
        <v>12.08</v>
      </c>
      <c r="E21" s="42">
        <v>11.8</v>
      </c>
      <c r="F21" s="42">
        <v>0.38</v>
      </c>
      <c r="G21" s="41">
        <v>846.44</v>
      </c>
      <c r="H21" s="43">
        <f t="shared" si="0"/>
        <v>1.0082781456953644</v>
      </c>
      <c r="I21" s="41">
        <v>84.64</v>
      </c>
      <c r="J21" s="42">
        <v>0.04</v>
      </c>
      <c r="K21" s="44">
        <f t="shared" si="1"/>
        <v>3.3112582781456954E-3</v>
      </c>
      <c r="L21" s="423">
        <f t="shared" si="2"/>
        <v>6.000000000000142E-2</v>
      </c>
      <c r="M21" s="45">
        <f t="shared" si="3"/>
        <v>4.9668874172186604E-3</v>
      </c>
      <c r="N21" s="424">
        <f t="shared" si="4"/>
        <v>50.786400000001208</v>
      </c>
      <c r="O21" s="457" t="s">
        <v>139</v>
      </c>
      <c r="P21" s="457" t="s">
        <v>25</v>
      </c>
      <c r="Q21" s="457" t="s">
        <v>144</v>
      </c>
      <c r="R21" s="47" t="s">
        <v>84</v>
      </c>
    </row>
    <row r="22" spans="1:18" s="53" customFormat="1" ht="24.95" customHeight="1" thickBot="1" x14ac:dyDescent="0.3">
      <c r="A22" s="425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426"/>
      <c r="M22" s="51"/>
      <c r="N22" s="427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45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72</v>
      </c>
      <c r="P24" s="630" t="s">
        <v>47</v>
      </c>
      <c r="Q24" s="629" t="s">
        <v>96</v>
      </c>
      <c r="R24" s="919" t="s">
        <v>48</v>
      </c>
    </row>
    <row r="25" spans="1:18" s="53" customFormat="1" ht="24.95" customHeight="1" x14ac:dyDescent="0.25">
      <c r="A25" s="920" t="s">
        <v>806</v>
      </c>
      <c r="B25" s="634" t="s">
        <v>98</v>
      </c>
      <c r="C25" s="635"/>
      <c r="D25" s="636" t="s">
        <v>49</v>
      </c>
      <c r="E25" s="636"/>
      <c r="F25" s="636"/>
      <c r="G25" s="636"/>
      <c r="H25" s="636"/>
      <c r="I25" s="636"/>
      <c r="J25" s="637" t="s">
        <v>809</v>
      </c>
      <c r="K25" s="637"/>
      <c r="L25" s="637"/>
      <c r="M25" s="638"/>
      <c r="N25" s="638"/>
      <c r="O25" s="629"/>
      <c r="P25" s="629"/>
      <c r="Q25" s="629"/>
      <c r="R25" s="919"/>
    </row>
    <row r="26" spans="1:18" s="53" customFormat="1" ht="24.95" customHeight="1" x14ac:dyDescent="0.3">
      <c r="A26" s="921"/>
      <c r="B26" s="926" t="s">
        <v>100</v>
      </c>
      <c r="C26" s="928" t="s">
        <v>816</v>
      </c>
      <c r="D26" s="930" t="s">
        <v>50</v>
      </c>
      <c r="E26" s="930"/>
      <c r="F26" s="930"/>
      <c r="G26" s="930"/>
      <c r="H26" s="930"/>
      <c r="I26" s="930"/>
      <c r="J26" s="931" t="s">
        <v>51</v>
      </c>
      <c r="K26" s="934"/>
      <c r="L26" s="932"/>
      <c r="M26" s="931" t="s">
        <v>102</v>
      </c>
      <c r="N26" s="932"/>
      <c r="O26" s="629"/>
      <c r="P26" s="629"/>
      <c r="Q26" s="629"/>
      <c r="R26" s="919"/>
    </row>
    <row r="27" spans="1:18" s="53" customFormat="1" ht="50.1" customHeight="1" x14ac:dyDescent="0.25">
      <c r="A27" s="922"/>
      <c r="B27" s="927"/>
      <c r="C27" s="929"/>
      <c r="D27" s="415" t="s">
        <v>817</v>
      </c>
      <c r="E27" s="415" t="s">
        <v>104</v>
      </c>
      <c r="F27" s="415" t="s">
        <v>53</v>
      </c>
      <c r="G27" s="415" t="s">
        <v>54</v>
      </c>
      <c r="H27" s="415" t="s">
        <v>55</v>
      </c>
      <c r="I27" s="415" t="s">
        <v>73</v>
      </c>
      <c r="J27" s="416" t="s">
        <v>56</v>
      </c>
      <c r="K27" s="416" t="s">
        <v>57</v>
      </c>
      <c r="L27" s="417" t="s">
        <v>109</v>
      </c>
      <c r="M27" s="416" t="s">
        <v>56</v>
      </c>
      <c r="N27" s="416" t="s">
        <v>57</v>
      </c>
      <c r="O27" s="629"/>
      <c r="P27" s="629"/>
      <c r="Q27" s="629"/>
      <c r="R27" s="919"/>
    </row>
    <row r="28" spans="1:18" s="53" customFormat="1" ht="24.95" customHeight="1" x14ac:dyDescent="0.25">
      <c r="A28" s="418">
        <v>1</v>
      </c>
      <c r="B28" s="30" t="s">
        <v>651</v>
      </c>
      <c r="C28" s="31">
        <v>1666.1399999999999</v>
      </c>
      <c r="D28" s="32">
        <v>104.04</v>
      </c>
      <c r="E28" s="32">
        <v>104.04</v>
      </c>
      <c r="F28" s="32">
        <v>4.0599999999999996</v>
      </c>
      <c r="G28" s="31">
        <v>417.58</v>
      </c>
      <c r="H28" s="54">
        <f t="shared" ref="H28:H37" si="5">(E28+F28)/D28</f>
        <v>1.0390234525182622</v>
      </c>
      <c r="I28" s="31">
        <v>1695.37</v>
      </c>
      <c r="J28" s="32">
        <v>7.0000000000000007E-2</v>
      </c>
      <c r="K28" s="34">
        <f t="shared" ref="K28:K37" si="6">J28/D28</f>
        <v>6.7281814686658979E-4</v>
      </c>
      <c r="L28" s="420">
        <f t="shared" ref="L28:L37" si="7">J28*G28</f>
        <v>29.230600000000003</v>
      </c>
      <c r="M28" s="419">
        <f t="shared" ref="M28:M37" si="8">((E28+F28)-D28)-J28</f>
        <v>3.9900000000000024</v>
      </c>
      <c r="N28" s="35">
        <f t="shared" ref="N28:N37" si="9">M28/D28</f>
        <v>3.8350634371395638E-2</v>
      </c>
      <c r="O28" s="451" t="s">
        <v>133</v>
      </c>
      <c r="P28" s="458" t="s">
        <v>25</v>
      </c>
      <c r="Q28" s="458" t="s">
        <v>134</v>
      </c>
      <c r="R28" s="37" t="s">
        <v>656</v>
      </c>
    </row>
    <row r="29" spans="1:18" s="53" customFormat="1" ht="24.75" customHeight="1" x14ac:dyDescent="0.25">
      <c r="A29" s="421">
        <v>2</v>
      </c>
      <c r="B29" s="30" t="s">
        <v>74</v>
      </c>
      <c r="C29" s="31">
        <v>1250.44</v>
      </c>
      <c r="D29" s="32">
        <v>272.69</v>
      </c>
      <c r="E29" s="32">
        <v>272.69</v>
      </c>
      <c r="F29" s="32">
        <v>9.57</v>
      </c>
      <c r="G29" s="31">
        <v>133.88</v>
      </c>
      <c r="H29" s="54">
        <f t="shared" si="5"/>
        <v>1.0350947962888262</v>
      </c>
      <c r="I29" s="31">
        <v>1281.23</v>
      </c>
      <c r="J29" s="32">
        <v>0.23</v>
      </c>
      <c r="K29" s="34">
        <f t="shared" si="6"/>
        <v>8.4344860464263458E-4</v>
      </c>
      <c r="L29" s="420">
        <f t="shared" si="7"/>
        <v>30.792400000000001</v>
      </c>
      <c r="M29" s="419">
        <f t="shared" si="8"/>
        <v>9.3399999999999928</v>
      </c>
      <c r="N29" s="35">
        <f t="shared" si="9"/>
        <v>3.4251347684183482E-2</v>
      </c>
      <c r="O29" s="451" t="s">
        <v>133</v>
      </c>
      <c r="P29" s="458" t="s">
        <v>25</v>
      </c>
      <c r="Q29" s="458" t="s">
        <v>134</v>
      </c>
      <c r="R29" s="37" t="s">
        <v>75</v>
      </c>
    </row>
    <row r="30" spans="1:18" s="53" customFormat="1" ht="24.95" customHeight="1" x14ac:dyDescent="0.25">
      <c r="A30" s="421">
        <v>3</v>
      </c>
      <c r="B30" s="30" t="s">
        <v>80</v>
      </c>
      <c r="C30" s="31">
        <v>1194.28</v>
      </c>
      <c r="D30" s="32">
        <v>244.4</v>
      </c>
      <c r="E30" s="32">
        <v>244.4</v>
      </c>
      <c r="F30" s="32">
        <v>8.58</v>
      </c>
      <c r="G30" s="31">
        <v>156.72999999999999</v>
      </c>
      <c r="H30" s="54">
        <f t="shared" si="5"/>
        <v>1.0351063829787235</v>
      </c>
      <c r="I30" s="31">
        <v>1344.74</v>
      </c>
      <c r="J30" s="57">
        <v>0.96</v>
      </c>
      <c r="K30" s="34">
        <f t="shared" si="6"/>
        <v>3.9279869067103106E-3</v>
      </c>
      <c r="L30" s="420">
        <f t="shared" si="7"/>
        <v>150.46079999999998</v>
      </c>
      <c r="M30" s="419">
        <f t="shared" si="8"/>
        <v>7.6200000000000125</v>
      </c>
      <c r="N30" s="35">
        <f t="shared" si="9"/>
        <v>3.1178396072013143E-2</v>
      </c>
      <c r="O30" s="451" t="s">
        <v>133</v>
      </c>
      <c r="P30" s="458" t="s">
        <v>25</v>
      </c>
      <c r="Q30" s="458" t="s">
        <v>136</v>
      </c>
      <c r="R30" s="37" t="s">
        <v>59</v>
      </c>
    </row>
    <row r="31" spans="1:18" s="53" customFormat="1" ht="24.95" customHeight="1" x14ac:dyDescent="0.25">
      <c r="A31" s="418">
        <v>4</v>
      </c>
      <c r="B31" s="30" t="s">
        <v>76</v>
      </c>
      <c r="C31" s="31">
        <v>1162.1300000000001</v>
      </c>
      <c r="D31" s="32">
        <v>502.04</v>
      </c>
      <c r="E31" s="32">
        <v>502.04</v>
      </c>
      <c r="F31" s="32">
        <v>19.579999999999998</v>
      </c>
      <c r="G31" s="31">
        <v>60.94</v>
      </c>
      <c r="H31" s="54">
        <f t="shared" si="5"/>
        <v>1.0390008764241894</v>
      </c>
      <c r="I31" s="31">
        <v>1193.21</v>
      </c>
      <c r="J31" s="32">
        <v>0.51</v>
      </c>
      <c r="K31" s="34">
        <f t="shared" si="6"/>
        <v>1.015855310333838E-3</v>
      </c>
      <c r="L31" s="420">
        <f t="shared" si="7"/>
        <v>31.0794</v>
      </c>
      <c r="M31" s="419">
        <f t="shared" si="8"/>
        <v>19.069999999999983</v>
      </c>
      <c r="N31" s="35">
        <f t="shared" si="9"/>
        <v>3.7985021113855433E-2</v>
      </c>
      <c r="O31" s="451" t="s">
        <v>133</v>
      </c>
      <c r="P31" s="458" t="s">
        <v>25</v>
      </c>
      <c r="Q31" s="458" t="s">
        <v>134</v>
      </c>
      <c r="R31" s="37" t="s">
        <v>77</v>
      </c>
    </row>
    <row r="32" spans="1:18" s="53" customFormat="1" ht="24.95" customHeight="1" x14ac:dyDescent="0.25">
      <c r="A32" s="421">
        <v>5</v>
      </c>
      <c r="B32" s="30" t="s">
        <v>530</v>
      </c>
      <c r="C32" s="31">
        <v>1158.8999999999999</v>
      </c>
      <c r="D32" s="32">
        <v>564.20000000000005</v>
      </c>
      <c r="E32" s="32">
        <v>564.20000000000005</v>
      </c>
      <c r="F32" s="32">
        <v>15.4</v>
      </c>
      <c r="G32" s="31">
        <v>77.260000000000005</v>
      </c>
      <c r="H32" s="54">
        <f t="shared" si="5"/>
        <v>1.0272952853598014</v>
      </c>
      <c r="I32" s="31">
        <v>1189.8</v>
      </c>
      <c r="J32" s="32">
        <v>0.4</v>
      </c>
      <c r="K32" s="34">
        <f t="shared" si="6"/>
        <v>7.0896845090393477E-4</v>
      </c>
      <c r="L32" s="420">
        <f t="shared" si="7"/>
        <v>30.904000000000003</v>
      </c>
      <c r="M32" s="419">
        <f t="shared" si="8"/>
        <v>14.999999999999977</v>
      </c>
      <c r="N32" s="35">
        <f t="shared" si="9"/>
        <v>2.6586316908897512E-2</v>
      </c>
      <c r="O32" s="451" t="s">
        <v>133</v>
      </c>
      <c r="P32" s="458" t="s">
        <v>25</v>
      </c>
      <c r="Q32" s="458" t="s">
        <v>134</v>
      </c>
      <c r="R32" s="37" t="s">
        <v>182</v>
      </c>
    </row>
    <row r="33" spans="1:18" s="53" customFormat="1" ht="24.95" customHeight="1" x14ac:dyDescent="0.25">
      <c r="A33" s="418">
        <v>6</v>
      </c>
      <c r="B33" s="30" t="s">
        <v>83</v>
      </c>
      <c r="C33" s="31">
        <v>1064.23</v>
      </c>
      <c r="D33" s="32">
        <v>365.02</v>
      </c>
      <c r="E33" s="32">
        <v>365.02</v>
      </c>
      <c r="F33" s="32">
        <v>12.81</v>
      </c>
      <c r="G33" s="31">
        <v>85.48</v>
      </c>
      <c r="H33" s="54">
        <f t="shared" si="5"/>
        <v>1.0350939674538382</v>
      </c>
      <c r="I33" s="31">
        <v>1095</v>
      </c>
      <c r="J33" s="32">
        <v>0.36</v>
      </c>
      <c r="K33" s="34">
        <f t="shared" si="6"/>
        <v>9.8624732891348411E-4</v>
      </c>
      <c r="L33" s="420">
        <f t="shared" si="7"/>
        <v>30.7728</v>
      </c>
      <c r="M33" s="419">
        <f t="shared" si="8"/>
        <v>12.450000000000003</v>
      </c>
      <c r="N33" s="35">
        <f t="shared" si="9"/>
        <v>3.4107720124924669E-2</v>
      </c>
      <c r="O33" s="451" t="s">
        <v>133</v>
      </c>
      <c r="P33" s="458" t="s">
        <v>25</v>
      </c>
      <c r="Q33" s="458" t="s">
        <v>134</v>
      </c>
      <c r="R33" s="37" t="s">
        <v>84</v>
      </c>
    </row>
    <row r="34" spans="1:18" s="53" customFormat="1" ht="24.95" customHeight="1" x14ac:dyDescent="0.25">
      <c r="A34" s="421">
        <v>7</v>
      </c>
      <c r="B34" s="30" t="s">
        <v>78</v>
      </c>
      <c r="C34" s="31">
        <v>1061.48</v>
      </c>
      <c r="D34" s="32">
        <v>389.12</v>
      </c>
      <c r="E34" s="32">
        <v>389.12</v>
      </c>
      <c r="F34" s="32">
        <v>14.3</v>
      </c>
      <c r="G34" s="31">
        <v>76.42</v>
      </c>
      <c r="H34" s="54">
        <f t="shared" si="5"/>
        <v>1.0367495888157896</v>
      </c>
      <c r="I34" s="31">
        <v>1092.81</v>
      </c>
      <c r="J34" s="32">
        <v>0.41</v>
      </c>
      <c r="K34" s="34">
        <f t="shared" si="6"/>
        <v>1.0536595394736842E-3</v>
      </c>
      <c r="L34" s="420">
        <f t="shared" si="7"/>
        <v>31.3322</v>
      </c>
      <c r="M34" s="419">
        <f t="shared" si="8"/>
        <v>13.890000000000011</v>
      </c>
      <c r="N34" s="35">
        <f t="shared" si="9"/>
        <v>3.5695929276315819E-2</v>
      </c>
      <c r="O34" s="451" t="s">
        <v>133</v>
      </c>
      <c r="P34" s="458" t="s">
        <v>25</v>
      </c>
      <c r="Q34" s="458" t="s">
        <v>135</v>
      </c>
      <c r="R34" s="37" t="s">
        <v>79</v>
      </c>
    </row>
    <row r="35" spans="1:18" s="53" customFormat="1" ht="24.95" customHeight="1" x14ac:dyDescent="0.25">
      <c r="A35" s="418">
        <v>8</v>
      </c>
      <c r="B35" s="30" t="s">
        <v>81</v>
      </c>
      <c r="C35" s="31">
        <v>1060.24</v>
      </c>
      <c r="D35" s="32">
        <v>443.8</v>
      </c>
      <c r="E35" s="32">
        <v>443.8</v>
      </c>
      <c r="F35" s="32">
        <v>13.85</v>
      </c>
      <c r="G35" s="31">
        <v>78.77</v>
      </c>
      <c r="H35" s="54">
        <f t="shared" si="5"/>
        <v>1.031207751239297</v>
      </c>
      <c r="I35" s="31">
        <v>1090.96</v>
      </c>
      <c r="J35" s="32">
        <v>0.39</v>
      </c>
      <c r="K35" s="34">
        <f t="shared" si="6"/>
        <v>8.7877422262280303E-4</v>
      </c>
      <c r="L35" s="420">
        <f t="shared" si="7"/>
        <v>30.720299999999998</v>
      </c>
      <c r="M35" s="419">
        <f t="shared" si="8"/>
        <v>13.460000000000022</v>
      </c>
      <c r="N35" s="35">
        <f t="shared" si="9"/>
        <v>3.0328977016674228E-2</v>
      </c>
      <c r="O35" s="451" t="s">
        <v>133</v>
      </c>
      <c r="P35" s="458" t="s">
        <v>25</v>
      </c>
      <c r="Q35" s="458" t="s">
        <v>137</v>
      </c>
      <c r="R35" s="37" t="s">
        <v>82</v>
      </c>
    </row>
    <row r="36" spans="1:18" s="53" customFormat="1" ht="24.95" customHeight="1" x14ac:dyDescent="0.25">
      <c r="A36" s="421">
        <v>9</v>
      </c>
      <c r="B36" s="30" t="s">
        <v>253</v>
      </c>
      <c r="C36" s="31">
        <v>1017.2799999999999</v>
      </c>
      <c r="D36" s="32">
        <v>218.39</v>
      </c>
      <c r="E36" s="32">
        <v>218.39</v>
      </c>
      <c r="F36" s="32">
        <v>19.399999999999999</v>
      </c>
      <c r="G36" s="31">
        <v>95.34</v>
      </c>
      <c r="H36" s="54">
        <f t="shared" si="5"/>
        <v>1.0888319062228125</v>
      </c>
      <c r="I36" s="31">
        <v>1849.6</v>
      </c>
      <c r="J36" s="32">
        <v>8.73</v>
      </c>
      <c r="K36" s="34">
        <f t="shared" si="6"/>
        <v>3.9974357800265585E-2</v>
      </c>
      <c r="L36" s="420">
        <f t="shared" si="7"/>
        <v>832.31820000000005</v>
      </c>
      <c r="M36" s="419">
        <f t="shared" si="8"/>
        <v>10.670000000000005</v>
      </c>
      <c r="N36" s="35">
        <f t="shared" si="9"/>
        <v>4.8857548422546845E-2</v>
      </c>
      <c r="O36" s="451" t="s">
        <v>133</v>
      </c>
      <c r="P36" s="458" t="s">
        <v>25</v>
      </c>
      <c r="Q36" s="458" t="s">
        <v>135</v>
      </c>
      <c r="R36" s="37" t="s">
        <v>59</v>
      </c>
    </row>
    <row r="37" spans="1:18" s="53" customFormat="1" ht="24.95" customHeight="1" thickBot="1" x14ac:dyDescent="0.3">
      <c r="A37" s="422">
        <v>10</v>
      </c>
      <c r="B37" s="40" t="s">
        <v>531</v>
      </c>
      <c r="C37" s="41">
        <v>990.98</v>
      </c>
      <c r="D37" s="42">
        <v>83.63</v>
      </c>
      <c r="E37" s="42">
        <v>83.63</v>
      </c>
      <c r="F37" s="42">
        <v>3.26</v>
      </c>
      <c r="G37" s="41">
        <v>313.60000000000002</v>
      </c>
      <c r="H37" s="58">
        <f t="shared" si="5"/>
        <v>1.0389812268324765</v>
      </c>
      <c r="I37" s="41">
        <v>1022.34</v>
      </c>
      <c r="J37" s="42">
        <v>0.1</v>
      </c>
      <c r="K37" s="44">
        <f t="shared" si="6"/>
        <v>1.1957431543704413E-3</v>
      </c>
      <c r="L37" s="424">
        <f t="shared" si="7"/>
        <v>31.360000000000003</v>
      </c>
      <c r="M37" s="423">
        <f t="shared" si="8"/>
        <v>3.160000000000005</v>
      </c>
      <c r="N37" s="45">
        <f t="shared" si="9"/>
        <v>3.7785483678106004E-2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818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802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935" t="s">
        <v>819</v>
      </c>
      <c r="B41" s="623" t="s">
        <v>820</v>
      </c>
      <c r="C41" s="623"/>
      <c r="D41" s="624"/>
      <c r="E41" s="62"/>
      <c r="G41" s="64"/>
      <c r="H41" s="65"/>
    </row>
    <row r="42" spans="1:18" ht="20.45" customHeight="1" x14ac:dyDescent="0.35">
      <c r="A42" s="935"/>
      <c r="B42" s="936" t="s">
        <v>821</v>
      </c>
      <c r="C42" s="937" t="s">
        <v>822</v>
      </c>
      <c r="D42" s="919" t="s">
        <v>823</v>
      </c>
      <c r="E42" s="62"/>
      <c r="G42" s="64"/>
      <c r="H42" s="65"/>
    </row>
    <row r="43" spans="1:18" ht="20.45" customHeight="1" x14ac:dyDescent="0.35">
      <c r="A43" s="935"/>
      <c r="B43" s="936"/>
      <c r="C43" s="937"/>
      <c r="D43" s="919"/>
      <c r="E43" s="62"/>
      <c r="G43" s="64"/>
      <c r="H43" s="65"/>
    </row>
    <row r="44" spans="1:18" s="68" customFormat="1" ht="24.95" customHeight="1" x14ac:dyDescent="0.35">
      <c r="A44" s="428">
        <v>1</v>
      </c>
      <c r="B44" s="30" t="s">
        <v>58</v>
      </c>
      <c r="C44" s="31">
        <v>3288.6</v>
      </c>
      <c r="D44" s="66">
        <f t="shared" ref="D44:D53" si="10">C44/$L$5</f>
        <v>0.39130015741960361</v>
      </c>
      <c r="E44" s="67"/>
      <c r="G44" s="64"/>
      <c r="H44" s="65"/>
    </row>
    <row r="45" spans="1:18" s="68" customFormat="1" ht="24.95" customHeight="1" x14ac:dyDescent="0.35">
      <c r="A45" s="429">
        <v>2</v>
      </c>
      <c r="B45" s="30" t="s">
        <v>61</v>
      </c>
      <c r="C45" s="31">
        <v>1230.5899999999999</v>
      </c>
      <c r="D45" s="66">
        <f t="shared" si="10"/>
        <v>0.14642402868059051</v>
      </c>
      <c r="E45" s="67"/>
      <c r="G45" s="64"/>
      <c r="H45" s="65"/>
    </row>
    <row r="46" spans="1:18" s="68" customFormat="1" ht="24.95" customHeight="1" x14ac:dyDescent="0.35">
      <c r="A46" s="429">
        <v>3</v>
      </c>
      <c r="B46" s="30" t="s">
        <v>166</v>
      </c>
      <c r="C46" s="31">
        <v>1100</v>
      </c>
      <c r="D46" s="66">
        <f t="shared" si="10"/>
        <v>0.13088553583943441</v>
      </c>
      <c r="E46" s="67"/>
      <c r="G46" s="64"/>
      <c r="H46" s="65"/>
    </row>
    <row r="47" spans="1:18" s="68" customFormat="1" ht="24.95" customHeight="1" x14ac:dyDescent="0.35">
      <c r="A47" s="428">
        <v>4</v>
      </c>
      <c r="B47" s="30" t="s">
        <v>69</v>
      </c>
      <c r="C47" s="31">
        <v>861</v>
      </c>
      <c r="D47" s="66">
        <f t="shared" si="10"/>
        <v>0.1024476785070482</v>
      </c>
      <c r="E47" s="67"/>
      <c r="G47" s="64"/>
      <c r="H47" s="65"/>
    </row>
    <row r="48" spans="1:18" s="68" customFormat="1" ht="24.95" customHeight="1" x14ac:dyDescent="0.35">
      <c r="A48" s="429">
        <v>5</v>
      </c>
      <c r="B48" s="30" t="s">
        <v>253</v>
      </c>
      <c r="C48" s="31">
        <v>832.32</v>
      </c>
      <c r="D48" s="66">
        <f t="shared" si="10"/>
        <v>9.903513562716186E-2</v>
      </c>
      <c r="E48" s="67"/>
      <c r="G48" s="64"/>
      <c r="H48" s="65"/>
    </row>
    <row r="49" spans="1:5" s="68" customFormat="1" ht="24.95" customHeight="1" x14ac:dyDescent="0.25">
      <c r="A49" s="428">
        <v>6</v>
      </c>
      <c r="B49" s="30" t="s">
        <v>60</v>
      </c>
      <c r="C49" s="31">
        <v>167.51</v>
      </c>
      <c r="D49" s="66">
        <f t="shared" si="10"/>
        <v>1.9931487371330596E-2</v>
      </c>
      <c r="E49" s="67"/>
    </row>
    <row r="50" spans="1:5" s="68" customFormat="1" ht="24.95" customHeight="1" x14ac:dyDescent="0.25">
      <c r="A50" s="429">
        <v>7</v>
      </c>
      <c r="B50" s="30" t="s">
        <v>80</v>
      </c>
      <c r="C50" s="31">
        <v>150.46</v>
      </c>
      <c r="D50" s="66">
        <f t="shared" si="10"/>
        <v>1.7902761565819363E-2</v>
      </c>
      <c r="E50" s="67"/>
    </row>
    <row r="51" spans="1:5" s="68" customFormat="1" ht="24.95" customHeight="1" x14ac:dyDescent="0.25">
      <c r="A51" s="428">
        <v>8</v>
      </c>
      <c r="B51" s="30" t="s">
        <v>254</v>
      </c>
      <c r="C51" s="31">
        <v>132.12</v>
      </c>
      <c r="D51" s="66">
        <f t="shared" si="10"/>
        <v>1.5720542722823704E-2</v>
      </c>
      <c r="E51" s="67"/>
    </row>
    <row r="52" spans="1:5" s="68" customFormat="1" ht="24.95" customHeight="1" x14ac:dyDescent="0.25">
      <c r="A52" s="429">
        <v>9</v>
      </c>
      <c r="B52" s="30" t="s">
        <v>90</v>
      </c>
      <c r="C52" s="31">
        <v>115.32</v>
      </c>
      <c r="D52" s="66">
        <f t="shared" si="10"/>
        <v>1.3721563630003248E-2</v>
      </c>
      <c r="E52" s="67"/>
    </row>
    <row r="53" spans="1:5" s="68" customFormat="1" ht="24.95" customHeight="1" thickBot="1" x14ac:dyDescent="0.3">
      <c r="A53" s="430">
        <v>10</v>
      </c>
      <c r="B53" s="40" t="s">
        <v>183</v>
      </c>
      <c r="C53" s="41">
        <v>32.81</v>
      </c>
      <c r="D53" s="69">
        <f t="shared" si="10"/>
        <v>3.903958573538039E-3</v>
      </c>
      <c r="E53" s="67"/>
    </row>
    <row r="54" spans="1:5" x14ac:dyDescent="0.25">
      <c r="A54" s="614" t="s">
        <v>824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825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721" priority="33" operator="containsText" text="024">
      <formula>NOT(ISERROR(SEARCH("024",A12)))</formula>
    </cfRule>
    <cfRule type="containsText" dxfId="720" priority="34" operator="containsText" text="白醬">
      <formula>NOT(ISERROR(SEARCH("白醬",A12)))</formula>
    </cfRule>
    <cfRule type="containsText" dxfId="719" priority="35" operator="containsText" text="青蔥">
      <formula>NOT(ISERROR(SEARCH("青蔥",A12)))</formula>
    </cfRule>
    <cfRule type="containsText" dxfId="718" priority="36" operator="containsText" text=")川燙小青花菜">
      <formula>NOT(ISERROR(SEARCH(")川燙小青花菜",A12)))</formula>
    </cfRule>
    <cfRule type="containsText" dxfId="717" priority="37" operator="containsText" text="湯凍">
      <formula>NOT(ISERROR(SEARCH("湯凍",A12)))</formula>
    </cfRule>
    <cfRule type="containsText" dxfId="716" priority="38" operator="containsText" text="中華">
      <formula>NOT(ISERROR(SEARCH("中華",A12)))</formula>
    </cfRule>
  </conditionalFormatting>
  <conditionalFormatting sqref="A12:A22">
    <cfRule type="containsText" dxfId="715" priority="31" operator="containsText" text="綠豆芽">
      <formula>NOT(ISERROR(SEARCH("綠豆芽",A12)))</formula>
    </cfRule>
    <cfRule type="containsText" dxfId="714" priority="32" operator="containsText" text="煮白細麵生(方#12)">
      <formula>NOT(ISERROR(SEARCH("煮白細麵生(方#12)",A12)))</formula>
    </cfRule>
  </conditionalFormatting>
  <conditionalFormatting sqref="E5">
    <cfRule type="cellIs" dxfId="713" priority="16" operator="greaterThan">
      <formula>0.0025</formula>
    </cfRule>
    <cfRule type="cellIs" dxfId="712" priority="19" operator="greaterThan">
      <formula>0.0025</formula>
    </cfRule>
    <cfRule type="cellIs" dxfId="711" priority="29" operator="greaterThan">
      <formula>0.072</formula>
    </cfRule>
    <cfRule type="cellIs" dxfId="710" priority="30" operator="greaterThan">
      <formula>7.2</formula>
    </cfRule>
  </conditionalFormatting>
  <conditionalFormatting sqref="E5">
    <cfRule type="cellIs" dxfId="709" priority="28" operator="greaterThan">
      <formula>0.0025</formula>
    </cfRule>
  </conditionalFormatting>
  <conditionalFormatting sqref="A44:A53">
    <cfRule type="containsText" dxfId="708" priority="22" operator="containsText" text="024">
      <formula>NOT(ISERROR(SEARCH("024",A44)))</formula>
    </cfRule>
    <cfRule type="containsText" dxfId="707" priority="23" operator="containsText" text="白醬">
      <formula>NOT(ISERROR(SEARCH("白醬",A44)))</formula>
    </cfRule>
    <cfRule type="containsText" dxfId="706" priority="24" operator="containsText" text="青蔥">
      <formula>NOT(ISERROR(SEARCH("青蔥",A44)))</formula>
    </cfRule>
    <cfRule type="containsText" dxfId="705" priority="25" operator="containsText" text=")川燙小青花菜">
      <formula>NOT(ISERROR(SEARCH(")川燙小青花菜",A44)))</formula>
    </cfRule>
    <cfRule type="containsText" dxfId="704" priority="26" operator="containsText" text="湯凍">
      <formula>NOT(ISERROR(SEARCH("湯凍",A44)))</formula>
    </cfRule>
    <cfRule type="containsText" dxfId="703" priority="27" operator="containsText" text="中華">
      <formula>NOT(ISERROR(SEARCH("中華",A44)))</formula>
    </cfRule>
  </conditionalFormatting>
  <conditionalFormatting sqref="A44:A53">
    <cfRule type="containsText" dxfId="702" priority="20" operator="containsText" text="綠豆芽">
      <formula>NOT(ISERROR(SEARCH("綠豆芽",A44)))</formula>
    </cfRule>
    <cfRule type="containsText" dxfId="701" priority="21" operator="containsText" text="煮白細麵生(方#12)">
      <formula>NOT(ISERROR(SEARCH("煮白細麵生(方#12)",A44)))</formula>
    </cfRule>
  </conditionalFormatting>
  <conditionalFormatting sqref="D44:D53">
    <cfRule type="cellIs" dxfId="700" priority="18" operator="greaterThan">
      <formula>0.146</formula>
    </cfRule>
  </conditionalFormatting>
  <conditionalFormatting sqref="H12:H22">
    <cfRule type="cellIs" dxfId="699" priority="17" operator="greaterThan">
      <formula>1.1</formula>
    </cfRule>
  </conditionalFormatting>
  <conditionalFormatting sqref="I5">
    <cfRule type="cellIs" dxfId="698" priority="15" operator="greaterThan">
      <formula>0.2</formula>
    </cfRule>
  </conditionalFormatting>
  <conditionalFormatting sqref="A28:A37">
    <cfRule type="containsText" dxfId="697" priority="9" operator="containsText" text="024">
      <formula>NOT(ISERROR(SEARCH("024",A28)))</formula>
    </cfRule>
    <cfRule type="containsText" dxfId="696" priority="10" operator="containsText" text="白醬">
      <formula>NOT(ISERROR(SEARCH("白醬",A28)))</formula>
    </cfRule>
    <cfRule type="containsText" dxfId="695" priority="11" operator="containsText" text="青蔥">
      <formula>NOT(ISERROR(SEARCH("青蔥",A28)))</formula>
    </cfRule>
    <cfRule type="containsText" dxfId="694" priority="12" operator="containsText" text=")川燙小青花菜">
      <formula>NOT(ISERROR(SEARCH(")川燙小青花菜",A28)))</formula>
    </cfRule>
    <cfRule type="containsText" dxfId="693" priority="13" operator="containsText" text="湯凍">
      <formula>NOT(ISERROR(SEARCH("湯凍",A28)))</formula>
    </cfRule>
    <cfRule type="containsText" dxfId="692" priority="14" operator="containsText" text="中華">
      <formula>NOT(ISERROR(SEARCH("中華",A28)))</formula>
    </cfRule>
  </conditionalFormatting>
  <conditionalFormatting sqref="A28:A37">
    <cfRule type="containsText" dxfId="691" priority="7" operator="containsText" text="綠豆芽">
      <formula>NOT(ISERROR(SEARCH("綠豆芽",A28)))</formula>
    </cfRule>
    <cfRule type="containsText" dxfId="690" priority="8" operator="containsText" text="煮白細麵生(方#12)">
      <formula>NOT(ISERROR(SEARCH("煮白細麵生(方#12)",A28)))</formula>
    </cfRule>
  </conditionalFormatting>
  <conditionalFormatting sqref="H28:H37">
    <cfRule type="cellIs" dxfId="689" priority="6" operator="greaterThan">
      <formula>1.1</formula>
    </cfRule>
  </conditionalFormatting>
  <conditionalFormatting sqref="G5">
    <cfRule type="cellIs" dxfId="688" priority="1" operator="greaterThan">
      <formula>0.0025</formula>
    </cfRule>
    <cfRule type="cellIs" dxfId="687" priority="2" operator="greaterThan">
      <formula>0.0025</formula>
    </cfRule>
    <cfRule type="cellIs" dxfId="686" priority="4" operator="greaterThan">
      <formula>0.072</formula>
    </cfRule>
    <cfRule type="cellIs" dxfId="685" priority="5" operator="greaterThan">
      <formula>7.2</formula>
    </cfRule>
  </conditionalFormatting>
  <conditionalFormatting sqref="G5">
    <cfRule type="cellIs" dxfId="68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3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959" t="s">
        <v>31</v>
      </c>
      <c r="B2" s="960"/>
      <c r="C2" s="395" t="s">
        <v>32</v>
      </c>
      <c r="D2" s="961" t="s">
        <v>33</v>
      </c>
      <c r="E2" s="961"/>
      <c r="F2" s="961" t="s">
        <v>34</v>
      </c>
      <c r="G2" s="961"/>
      <c r="H2" s="961" t="s">
        <v>33</v>
      </c>
      <c r="I2" s="961"/>
      <c r="J2" s="961" t="s">
        <v>34</v>
      </c>
      <c r="K2" s="961"/>
      <c r="L2" s="961" t="s">
        <v>33</v>
      </c>
      <c r="M2" s="962"/>
      <c r="R2" s="17"/>
    </row>
    <row r="3" spans="1:18" s="18" customFormat="1" ht="28.5" x14ac:dyDescent="0.45">
      <c r="A3" s="956">
        <v>45918</v>
      </c>
      <c r="B3" s="957"/>
      <c r="C3" s="958">
        <v>5709151.7199999997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956"/>
      <c r="B4" s="957"/>
      <c r="C4" s="95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954" t="s">
        <v>44</v>
      </c>
      <c r="B5" s="955"/>
      <c r="C5" s="955"/>
      <c r="D5" s="396">
        <v>13988.339999999993</v>
      </c>
      <c r="E5" s="22">
        <f>D5/C3</f>
        <v>2.4501608445606335E-3</v>
      </c>
      <c r="F5" s="396">
        <v>42117.219999999987</v>
      </c>
      <c r="G5" s="23">
        <f>F5/C3</f>
        <v>7.3771414853904052E-3</v>
      </c>
      <c r="H5" s="24">
        <f>SUM(C12:C21)</f>
        <v>5013.6399999999994</v>
      </c>
      <c r="I5" s="25">
        <f>H5/D5</f>
        <v>0.35841565189293384</v>
      </c>
      <c r="J5" s="24">
        <f>SUM(C28:C37)</f>
        <v>16166.460000000001</v>
      </c>
      <c r="K5" s="26">
        <f>J5/F5</f>
        <v>0.38384442278004116</v>
      </c>
      <c r="L5" s="27">
        <v>5812.9600000000009</v>
      </c>
      <c r="M5" s="28">
        <f>L5/D5</f>
        <v>0.41555752862741424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753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94</v>
      </c>
      <c r="B8" s="620"/>
      <c r="C8" s="620"/>
      <c r="D8" s="620" t="s">
        <v>754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755</v>
      </c>
      <c r="P8" s="630" t="s">
        <v>756</v>
      </c>
      <c r="Q8" s="629" t="s">
        <v>757</v>
      </c>
      <c r="R8" s="941" t="s">
        <v>758</v>
      </c>
    </row>
    <row r="9" spans="1:18" ht="20.45" customHeight="1" x14ac:dyDescent="0.25">
      <c r="A9" s="942" t="s">
        <v>759</v>
      </c>
      <c r="B9" s="634" t="s">
        <v>760</v>
      </c>
      <c r="C9" s="635"/>
      <c r="D9" s="636" t="s">
        <v>761</v>
      </c>
      <c r="E9" s="636"/>
      <c r="F9" s="636"/>
      <c r="G9" s="636"/>
      <c r="H9" s="636"/>
      <c r="I9" s="636"/>
      <c r="J9" s="637" t="s">
        <v>762</v>
      </c>
      <c r="K9" s="637"/>
      <c r="L9" s="637"/>
      <c r="M9" s="638"/>
      <c r="N9" s="638"/>
      <c r="O9" s="629"/>
      <c r="P9" s="629"/>
      <c r="Q9" s="629"/>
      <c r="R9" s="941"/>
    </row>
    <row r="10" spans="1:18" ht="20.45" customHeight="1" x14ac:dyDescent="0.3">
      <c r="A10" s="943"/>
      <c r="B10" s="945" t="s">
        <v>763</v>
      </c>
      <c r="C10" s="947" t="s">
        <v>764</v>
      </c>
      <c r="D10" s="949" t="s">
        <v>765</v>
      </c>
      <c r="E10" s="949"/>
      <c r="F10" s="949"/>
      <c r="G10" s="949"/>
      <c r="H10" s="949"/>
      <c r="I10" s="949"/>
      <c r="J10" s="950" t="s">
        <v>766</v>
      </c>
      <c r="K10" s="952"/>
      <c r="L10" s="953" t="s">
        <v>767</v>
      </c>
      <c r="M10" s="950"/>
      <c r="N10" s="950"/>
      <c r="O10" s="629"/>
      <c r="P10" s="629"/>
      <c r="Q10" s="629"/>
      <c r="R10" s="941"/>
    </row>
    <row r="11" spans="1:18" s="29" customFormat="1" ht="47.25" customHeight="1" x14ac:dyDescent="0.25">
      <c r="A11" s="944"/>
      <c r="B11" s="946"/>
      <c r="C11" s="948"/>
      <c r="D11" s="397" t="s">
        <v>52</v>
      </c>
      <c r="E11" s="397" t="s">
        <v>768</v>
      </c>
      <c r="F11" s="397" t="s">
        <v>769</v>
      </c>
      <c r="G11" s="397" t="s">
        <v>770</v>
      </c>
      <c r="H11" s="397" t="s">
        <v>771</v>
      </c>
      <c r="I11" s="397" t="s">
        <v>772</v>
      </c>
      <c r="J11" s="398" t="s">
        <v>56</v>
      </c>
      <c r="K11" s="398" t="s">
        <v>773</v>
      </c>
      <c r="L11" s="398" t="s">
        <v>774</v>
      </c>
      <c r="M11" s="398" t="s">
        <v>775</v>
      </c>
      <c r="N11" s="399" t="s">
        <v>776</v>
      </c>
      <c r="O11" s="629"/>
      <c r="P11" s="629"/>
      <c r="Q11" s="629"/>
      <c r="R11" s="941"/>
    </row>
    <row r="12" spans="1:18" s="38" customFormat="1" ht="24.95" customHeight="1" x14ac:dyDescent="0.25">
      <c r="A12" s="400">
        <v>1</v>
      </c>
      <c r="B12" s="30" t="s">
        <v>61</v>
      </c>
      <c r="C12" s="31">
        <v>1412.59</v>
      </c>
      <c r="D12" s="32">
        <v>7240</v>
      </c>
      <c r="E12" s="32">
        <v>7240</v>
      </c>
      <c r="F12" s="32">
        <v>214.68</v>
      </c>
      <c r="G12" s="31">
        <v>6.58</v>
      </c>
      <c r="H12" s="33">
        <f t="shared" ref="H12:H21" si="0">(E12+F12)/D12</f>
        <v>1.0296519337016574</v>
      </c>
      <c r="I12" s="31">
        <v>1412.59</v>
      </c>
      <c r="J12" s="32">
        <v>214.68</v>
      </c>
      <c r="K12" s="34">
        <f t="shared" ref="K12:K21" si="1">J12/D12</f>
        <v>2.965193370165746E-2</v>
      </c>
      <c r="L12" s="401">
        <f t="shared" ref="L12:L21" si="2">((E12+F12)-D12)-J12</f>
        <v>2.8421709430404007E-13</v>
      </c>
      <c r="M12" s="35">
        <f t="shared" ref="M12:M21" si="3">L12/D12</f>
        <v>3.925650473812708E-17</v>
      </c>
      <c r="N12" s="402">
        <f t="shared" ref="N12:N21" si="4">L12*G12</f>
        <v>1.8701484805205836E-12</v>
      </c>
      <c r="O12" s="453" t="s">
        <v>142</v>
      </c>
      <c r="P12" s="453" t="s">
        <v>26</v>
      </c>
      <c r="Q12" s="453" t="s">
        <v>143</v>
      </c>
      <c r="R12" s="37" t="s">
        <v>59</v>
      </c>
    </row>
    <row r="13" spans="1:18" s="38" customFormat="1" ht="24.95" customHeight="1" x14ac:dyDescent="0.25">
      <c r="A13" s="403">
        <v>2</v>
      </c>
      <c r="B13" s="30" t="s">
        <v>69</v>
      </c>
      <c r="C13" s="31">
        <v>1147.3</v>
      </c>
      <c r="D13" s="32">
        <v>9309</v>
      </c>
      <c r="E13" s="32">
        <v>9309</v>
      </c>
      <c r="F13" s="32">
        <v>163.9</v>
      </c>
      <c r="G13" s="31">
        <v>7</v>
      </c>
      <c r="H13" s="33">
        <f t="shared" si="0"/>
        <v>1.0176066172521216</v>
      </c>
      <c r="I13" s="31">
        <v>1147.3</v>
      </c>
      <c r="J13" s="32">
        <v>163.9</v>
      </c>
      <c r="K13" s="34">
        <f t="shared" si="1"/>
        <v>1.7606617252121603E-2</v>
      </c>
      <c r="L13" s="401">
        <f t="shared" si="2"/>
        <v>-3.694822225952521E-13</v>
      </c>
      <c r="M13" s="35">
        <f t="shared" si="3"/>
        <v>-3.9690860736411223E-17</v>
      </c>
      <c r="N13" s="402">
        <f t="shared" si="4"/>
        <v>-2.5863755581667647E-12</v>
      </c>
      <c r="O13" s="453" t="s">
        <v>142</v>
      </c>
      <c r="P13" s="453" t="s">
        <v>26</v>
      </c>
      <c r="Q13" s="453" t="s">
        <v>143</v>
      </c>
      <c r="R13" s="37" t="s">
        <v>59</v>
      </c>
    </row>
    <row r="14" spans="1:18" s="39" customFormat="1" ht="24.95" customHeight="1" x14ac:dyDescent="0.25">
      <c r="A14" s="403">
        <v>3</v>
      </c>
      <c r="B14" s="30" t="s">
        <v>58</v>
      </c>
      <c r="C14" s="31">
        <v>738.05</v>
      </c>
      <c r="D14" s="32">
        <v>14665</v>
      </c>
      <c r="E14" s="32">
        <v>14665</v>
      </c>
      <c r="F14" s="32">
        <v>127.25</v>
      </c>
      <c r="G14" s="31">
        <v>5.8</v>
      </c>
      <c r="H14" s="33">
        <f t="shared" si="0"/>
        <v>1.0086771224002729</v>
      </c>
      <c r="I14" s="31">
        <v>738.05</v>
      </c>
      <c r="J14" s="32">
        <v>127.25</v>
      </c>
      <c r="K14" s="34">
        <f t="shared" si="1"/>
        <v>8.6771224002727583E-3</v>
      </c>
      <c r="L14" s="401">
        <f t="shared" si="2"/>
        <v>0</v>
      </c>
      <c r="M14" s="35">
        <f t="shared" si="3"/>
        <v>0</v>
      </c>
      <c r="N14" s="402">
        <f t="shared" si="4"/>
        <v>0</v>
      </c>
      <c r="O14" s="453" t="s">
        <v>139</v>
      </c>
      <c r="P14" s="453" t="s">
        <v>28</v>
      </c>
      <c r="Q14" s="453" t="s">
        <v>140</v>
      </c>
      <c r="R14" s="37" t="s">
        <v>59</v>
      </c>
    </row>
    <row r="15" spans="1:18" s="38" customFormat="1" ht="24.95" customHeight="1" x14ac:dyDescent="0.25">
      <c r="A15" s="400">
        <v>4</v>
      </c>
      <c r="B15" s="30" t="s">
        <v>62</v>
      </c>
      <c r="C15" s="31">
        <v>538.21</v>
      </c>
      <c r="D15" s="32">
        <v>353.3</v>
      </c>
      <c r="E15" s="32">
        <v>368.2</v>
      </c>
      <c r="F15" s="32">
        <v>11.62</v>
      </c>
      <c r="G15" s="31">
        <v>111.2</v>
      </c>
      <c r="H15" s="33">
        <f t="shared" si="0"/>
        <v>1.0750636852533257</v>
      </c>
      <c r="I15" s="31">
        <v>2949.02</v>
      </c>
      <c r="J15" s="32">
        <v>4.84</v>
      </c>
      <c r="K15" s="34">
        <f t="shared" si="1"/>
        <v>1.3699405604302292E-2</v>
      </c>
      <c r="L15" s="401">
        <f t="shared" si="2"/>
        <v>21.679999999999982</v>
      </c>
      <c r="M15" s="35">
        <f t="shared" si="3"/>
        <v>6.136427964902344E-2</v>
      </c>
      <c r="N15" s="402">
        <f t="shared" si="4"/>
        <v>2410.815999999998</v>
      </c>
      <c r="O15" s="453" t="s">
        <v>139</v>
      </c>
      <c r="P15" s="453" t="s">
        <v>25</v>
      </c>
      <c r="Q15" s="453" t="s">
        <v>144</v>
      </c>
      <c r="R15" s="37" t="s">
        <v>63</v>
      </c>
    </row>
    <row r="16" spans="1:18" s="39" customFormat="1" ht="24.95" customHeight="1" x14ac:dyDescent="0.25">
      <c r="A16" s="403">
        <v>5</v>
      </c>
      <c r="B16" s="30" t="s">
        <v>60</v>
      </c>
      <c r="C16" s="31">
        <v>417.3</v>
      </c>
      <c r="D16" s="32">
        <v>253.4</v>
      </c>
      <c r="E16" s="32">
        <v>261</v>
      </c>
      <c r="F16" s="32">
        <v>8.34</v>
      </c>
      <c r="G16" s="31">
        <v>99.12</v>
      </c>
      <c r="H16" s="33">
        <f t="shared" si="0"/>
        <v>1.0629044988161009</v>
      </c>
      <c r="I16" s="31">
        <v>1579.97</v>
      </c>
      <c r="J16" s="32">
        <v>4.21</v>
      </c>
      <c r="K16" s="34">
        <f t="shared" si="1"/>
        <v>1.6614048934490921E-2</v>
      </c>
      <c r="L16" s="401">
        <f t="shared" si="2"/>
        <v>11.729999999999968</v>
      </c>
      <c r="M16" s="35">
        <f t="shared" si="3"/>
        <v>4.6290449881609977E-2</v>
      </c>
      <c r="N16" s="402">
        <f t="shared" si="4"/>
        <v>1162.677599999997</v>
      </c>
      <c r="O16" s="453" t="s">
        <v>139</v>
      </c>
      <c r="P16" s="453" t="s">
        <v>25</v>
      </c>
      <c r="Q16" s="453" t="s">
        <v>141</v>
      </c>
      <c r="R16" s="37" t="s">
        <v>59</v>
      </c>
    </row>
    <row r="17" spans="1:18" s="38" customFormat="1" ht="24.95" customHeight="1" x14ac:dyDescent="0.25">
      <c r="A17" s="400">
        <v>6</v>
      </c>
      <c r="B17" s="30" t="s">
        <v>83</v>
      </c>
      <c r="C17" s="31">
        <v>263.27999999999997</v>
      </c>
      <c r="D17" s="32">
        <v>393.86</v>
      </c>
      <c r="E17" s="32">
        <v>393.86</v>
      </c>
      <c r="F17" s="32">
        <v>16.66</v>
      </c>
      <c r="G17" s="31">
        <v>85.48</v>
      </c>
      <c r="H17" s="33">
        <f t="shared" si="0"/>
        <v>1.0422992941654396</v>
      </c>
      <c r="I17" s="31">
        <v>1424.1</v>
      </c>
      <c r="J17" s="32">
        <v>3.08</v>
      </c>
      <c r="K17" s="34">
        <f t="shared" si="1"/>
        <v>7.8200375768039398E-3</v>
      </c>
      <c r="L17" s="401">
        <f t="shared" si="2"/>
        <v>13.580000000000025</v>
      </c>
      <c r="M17" s="35">
        <f t="shared" si="3"/>
        <v>3.4479256588635619E-2</v>
      </c>
      <c r="N17" s="402">
        <f t="shared" si="4"/>
        <v>1160.8184000000022</v>
      </c>
      <c r="O17" s="453" t="s">
        <v>139</v>
      </c>
      <c r="P17" s="453" t="s">
        <v>25</v>
      </c>
      <c r="Q17" s="455" t="s">
        <v>134</v>
      </c>
      <c r="R17" s="37" t="s">
        <v>84</v>
      </c>
    </row>
    <row r="18" spans="1:18" s="39" customFormat="1" ht="24.95" customHeight="1" x14ac:dyDescent="0.25">
      <c r="A18" s="403">
        <v>7</v>
      </c>
      <c r="B18" s="30" t="s">
        <v>80</v>
      </c>
      <c r="C18" s="31">
        <v>181.81</v>
      </c>
      <c r="D18" s="32">
        <v>324.3</v>
      </c>
      <c r="E18" s="32">
        <v>324.3</v>
      </c>
      <c r="F18" s="32">
        <v>13.72</v>
      </c>
      <c r="G18" s="31">
        <v>156.72999999999999</v>
      </c>
      <c r="H18" s="33">
        <f t="shared" si="0"/>
        <v>1.0423065063213075</v>
      </c>
      <c r="I18" s="31">
        <v>2150.34</v>
      </c>
      <c r="J18" s="32">
        <v>1.1599999999999999</v>
      </c>
      <c r="K18" s="34">
        <f t="shared" si="1"/>
        <v>3.5769349367869253E-3</v>
      </c>
      <c r="L18" s="401">
        <f t="shared" si="2"/>
        <v>12.560000000000027</v>
      </c>
      <c r="M18" s="35">
        <f t="shared" si="3"/>
        <v>3.8729571384520586E-2</v>
      </c>
      <c r="N18" s="402">
        <f t="shared" si="4"/>
        <v>1968.5288000000041</v>
      </c>
      <c r="O18" s="453" t="s">
        <v>142</v>
      </c>
      <c r="P18" s="453" t="s">
        <v>26</v>
      </c>
      <c r="Q18" s="453" t="s">
        <v>143</v>
      </c>
      <c r="R18" s="37" t="s">
        <v>59</v>
      </c>
    </row>
    <row r="19" spans="1:18" s="38" customFormat="1" ht="24.95" customHeight="1" x14ac:dyDescent="0.25">
      <c r="A19" s="400">
        <v>8</v>
      </c>
      <c r="B19" s="30" t="s">
        <v>87</v>
      </c>
      <c r="C19" s="31">
        <v>108.66</v>
      </c>
      <c r="D19" s="32">
        <v>222.12</v>
      </c>
      <c r="E19" s="32">
        <v>222.12</v>
      </c>
      <c r="F19" s="32">
        <v>7.31</v>
      </c>
      <c r="G19" s="31">
        <v>194.04</v>
      </c>
      <c r="H19" s="33">
        <f t="shared" si="0"/>
        <v>1.0329101386637853</v>
      </c>
      <c r="I19" s="31">
        <v>1418.43</v>
      </c>
      <c r="J19" s="32">
        <v>0.56000000000000005</v>
      </c>
      <c r="K19" s="34">
        <f t="shared" si="1"/>
        <v>2.5211597334773997E-3</v>
      </c>
      <c r="L19" s="401">
        <f t="shared" si="2"/>
        <v>6.7500000000000018</v>
      </c>
      <c r="M19" s="35">
        <f t="shared" si="3"/>
        <v>3.0388978930307949E-2</v>
      </c>
      <c r="N19" s="402">
        <f t="shared" si="4"/>
        <v>1309.7700000000002</v>
      </c>
      <c r="O19" s="453" t="s">
        <v>139</v>
      </c>
      <c r="P19" s="453" t="s">
        <v>25</v>
      </c>
      <c r="Q19" s="453" t="s">
        <v>144</v>
      </c>
      <c r="R19" s="37" t="s">
        <v>88</v>
      </c>
    </row>
    <row r="20" spans="1:18" s="38" customFormat="1" ht="24.95" customHeight="1" x14ac:dyDescent="0.25">
      <c r="A20" s="403">
        <v>9</v>
      </c>
      <c r="B20" s="30" t="s">
        <v>661</v>
      </c>
      <c r="C20" s="31">
        <v>103.24</v>
      </c>
      <c r="D20" s="32">
        <v>48.6</v>
      </c>
      <c r="E20" s="32">
        <v>48.6</v>
      </c>
      <c r="F20" s="32">
        <v>2.0499999999999998</v>
      </c>
      <c r="G20" s="31">
        <v>124.39</v>
      </c>
      <c r="H20" s="33">
        <f t="shared" si="0"/>
        <v>1.0421810699588476</v>
      </c>
      <c r="I20" s="31">
        <v>255</v>
      </c>
      <c r="J20" s="32">
        <v>0.83</v>
      </c>
      <c r="K20" s="34">
        <f t="shared" si="1"/>
        <v>1.7078189300411523E-2</v>
      </c>
      <c r="L20" s="401">
        <f t="shared" si="2"/>
        <v>1.2199999999999971</v>
      </c>
      <c r="M20" s="35">
        <f t="shared" si="3"/>
        <v>2.5102880658436154E-2</v>
      </c>
      <c r="N20" s="402">
        <f t="shared" si="4"/>
        <v>151.75579999999962</v>
      </c>
      <c r="O20" s="453" t="s">
        <v>142</v>
      </c>
      <c r="P20" s="453" t="s">
        <v>26</v>
      </c>
      <c r="Q20" s="453" t="s">
        <v>619</v>
      </c>
      <c r="R20" s="37" t="s">
        <v>86</v>
      </c>
    </row>
    <row r="21" spans="1:18" s="38" customFormat="1" ht="24.95" customHeight="1" thickBot="1" x14ac:dyDescent="0.3">
      <c r="A21" s="404">
        <v>10</v>
      </c>
      <c r="B21" s="40" t="s">
        <v>662</v>
      </c>
      <c r="C21" s="41">
        <v>103.2</v>
      </c>
      <c r="D21" s="42">
        <v>13.38</v>
      </c>
      <c r="E21" s="42">
        <v>13.38</v>
      </c>
      <c r="F21" s="42">
        <v>0.63</v>
      </c>
      <c r="G21" s="41">
        <v>469.08</v>
      </c>
      <c r="H21" s="43">
        <f t="shared" si="0"/>
        <v>1.047085201793722</v>
      </c>
      <c r="I21" s="41">
        <v>295.52</v>
      </c>
      <c r="J21" s="42">
        <v>0.22</v>
      </c>
      <c r="K21" s="44">
        <f t="shared" si="1"/>
        <v>1.6442451420029893E-2</v>
      </c>
      <c r="L21" s="405">
        <f t="shared" si="2"/>
        <v>0.41000000000000081</v>
      </c>
      <c r="M21" s="45">
        <f t="shared" si="3"/>
        <v>3.0642750373692136E-2</v>
      </c>
      <c r="N21" s="406">
        <f t="shared" si="4"/>
        <v>192.32280000000037</v>
      </c>
      <c r="O21" s="454" t="s">
        <v>139</v>
      </c>
      <c r="P21" s="454" t="s">
        <v>25</v>
      </c>
      <c r="Q21" s="454" t="s">
        <v>141</v>
      </c>
      <c r="R21" s="47" t="s">
        <v>657</v>
      </c>
    </row>
    <row r="22" spans="1:18" s="53" customFormat="1" ht="24.95" customHeight="1" thickBot="1" x14ac:dyDescent="0.3">
      <c r="A22" s="407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408"/>
      <c r="M22" s="51"/>
      <c r="N22" s="409"/>
      <c r="O22" s="52"/>
      <c r="P22" s="52"/>
      <c r="Q22" s="52"/>
      <c r="R22" s="48"/>
    </row>
    <row r="23" spans="1:18" s="53" customFormat="1" ht="40.5" customHeight="1" x14ac:dyDescent="0.25">
      <c r="A23" s="616" t="s">
        <v>777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94</v>
      </c>
      <c r="B24" s="620"/>
      <c r="C24" s="620"/>
      <c r="D24" s="620" t="s">
        <v>778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779</v>
      </c>
      <c r="P24" s="630" t="s">
        <v>780</v>
      </c>
      <c r="Q24" s="629" t="s">
        <v>757</v>
      </c>
      <c r="R24" s="941" t="s">
        <v>48</v>
      </c>
    </row>
    <row r="25" spans="1:18" s="53" customFormat="1" ht="24.95" customHeight="1" x14ac:dyDescent="0.25">
      <c r="A25" s="942" t="s">
        <v>235</v>
      </c>
      <c r="B25" s="634" t="s">
        <v>781</v>
      </c>
      <c r="C25" s="635"/>
      <c r="D25" s="636" t="s">
        <v>782</v>
      </c>
      <c r="E25" s="636"/>
      <c r="F25" s="636"/>
      <c r="G25" s="636"/>
      <c r="H25" s="636"/>
      <c r="I25" s="636"/>
      <c r="J25" s="637" t="s">
        <v>783</v>
      </c>
      <c r="K25" s="637"/>
      <c r="L25" s="637"/>
      <c r="M25" s="638"/>
      <c r="N25" s="638"/>
      <c r="O25" s="629"/>
      <c r="P25" s="629"/>
      <c r="Q25" s="629"/>
      <c r="R25" s="941"/>
    </row>
    <row r="26" spans="1:18" s="53" customFormat="1" ht="24.95" customHeight="1" x14ac:dyDescent="0.3">
      <c r="A26" s="943"/>
      <c r="B26" s="945" t="s">
        <v>784</v>
      </c>
      <c r="C26" s="947" t="s">
        <v>785</v>
      </c>
      <c r="D26" s="949" t="s">
        <v>786</v>
      </c>
      <c r="E26" s="949"/>
      <c r="F26" s="949"/>
      <c r="G26" s="949"/>
      <c r="H26" s="949"/>
      <c r="I26" s="949"/>
      <c r="J26" s="950" t="s">
        <v>787</v>
      </c>
      <c r="K26" s="951"/>
      <c r="L26" s="952"/>
      <c r="M26" s="950" t="s">
        <v>788</v>
      </c>
      <c r="N26" s="952"/>
      <c r="O26" s="629"/>
      <c r="P26" s="629"/>
      <c r="Q26" s="629"/>
      <c r="R26" s="941"/>
    </row>
    <row r="27" spans="1:18" s="53" customFormat="1" ht="50.1" customHeight="1" x14ac:dyDescent="0.25">
      <c r="A27" s="944"/>
      <c r="B27" s="946"/>
      <c r="C27" s="948"/>
      <c r="D27" s="397" t="s">
        <v>789</v>
      </c>
      <c r="E27" s="397" t="s">
        <v>790</v>
      </c>
      <c r="F27" s="397" t="s">
        <v>769</v>
      </c>
      <c r="G27" s="397" t="s">
        <v>791</v>
      </c>
      <c r="H27" s="397" t="s">
        <v>792</v>
      </c>
      <c r="I27" s="397" t="s">
        <v>793</v>
      </c>
      <c r="J27" s="398" t="s">
        <v>794</v>
      </c>
      <c r="K27" s="398" t="s">
        <v>107</v>
      </c>
      <c r="L27" s="399" t="s">
        <v>795</v>
      </c>
      <c r="M27" s="398" t="s">
        <v>794</v>
      </c>
      <c r="N27" s="398" t="s">
        <v>796</v>
      </c>
      <c r="O27" s="629"/>
      <c r="P27" s="629"/>
      <c r="Q27" s="629"/>
      <c r="R27" s="941"/>
    </row>
    <row r="28" spans="1:18" s="53" customFormat="1" ht="24.95" customHeight="1" x14ac:dyDescent="0.25">
      <c r="A28" s="400">
        <v>1</v>
      </c>
      <c r="B28" s="30" t="s">
        <v>651</v>
      </c>
      <c r="C28" s="31">
        <v>2417.7900000000004</v>
      </c>
      <c r="D28" s="32">
        <v>128.36000000000001</v>
      </c>
      <c r="E28" s="32">
        <v>128.36000000000001</v>
      </c>
      <c r="F28" s="32">
        <v>6.03</v>
      </c>
      <c r="G28" s="31">
        <v>417.58</v>
      </c>
      <c r="H28" s="54">
        <f t="shared" ref="H28:H37" si="5">(E28+F28)/D28</f>
        <v>1.0469772514802118</v>
      </c>
      <c r="I28" s="31">
        <v>2518.0100000000002</v>
      </c>
      <c r="J28" s="32">
        <v>0.24</v>
      </c>
      <c r="K28" s="34">
        <f t="shared" ref="K28:K37" si="6">J28/D28</f>
        <v>1.8697413524462446E-3</v>
      </c>
      <c r="L28" s="402">
        <f t="shared" ref="L28:L37" si="7">J28*G28</f>
        <v>100.21919999999999</v>
      </c>
      <c r="M28" s="401">
        <f t="shared" ref="M28:M37" si="8">((E28+F28)-D28)-J28</f>
        <v>5.7900000000000009</v>
      </c>
      <c r="N28" s="35">
        <f t="shared" ref="N28:N37" si="9">M28/D28</f>
        <v>4.5107510127765663E-2</v>
      </c>
      <c r="O28" s="451" t="s">
        <v>133</v>
      </c>
      <c r="P28" s="458" t="s">
        <v>25</v>
      </c>
      <c r="Q28" s="458" t="s">
        <v>134</v>
      </c>
      <c r="R28" s="37" t="s">
        <v>656</v>
      </c>
    </row>
    <row r="29" spans="1:18" s="53" customFormat="1" ht="24.75" customHeight="1" x14ac:dyDescent="0.25">
      <c r="A29" s="403">
        <v>2</v>
      </c>
      <c r="B29" s="30" t="s">
        <v>62</v>
      </c>
      <c r="C29" s="31">
        <v>2410.81</v>
      </c>
      <c r="D29" s="32">
        <v>353.3</v>
      </c>
      <c r="E29" s="32">
        <v>368.2</v>
      </c>
      <c r="F29" s="32">
        <v>11.62</v>
      </c>
      <c r="G29" s="31">
        <v>111.2</v>
      </c>
      <c r="H29" s="54">
        <f t="shared" si="5"/>
        <v>1.0750636852533257</v>
      </c>
      <c r="I29" s="31">
        <v>2949.02</v>
      </c>
      <c r="J29" s="32">
        <v>4.84</v>
      </c>
      <c r="K29" s="34">
        <f t="shared" si="6"/>
        <v>1.3699405604302292E-2</v>
      </c>
      <c r="L29" s="402">
        <f t="shared" si="7"/>
        <v>538.20799999999997</v>
      </c>
      <c r="M29" s="401">
        <f t="shared" si="8"/>
        <v>21.679999999999982</v>
      </c>
      <c r="N29" s="35">
        <f t="shared" si="9"/>
        <v>6.136427964902344E-2</v>
      </c>
      <c r="O29" s="451" t="s">
        <v>133</v>
      </c>
      <c r="P29" s="458" t="s">
        <v>25</v>
      </c>
      <c r="Q29" s="458" t="s">
        <v>135</v>
      </c>
      <c r="R29" s="37" t="s">
        <v>63</v>
      </c>
    </row>
    <row r="30" spans="1:18" s="53" customFormat="1" ht="24.95" customHeight="1" x14ac:dyDescent="0.25">
      <c r="A30" s="403">
        <v>3</v>
      </c>
      <c r="B30" s="30" t="s">
        <v>80</v>
      </c>
      <c r="C30" s="31">
        <v>1968.5300000000002</v>
      </c>
      <c r="D30" s="32">
        <v>324.3</v>
      </c>
      <c r="E30" s="32">
        <v>324.3</v>
      </c>
      <c r="F30" s="32">
        <v>13.72</v>
      </c>
      <c r="G30" s="31">
        <v>156.72999999999999</v>
      </c>
      <c r="H30" s="54">
        <f t="shared" si="5"/>
        <v>1.0423065063213075</v>
      </c>
      <c r="I30" s="31">
        <v>2150.34</v>
      </c>
      <c r="J30" s="57">
        <v>1.1599999999999999</v>
      </c>
      <c r="K30" s="34">
        <f t="shared" si="6"/>
        <v>3.5769349367869253E-3</v>
      </c>
      <c r="L30" s="402">
        <f t="shared" si="7"/>
        <v>181.80679999999998</v>
      </c>
      <c r="M30" s="401">
        <f t="shared" si="8"/>
        <v>12.560000000000027</v>
      </c>
      <c r="N30" s="35">
        <f t="shared" si="9"/>
        <v>3.8729571384520586E-2</v>
      </c>
      <c r="O30" s="451" t="s">
        <v>133</v>
      </c>
      <c r="P30" s="458" t="s">
        <v>25</v>
      </c>
      <c r="Q30" s="458" t="s">
        <v>136</v>
      </c>
      <c r="R30" s="37" t="s">
        <v>59</v>
      </c>
    </row>
    <row r="31" spans="1:18" s="53" customFormat="1" ht="24.95" customHeight="1" x14ac:dyDescent="0.25">
      <c r="A31" s="400">
        <v>4</v>
      </c>
      <c r="B31" s="30" t="s">
        <v>531</v>
      </c>
      <c r="C31" s="31">
        <v>1499.01</v>
      </c>
      <c r="D31" s="32">
        <v>108.6</v>
      </c>
      <c r="E31" s="32">
        <v>108.6</v>
      </c>
      <c r="F31" s="32">
        <v>5.0999999999999996</v>
      </c>
      <c r="G31" s="31">
        <v>313.60000000000002</v>
      </c>
      <c r="H31" s="54">
        <f t="shared" si="5"/>
        <v>1.0469613259668509</v>
      </c>
      <c r="I31" s="31">
        <v>1599.36</v>
      </c>
      <c r="J31" s="32">
        <v>0.32</v>
      </c>
      <c r="K31" s="34">
        <f t="shared" si="6"/>
        <v>2.946593001841621E-3</v>
      </c>
      <c r="L31" s="402">
        <f t="shared" si="7"/>
        <v>100.352</v>
      </c>
      <c r="M31" s="401">
        <f t="shared" si="8"/>
        <v>4.779999999999994</v>
      </c>
      <c r="N31" s="35">
        <f t="shared" si="9"/>
        <v>4.4014732965009157E-2</v>
      </c>
      <c r="O31" s="451" t="s">
        <v>133</v>
      </c>
      <c r="P31" s="458" t="s">
        <v>25</v>
      </c>
      <c r="Q31" s="458" t="s">
        <v>136</v>
      </c>
      <c r="R31" s="37" t="s">
        <v>59</v>
      </c>
    </row>
    <row r="32" spans="1:18" s="53" customFormat="1" ht="24.95" customHeight="1" x14ac:dyDescent="0.25">
      <c r="A32" s="403">
        <v>5</v>
      </c>
      <c r="B32" s="30" t="s">
        <v>74</v>
      </c>
      <c r="C32" s="31">
        <v>1474.02</v>
      </c>
      <c r="D32" s="32">
        <v>278.14999999999998</v>
      </c>
      <c r="E32" s="32">
        <v>278.14999999999998</v>
      </c>
      <c r="F32" s="32">
        <v>11.76</v>
      </c>
      <c r="G32" s="31">
        <v>133.88</v>
      </c>
      <c r="H32" s="54">
        <f t="shared" si="5"/>
        <v>1.0422793456767931</v>
      </c>
      <c r="I32" s="31">
        <v>1574.43</v>
      </c>
      <c r="J32" s="32">
        <v>0.75</v>
      </c>
      <c r="K32" s="34">
        <f t="shared" si="6"/>
        <v>2.696386841632213E-3</v>
      </c>
      <c r="L32" s="402">
        <f t="shared" si="7"/>
        <v>100.41</v>
      </c>
      <c r="M32" s="401">
        <f t="shared" si="8"/>
        <v>11.009999999999991</v>
      </c>
      <c r="N32" s="35">
        <f t="shared" si="9"/>
        <v>3.9582958835160852E-2</v>
      </c>
      <c r="O32" s="451" t="s">
        <v>133</v>
      </c>
      <c r="P32" s="458" t="s">
        <v>25</v>
      </c>
      <c r="Q32" s="458" t="s">
        <v>134</v>
      </c>
      <c r="R32" s="37" t="s">
        <v>75</v>
      </c>
    </row>
    <row r="33" spans="1:18" s="53" customFormat="1" ht="24.95" customHeight="1" x14ac:dyDescent="0.25">
      <c r="A33" s="400">
        <v>6</v>
      </c>
      <c r="B33" s="30" t="s">
        <v>68</v>
      </c>
      <c r="C33" s="31">
        <v>1373.05</v>
      </c>
      <c r="D33" s="32">
        <v>222.17</v>
      </c>
      <c r="E33" s="32">
        <v>222.17</v>
      </c>
      <c r="F33" s="32">
        <v>9.4</v>
      </c>
      <c r="G33" s="31">
        <v>156.74</v>
      </c>
      <c r="H33" s="54">
        <f t="shared" si="5"/>
        <v>1.0423099428365665</v>
      </c>
      <c r="I33" s="31">
        <v>1473.36</v>
      </c>
      <c r="J33" s="32">
        <v>0.64</v>
      </c>
      <c r="K33" s="34">
        <f t="shared" si="6"/>
        <v>2.8806769590853853E-3</v>
      </c>
      <c r="L33" s="402">
        <f t="shared" si="7"/>
        <v>100.31360000000001</v>
      </c>
      <c r="M33" s="401">
        <f t="shared" si="8"/>
        <v>8.7600000000000051</v>
      </c>
      <c r="N33" s="35">
        <f t="shared" si="9"/>
        <v>3.9429265877481232E-2</v>
      </c>
      <c r="O33" s="451" t="s">
        <v>133</v>
      </c>
      <c r="P33" s="458" t="s">
        <v>25</v>
      </c>
      <c r="Q33" s="458" t="s">
        <v>136</v>
      </c>
      <c r="R33" s="37" t="s">
        <v>59</v>
      </c>
    </row>
    <row r="34" spans="1:18" s="53" customFormat="1" ht="24.95" customHeight="1" x14ac:dyDescent="0.25">
      <c r="A34" s="403">
        <v>7</v>
      </c>
      <c r="B34" s="30" t="s">
        <v>81</v>
      </c>
      <c r="C34" s="31">
        <v>1344.6000000000001</v>
      </c>
      <c r="D34" s="32">
        <v>488.06</v>
      </c>
      <c r="E34" s="32">
        <v>488.06</v>
      </c>
      <c r="F34" s="32">
        <v>18.350000000000001</v>
      </c>
      <c r="G34" s="31">
        <v>78.77</v>
      </c>
      <c r="H34" s="54">
        <f t="shared" si="5"/>
        <v>1.0375978363315985</v>
      </c>
      <c r="I34" s="31">
        <v>1445.43</v>
      </c>
      <c r="J34" s="32">
        <v>1.28</v>
      </c>
      <c r="K34" s="34">
        <f t="shared" si="6"/>
        <v>2.6226283653649142E-3</v>
      </c>
      <c r="L34" s="402">
        <f t="shared" si="7"/>
        <v>100.82559999999999</v>
      </c>
      <c r="M34" s="401">
        <f t="shared" si="8"/>
        <v>17.070000000000022</v>
      </c>
      <c r="N34" s="35">
        <f t="shared" si="9"/>
        <v>3.4975207966233705E-2</v>
      </c>
      <c r="O34" s="451" t="s">
        <v>133</v>
      </c>
      <c r="P34" s="458" t="s">
        <v>25</v>
      </c>
      <c r="Q34" s="458" t="s">
        <v>137</v>
      </c>
      <c r="R34" s="37" t="s">
        <v>82</v>
      </c>
    </row>
    <row r="35" spans="1:18" s="53" customFormat="1" ht="24.95" customHeight="1" x14ac:dyDescent="0.25">
      <c r="A35" s="400">
        <v>8</v>
      </c>
      <c r="B35" s="30" t="s">
        <v>87</v>
      </c>
      <c r="C35" s="31">
        <v>1309.77</v>
      </c>
      <c r="D35" s="32">
        <v>222.12</v>
      </c>
      <c r="E35" s="32">
        <v>222.12</v>
      </c>
      <c r="F35" s="32">
        <v>7.31</v>
      </c>
      <c r="G35" s="31">
        <v>194.04</v>
      </c>
      <c r="H35" s="54">
        <f t="shared" si="5"/>
        <v>1.0329101386637853</v>
      </c>
      <c r="I35" s="31">
        <v>1418.43</v>
      </c>
      <c r="J35" s="32">
        <v>0.56000000000000005</v>
      </c>
      <c r="K35" s="34">
        <f t="shared" si="6"/>
        <v>2.5211597334773997E-3</v>
      </c>
      <c r="L35" s="402">
        <f t="shared" si="7"/>
        <v>108.66240000000001</v>
      </c>
      <c r="M35" s="401">
        <f t="shared" si="8"/>
        <v>6.7500000000000018</v>
      </c>
      <c r="N35" s="35">
        <f t="shared" si="9"/>
        <v>3.0388978930307949E-2</v>
      </c>
      <c r="O35" s="451" t="s">
        <v>133</v>
      </c>
      <c r="P35" s="458" t="s">
        <v>25</v>
      </c>
      <c r="Q35" s="458" t="s">
        <v>135</v>
      </c>
      <c r="R35" s="37" t="s">
        <v>88</v>
      </c>
    </row>
    <row r="36" spans="1:18" s="53" customFormat="1" ht="24.95" customHeight="1" x14ac:dyDescent="0.25">
      <c r="A36" s="403">
        <v>9</v>
      </c>
      <c r="B36" s="30" t="s">
        <v>85</v>
      </c>
      <c r="C36" s="31">
        <v>1206.2099999999998</v>
      </c>
      <c r="D36" s="32">
        <v>437.4</v>
      </c>
      <c r="E36" s="32">
        <v>437.4</v>
      </c>
      <c r="F36" s="32">
        <v>16.45</v>
      </c>
      <c r="G36" s="31">
        <v>79.459999999999994</v>
      </c>
      <c r="H36" s="54">
        <f t="shared" si="5"/>
        <v>1.0376085962505714</v>
      </c>
      <c r="I36" s="31">
        <v>1307.1199999999999</v>
      </c>
      <c r="J36" s="32">
        <v>1.27</v>
      </c>
      <c r="K36" s="34">
        <f t="shared" si="6"/>
        <v>2.9035208047553727E-3</v>
      </c>
      <c r="L36" s="402">
        <f t="shared" si="7"/>
        <v>100.91419999999999</v>
      </c>
      <c r="M36" s="401">
        <f t="shared" si="8"/>
        <v>15.179999999999989</v>
      </c>
      <c r="N36" s="35">
        <f t="shared" si="9"/>
        <v>3.4705075445816164E-2</v>
      </c>
      <c r="O36" s="451" t="s">
        <v>133</v>
      </c>
      <c r="P36" s="458" t="s">
        <v>25</v>
      </c>
      <c r="Q36" s="458" t="s">
        <v>135</v>
      </c>
      <c r="R36" s="37" t="s">
        <v>86</v>
      </c>
    </row>
    <row r="37" spans="1:18" s="53" customFormat="1" ht="24.95" customHeight="1" thickBot="1" x14ac:dyDescent="0.3">
      <c r="A37" s="404">
        <v>10</v>
      </c>
      <c r="B37" s="40" t="s">
        <v>60</v>
      </c>
      <c r="C37" s="41">
        <v>1162.67</v>
      </c>
      <c r="D37" s="42">
        <v>253.4</v>
      </c>
      <c r="E37" s="42">
        <v>261</v>
      </c>
      <c r="F37" s="42">
        <v>8.34</v>
      </c>
      <c r="G37" s="41">
        <v>99.12</v>
      </c>
      <c r="H37" s="58">
        <f t="shared" si="5"/>
        <v>1.0629044988161009</v>
      </c>
      <c r="I37" s="41">
        <v>1579.97</v>
      </c>
      <c r="J37" s="42">
        <v>4.21</v>
      </c>
      <c r="K37" s="44">
        <f t="shared" si="6"/>
        <v>1.6614048934490921E-2</v>
      </c>
      <c r="L37" s="406">
        <f t="shared" si="7"/>
        <v>417.29520000000002</v>
      </c>
      <c r="M37" s="405">
        <f t="shared" si="8"/>
        <v>11.729999999999968</v>
      </c>
      <c r="N37" s="45">
        <f t="shared" si="9"/>
        <v>4.6290449881609977E-2</v>
      </c>
      <c r="O37" s="59" t="s">
        <v>133</v>
      </c>
      <c r="P37" s="60" t="s">
        <v>25</v>
      </c>
      <c r="Q37" s="60" t="s">
        <v>895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305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797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938" t="s">
        <v>798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938"/>
      <c r="B42" s="939" t="s">
        <v>763</v>
      </c>
      <c r="C42" s="940" t="s">
        <v>764</v>
      </c>
      <c r="D42" s="941" t="s">
        <v>187</v>
      </c>
      <c r="E42" s="62"/>
      <c r="G42" s="64"/>
      <c r="H42" s="65"/>
    </row>
    <row r="43" spans="1:18" ht="20.45" customHeight="1" x14ac:dyDescent="0.35">
      <c r="A43" s="938"/>
      <c r="B43" s="939"/>
      <c r="C43" s="940"/>
      <c r="D43" s="941"/>
      <c r="E43" s="62"/>
      <c r="G43" s="64"/>
      <c r="H43" s="65"/>
    </row>
    <row r="44" spans="1:18" s="68" customFormat="1" ht="24.95" customHeight="1" x14ac:dyDescent="0.35">
      <c r="A44" s="410">
        <v>1</v>
      </c>
      <c r="B44" s="30" t="s">
        <v>61</v>
      </c>
      <c r="C44" s="31">
        <v>1412.59</v>
      </c>
      <c r="D44" s="66">
        <f t="shared" ref="D44:D53" si="10">C44/$L$5</f>
        <v>0.24300700503702066</v>
      </c>
      <c r="E44" s="67"/>
      <c r="G44" s="64"/>
      <c r="H44" s="65"/>
    </row>
    <row r="45" spans="1:18" s="68" customFormat="1" ht="24.95" customHeight="1" x14ac:dyDescent="0.35">
      <c r="A45" s="411">
        <v>2</v>
      </c>
      <c r="B45" s="30" t="s">
        <v>69</v>
      </c>
      <c r="C45" s="31">
        <v>1147.3</v>
      </c>
      <c r="D45" s="66">
        <f t="shared" si="10"/>
        <v>0.19736932647050723</v>
      </c>
      <c r="E45" s="67"/>
      <c r="G45" s="64"/>
      <c r="H45" s="65"/>
    </row>
    <row r="46" spans="1:18" s="68" customFormat="1" ht="24.95" customHeight="1" x14ac:dyDescent="0.35">
      <c r="A46" s="411">
        <v>3</v>
      </c>
      <c r="B46" s="30" t="s">
        <v>58</v>
      </c>
      <c r="C46" s="31">
        <v>738.05</v>
      </c>
      <c r="D46" s="66">
        <f t="shared" si="10"/>
        <v>0.12696629600066056</v>
      </c>
      <c r="E46" s="67"/>
      <c r="G46" s="64"/>
      <c r="H46" s="65"/>
    </row>
    <row r="47" spans="1:18" s="68" customFormat="1" ht="24.95" customHeight="1" x14ac:dyDescent="0.35">
      <c r="A47" s="410">
        <v>4</v>
      </c>
      <c r="B47" s="30" t="s">
        <v>60</v>
      </c>
      <c r="C47" s="31">
        <v>417.3</v>
      </c>
      <c r="D47" s="66">
        <f t="shared" si="10"/>
        <v>7.1787867110731873E-2</v>
      </c>
      <c r="E47" s="67"/>
      <c r="G47" s="64"/>
      <c r="H47" s="65"/>
    </row>
    <row r="48" spans="1:18" s="68" customFormat="1" ht="24.95" customHeight="1" x14ac:dyDescent="0.35">
      <c r="A48" s="411">
        <v>5</v>
      </c>
      <c r="B48" s="30" t="s">
        <v>80</v>
      </c>
      <c r="C48" s="31">
        <v>181.81</v>
      </c>
      <c r="D48" s="66">
        <f t="shared" si="10"/>
        <v>3.1276664556439397E-2</v>
      </c>
      <c r="E48" s="67"/>
      <c r="G48" s="64"/>
      <c r="H48" s="65"/>
    </row>
    <row r="49" spans="1:5" s="68" customFormat="1" ht="24.95" customHeight="1" x14ac:dyDescent="0.25">
      <c r="A49" s="410">
        <v>6</v>
      </c>
      <c r="B49" s="30" t="s">
        <v>183</v>
      </c>
      <c r="C49" s="31">
        <v>102.54</v>
      </c>
      <c r="D49" s="66">
        <f t="shared" si="10"/>
        <v>1.7639894305138862E-2</v>
      </c>
      <c r="E49" s="67"/>
    </row>
    <row r="50" spans="1:5" s="68" customFormat="1" ht="24.95" customHeight="1" x14ac:dyDescent="0.25">
      <c r="A50" s="411">
        <v>7</v>
      </c>
      <c r="B50" s="30" t="s">
        <v>92</v>
      </c>
      <c r="C50" s="31">
        <v>101.75</v>
      </c>
      <c r="D50" s="66">
        <f t="shared" si="10"/>
        <v>1.7503991081996087E-2</v>
      </c>
      <c r="E50" s="67"/>
    </row>
    <row r="51" spans="1:5" s="68" customFormat="1" ht="24.95" customHeight="1" x14ac:dyDescent="0.25">
      <c r="A51" s="410">
        <v>8</v>
      </c>
      <c r="B51" s="30" t="s">
        <v>227</v>
      </c>
      <c r="C51" s="31">
        <v>101.3</v>
      </c>
      <c r="D51" s="66">
        <f t="shared" si="10"/>
        <v>1.7426577853623625E-2</v>
      </c>
      <c r="E51" s="67"/>
    </row>
    <row r="52" spans="1:5" s="68" customFormat="1" ht="24.95" customHeight="1" x14ac:dyDescent="0.25">
      <c r="A52" s="411">
        <v>9</v>
      </c>
      <c r="B52" s="30" t="s">
        <v>254</v>
      </c>
      <c r="C52" s="31">
        <v>101.29</v>
      </c>
      <c r="D52" s="66">
        <f t="shared" si="10"/>
        <v>1.7424857559659793E-2</v>
      </c>
      <c r="E52" s="67"/>
    </row>
    <row r="53" spans="1:5" s="68" customFormat="1" ht="24.95" customHeight="1" thickBot="1" x14ac:dyDescent="0.3">
      <c r="A53" s="412">
        <v>10</v>
      </c>
      <c r="B53" s="40" t="s">
        <v>663</v>
      </c>
      <c r="C53" s="41">
        <v>101.26</v>
      </c>
      <c r="D53" s="69">
        <f t="shared" si="10"/>
        <v>1.7419696677768295E-2</v>
      </c>
      <c r="E53" s="67"/>
    </row>
    <row r="54" spans="1:5" x14ac:dyDescent="0.25">
      <c r="A54" s="614" t="s">
        <v>799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800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683" priority="33" operator="containsText" text="024">
      <formula>NOT(ISERROR(SEARCH("024",A12)))</formula>
    </cfRule>
    <cfRule type="containsText" dxfId="682" priority="34" operator="containsText" text="白醬">
      <formula>NOT(ISERROR(SEARCH("白醬",A12)))</formula>
    </cfRule>
    <cfRule type="containsText" dxfId="681" priority="35" operator="containsText" text="青蔥">
      <formula>NOT(ISERROR(SEARCH("青蔥",A12)))</formula>
    </cfRule>
    <cfRule type="containsText" dxfId="680" priority="36" operator="containsText" text=")川燙小青花菜">
      <formula>NOT(ISERROR(SEARCH(")川燙小青花菜",A12)))</formula>
    </cfRule>
    <cfRule type="containsText" dxfId="679" priority="37" operator="containsText" text="湯凍">
      <formula>NOT(ISERROR(SEARCH("湯凍",A12)))</formula>
    </cfRule>
    <cfRule type="containsText" dxfId="678" priority="38" operator="containsText" text="中華">
      <formula>NOT(ISERROR(SEARCH("中華",A12)))</formula>
    </cfRule>
  </conditionalFormatting>
  <conditionalFormatting sqref="A12:A22">
    <cfRule type="containsText" dxfId="677" priority="31" operator="containsText" text="綠豆芽">
      <formula>NOT(ISERROR(SEARCH("綠豆芽",A12)))</formula>
    </cfRule>
    <cfRule type="containsText" dxfId="676" priority="32" operator="containsText" text="煮白細麵生(方#12)">
      <formula>NOT(ISERROR(SEARCH("煮白細麵生(方#12)",A12)))</formula>
    </cfRule>
  </conditionalFormatting>
  <conditionalFormatting sqref="E5">
    <cfRule type="cellIs" dxfId="675" priority="16" operator="greaterThan">
      <formula>0.0025</formula>
    </cfRule>
    <cfRule type="cellIs" dxfId="674" priority="19" operator="greaterThan">
      <formula>0.0025</formula>
    </cfRule>
    <cfRule type="cellIs" dxfId="673" priority="29" operator="greaterThan">
      <formula>0.072</formula>
    </cfRule>
    <cfRule type="cellIs" dxfId="672" priority="30" operator="greaterThan">
      <formula>7.2</formula>
    </cfRule>
  </conditionalFormatting>
  <conditionalFormatting sqref="E5">
    <cfRule type="cellIs" dxfId="671" priority="28" operator="greaterThan">
      <formula>0.0025</formula>
    </cfRule>
  </conditionalFormatting>
  <conditionalFormatting sqref="A44:A53">
    <cfRule type="containsText" dxfId="670" priority="22" operator="containsText" text="024">
      <formula>NOT(ISERROR(SEARCH("024",A44)))</formula>
    </cfRule>
    <cfRule type="containsText" dxfId="669" priority="23" operator="containsText" text="白醬">
      <formula>NOT(ISERROR(SEARCH("白醬",A44)))</formula>
    </cfRule>
    <cfRule type="containsText" dxfId="668" priority="24" operator="containsText" text="青蔥">
      <formula>NOT(ISERROR(SEARCH("青蔥",A44)))</formula>
    </cfRule>
    <cfRule type="containsText" dxfId="667" priority="25" operator="containsText" text=")川燙小青花菜">
      <formula>NOT(ISERROR(SEARCH(")川燙小青花菜",A44)))</formula>
    </cfRule>
    <cfRule type="containsText" dxfId="666" priority="26" operator="containsText" text="湯凍">
      <formula>NOT(ISERROR(SEARCH("湯凍",A44)))</formula>
    </cfRule>
    <cfRule type="containsText" dxfId="665" priority="27" operator="containsText" text="中華">
      <formula>NOT(ISERROR(SEARCH("中華",A44)))</formula>
    </cfRule>
  </conditionalFormatting>
  <conditionalFormatting sqref="A44:A53">
    <cfRule type="containsText" dxfId="664" priority="20" operator="containsText" text="綠豆芽">
      <formula>NOT(ISERROR(SEARCH("綠豆芽",A44)))</formula>
    </cfRule>
    <cfRule type="containsText" dxfId="663" priority="21" operator="containsText" text="煮白細麵生(方#12)">
      <formula>NOT(ISERROR(SEARCH("煮白細麵生(方#12)",A44)))</formula>
    </cfRule>
  </conditionalFormatting>
  <conditionalFormatting sqref="D44:D53">
    <cfRule type="cellIs" dxfId="662" priority="18" operator="greaterThan">
      <formula>0.146</formula>
    </cfRule>
  </conditionalFormatting>
  <conditionalFormatting sqref="H12:H22">
    <cfRule type="cellIs" dxfId="661" priority="17" operator="greaterThan">
      <formula>1.1</formula>
    </cfRule>
  </conditionalFormatting>
  <conditionalFormatting sqref="I5">
    <cfRule type="cellIs" dxfId="660" priority="15" operator="greaterThan">
      <formula>0.2</formula>
    </cfRule>
  </conditionalFormatting>
  <conditionalFormatting sqref="A28:A37">
    <cfRule type="containsText" dxfId="659" priority="9" operator="containsText" text="024">
      <formula>NOT(ISERROR(SEARCH("024",A28)))</formula>
    </cfRule>
    <cfRule type="containsText" dxfId="658" priority="10" operator="containsText" text="白醬">
      <formula>NOT(ISERROR(SEARCH("白醬",A28)))</formula>
    </cfRule>
    <cfRule type="containsText" dxfId="657" priority="11" operator="containsText" text="青蔥">
      <formula>NOT(ISERROR(SEARCH("青蔥",A28)))</formula>
    </cfRule>
    <cfRule type="containsText" dxfId="656" priority="12" operator="containsText" text=")川燙小青花菜">
      <formula>NOT(ISERROR(SEARCH(")川燙小青花菜",A28)))</formula>
    </cfRule>
    <cfRule type="containsText" dxfId="655" priority="13" operator="containsText" text="湯凍">
      <formula>NOT(ISERROR(SEARCH("湯凍",A28)))</formula>
    </cfRule>
    <cfRule type="containsText" dxfId="654" priority="14" operator="containsText" text="中華">
      <formula>NOT(ISERROR(SEARCH("中華",A28)))</formula>
    </cfRule>
  </conditionalFormatting>
  <conditionalFormatting sqref="A28:A37">
    <cfRule type="containsText" dxfId="653" priority="7" operator="containsText" text="綠豆芽">
      <formula>NOT(ISERROR(SEARCH("綠豆芽",A28)))</formula>
    </cfRule>
    <cfRule type="containsText" dxfId="652" priority="8" operator="containsText" text="煮白細麵生(方#12)">
      <formula>NOT(ISERROR(SEARCH("煮白細麵生(方#12)",A28)))</formula>
    </cfRule>
  </conditionalFormatting>
  <conditionalFormatting sqref="H28:H37">
    <cfRule type="cellIs" dxfId="651" priority="6" operator="greaterThan">
      <formula>1.1</formula>
    </cfRule>
  </conditionalFormatting>
  <conditionalFormatting sqref="G5">
    <cfRule type="cellIs" dxfId="650" priority="1" operator="greaterThan">
      <formula>0.0025</formula>
    </cfRule>
    <cfRule type="cellIs" dxfId="649" priority="2" operator="greaterThan">
      <formula>0.0025</formula>
    </cfRule>
    <cfRule type="cellIs" dxfId="648" priority="4" operator="greaterThan">
      <formula>0.072</formula>
    </cfRule>
    <cfRule type="cellIs" dxfId="647" priority="5" operator="greaterThan">
      <formula>7.2</formula>
    </cfRule>
  </conditionalFormatting>
  <conditionalFormatting sqref="G5">
    <cfRule type="cellIs" dxfId="64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13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963" t="s">
        <v>31</v>
      </c>
      <c r="B2" s="964"/>
      <c r="C2" s="377" t="s">
        <v>32</v>
      </c>
      <c r="D2" s="965" t="s">
        <v>33</v>
      </c>
      <c r="E2" s="965"/>
      <c r="F2" s="965" t="s">
        <v>34</v>
      </c>
      <c r="G2" s="965"/>
      <c r="H2" s="965" t="s">
        <v>33</v>
      </c>
      <c r="I2" s="965"/>
      <c r="J2" s="965" t="s">
        <v>34</v>
      </c>
      <c r="K2" s="965"/>
      <c r="L2" s="965" t="s">
        <v>33</v>
      </c>
      <c r="M2" s="966"/>
      <c r="R2" s="17"/>
    </row>
    <row r="3" spans="1:18" s="18" customFormat="1" ht="28.5" x14ac:dyDescent="0.45">
      <c r="A3" s="973">
        <v>45917</v>
      </c>
      <c r="B3" s="974"/>
      <c r="C3" s="975">
        <v>6072276.2599999998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973"/>
      <c r="B4" s="974"/>
      <c r="C4" s="97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967" t="s">
        <v>44</v>
      </c>
      <c r="B5" s="968"/>
      <c r="C5" s="968"/>
      <c r="D5" s="378">
        <v>14879.510000000002</v>
      </c>
      <c r="E5" s="22">
        <f>D5/C3</f>
        <v>2.4504007003133292E-3</v>
      </c>
      <c r="F5" s="378">
        <v>45707.799999999981</v>
      </c>
      <c r="G5" s="23">
        <f>F5/C3</f>
        <v>7.5272925741359442E-3</v>
      </c>
      <c r="H5" s="24">
        <f>SUM(C12:C21)</f>
        <v>5611.95</v>
      </c>
      <c r="I5" s="25">
        <f>H5/D5</f>
        <v>0.37715959732544951</v>
      </c>
      <c r="J5" s="24">
        <f>SUM(C28:C37)</f>
        <v>16065.099999999997</v>
      </c>
      <c r="K5" s="26">
        <f>J5/F5</f>
        <v>0.35147392786351572</v>
      </c>
      <c r="L5" s="27">
        <v>4588.3599999999979</v>
      </c>
      <c r="M5" s="28">
        <f>L5/D5</f>
        <v>0.30836768146262861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715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716</v>
      </c>
      <c r="B8" s="620"/>
      <c r="C8" s="620"/>
      <c r="D8" s="620" t="s">
        <v>717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718</v>
      </c>
      <c r="Q8" s="629" t="s">
        <v>719</v>
      </c>
      <c r="R8" s="969" t="s">
        <v>720</v>
      </c>
    </row>
    <row r="9" spans="1:18" ht="20.45" customHeight="1" x14ac:dyDescent="0.25">
      <c r="A9" s="970" t="s">
        <v>721</v>
      </c>
      <c r="B9" s="634" t="s">
        <v>722</v>
      </c>
      <c r="C9" s="635"/>
      <c r="D9" s="636" t="s">
        <v>723</v>
      </c>
      <c r="E9" s="636"/>
      <c r="F9" s="636"/>
      <c r="G9" s="636"/>
      <c r="H9" s="636"/>
      <c r="I9" s="636"/>
      <c r="J9" s="637" t="s">
        <v>724</v>
      </c>
      <c r="K9" s="637"/>
      <c r="L9" s="637"/>
      <c r="M9" s="638"/>
      <c r="N9" s="638"/>
      <c r="O9" s="629"/>
      <c r="P9" s="629"/>
      <c r="Q9" s="629"/>
      <c r="R9" s="969"/>
    </row>
    <row r="10" spans="1:18" ht="20.45" customHeight="1" x14ac:dyDescent="0.3">
      <c r="A10" s="971"/>
      <c r="B10" s="976" t="s">
        <v>725</v>
      </c>
      <c r="C10" s="978" t="s">
        <v>726</v>
      </c>
      <c r="D10" s="980" t="s">
        <v>727</v>
      </c>
      <c r="E10" s="980"/>
      <c r="F10" s="980"/>
      <c r="G10" s="980"/>
      <c r="H10" s="980"/>
      <c r="I10" s="980"/>
      <c r="J10" s="981" t="s">
        <v>51</v>
      </c>
      <c r="K10" s="982"/>
      <c r="L10" s="983" t="s">
        <v>728</v>
      </c>
      <c r="M10" s="981"/>
      <c r="N10" s="981"/>
      <c r="O10" s="629"/>
      <c r="P10" s="629"/>
      <c r="Q10" s="629"/>
      <c r="R10" s="969"/>
    </row>
    <row r="11" spans="1:18" s="29" customFormat="1" ht="47.25" customHeight="1" x14ac:dyDescent="0.25">
      <c r="A11" s="972"/>
      <c r="B11" s="977"/>
      <c r="C11" s="979"/>
      <c r="D11" s="379" t="s">
        <v>729</v>
      </c>
      <c r="E11" s="379" t="s">
        <v>104</v>
      </c>
      <c r="F11" s="379" t="s">
        <v>730</v>
      </c>
      <c r="G11" s="379" t="s">
        <v>731</v>
      </c>
      <c r="H11" s="379" t="s">
        <v>55</v>
      </c>
      <c r="I11" s="379" t="s">
        <v>732</v>
      </c>
      <c r="J11" s="380" t="s">
        <v>733</v>
      </c>
      <c r="K11" s="380" t="s">
        <v>734</v>
      </c>
      <c r="L11" s="380" t="s">
        <v>735</v>
      </c>
      <c r="M11" s="380" t="s">
        <v>734</v>
      </c>
      <c r="N11" s="381" t="s">
        <v>736</v>
      </c>
      <c r="O11" s="629"/>
      <c r="P11" s="629"/>
      <c r="Q11" s="629"/>
      <c r="R11" s="969"/>
    </row>
    <row r="12" spans="1:18" s="38" customFormat="1" ht="24.95" customHeight="1" x14ac:dyDescent="0.25">
      <c r="A12" s="382">
        <v>1</v>
      </c>
      <c r="B12" s="30" t="s">
        <v>87</v>
      </c>
      <c r="C12" s="31">
        <v>1668.74</v>
      </c>
      <c r="D12" s="32">
        <v>231.57</v>
      </c>
      <c r="E12" s="32">
        <v>231.57</v>
      </c>
      <c r="F12" s="32">
        <v>17.16</v>
      </c>
      <c r="G12" s="31">
        <v>194.04</v>
      </c>
      <c r="H12" s="33">
        <f t="shared" ref="H12:H21" si="0">(E12+F12)/D12</f>
        <v>1.0741028630651639</v>
      </c>
      <c r="I12" s="31">
        <v>3329.73</v>
      </c>
      <c r="J12" s="32">
        <v>8.6</v>
      </c>
      <c r="K12" s="34">
        <f t="shared" ref="K12:K21" si="1">J12/D12</f>
        <v>3.713779850585136E-2</v>
      </c>
      <c r="L12" s="383">
        <f t="shared" ref="L12:L21" si="2">((E12+F12)-D12)-J12</f>
        <v>8.5599999999999969</v>
      </c>
      <c r="M12" s="35">
        <f t="shared" ref="M12:M21" si="3">L12/D12</f>
        <v>3.6965064559312505E-2</v>
      </c>
      <c r="N12" s="384">
        <f t="shared" ref="N12:N21" si="4">L12*G12</f>
        <v>1660.9823999999994</v>
      </c>
      <c r="O12" s="449" t="s">
        <v>139</v>
      </c>
      <c r="P12" s="449" t="s">
        <v>25</v>
      </c>
      <c r="Q12" s="449" t="s">
        <v>144</v>
      </c>
      <c r="R12" s="37" t="s">
        <v>88</v>
      </c>
    </row>
    <row r="13" spans="1:18" s="38" customFormat="1" ht="24.95" customHeight="1" x14ac:dyDescent="0.25">
      <c r="A13" s="385">
        <v>2</v>
      </c>
      <c r="B13" s="30" t="s">
        <v>58</v>
      </c>
      <c r="C13" s="31">
        <v>1269.04</v>
      </c>
      <c r="D13" s="32">
        <v>15840</v>
      </c>
      <c r="E13" s="32">
        <v>15840</v>
      </c>
      <c r="F13" s="32">
        <v>218.8</v>
      </c>
      <c r="G13" s="31">
        <v>5.8</v>
      </c>
      <c r="H13" s="33">
        <f t="shared" si="0"/>
        <v>1.0138131313131313</v>
      </c>
      <c r="I13" s="31">
        <v>1269.04</v>
      </c>
      <c r="J13" s="32">
        <v>218.8</v>
      </c>
      <c r="K13" s="34">
        <f t="shared" si="1"/>
        <v>1.3813131313131314E-2</v>
      </c>
      <c r="L13" s="383">
        <f t="shared" si="2"/>
        <v>-7.3896444519050419E-13</v>
      </c>
      <c r="M13" s="35">
        <f t="shared" si="3"/>
        <v>-4.6651795782228799E-17</v>
      </c>
      <c r="N13" s="384">
        <f t="shared" si="4"/>
        <v>-4.2859937821049238E-12</v>
      </c>
      <c r="O13" s="449" t="s">
        <v>139</v>
      </c>
      <c r="P13" s="449" t="s">
        <v>28</v>
      </c>
      <c r="Q13" s="449" t="s">
        <v>140</v>
      </c>
      <c r="R13" s="37" t="s">
        <v>59</v>
      </c>
    </row>
    <row r="14" spans="1:18" s="39" customFormat="1" ht="24.95" customHeight="1" x14ac:dyDescent="0.25">
      <c r="A14" s="385">
        <v>3</v>
      </c>
      <c r="B14" s="30" t="s">
        <v>61</v>
      </c>
      <c r="C14" s="31">
        <v>695.7</v>
      </c>
      <c r="D14" s="32">
        <v>7586</v>
      </c>
      <c r="E14" s="32">
        <v>7586</v>
      </c>
      <c r="F14" s="32">
        <v>105.73</v>
      </c>
      <c r="G14" s="31">
        <v>6.58</v>
      </c>
      <c r="H14" s="33">
        <f t="shared" si="0"/>
        <v>1.013937516477722</v>
      </c>
      <c r="I14" s="31">
        <v>695.7</v>
      </c>
      <c r="J14" s="32">
        <v>105.73</v>
      </c>
      <c r="K14" s="34">
        <f t="shared" si="1"/>
        <v>1.3937516477722121E-2</v>
      </c>
      <c r="L14" s="383">
        <f t="shared" si="2"/>
        <v>-4.4053649617126212E-13</v>
      </c>
      <c r="M14" s="35">
        <f t="shared" si="3"/>
        <v>-5.8072303739950187E-17</v>
      </c>
      <c r="N14" s="384">
        <f t="shared" si="4"/>
        <v>-2.8987301448069046E-12</v>
      </c>
      <c r="O14" s="449" t="s">
        <v>142</v>
      </c>
      <c r="P14" s="449" t="s">
        <v>26</v>
      </c>
      <c r="Q14" s="449" t="s">
        <v>143</v>
      </c>
      <c r="R14" s="37" t="s">
        <v>59</v>
      </c>
    </row>
    <row r="15" spans="1:18" s="38" customFormat="1" ht="24.95" customHeight="1" x14ac:dyDescent="0.25">
      <c r="A15" s="382">
        <v>4</v>
      </c>
      <c r="B15" s="30" t="s">
        <v>62</v>
      </c>
      <c r="C15" s="31">
        <v>512.63</v>
      </c>
      <c r="D15" s="32">
        <v>360.7</v>
      </c>
      <c r="E15" s="32">
        <v>360.7</v>
      </c>
      <c r="F15" s="32">
        <v>9.6</v>
      </c>
      <c r="G15" s="31">
        <v>111.2</v>
      </c>
      <c r="H15" s="33">
        <f t="shared" si="0"/>
        <v>1.0266149154421957</v>
      </c>
      <c r="I15" s="31">
        <v>1067.52</v>
      </c>
      <c r="J15" s="32">
        <v>4.6100000000000003</v>
      </c>
      <c r="K15" s="34">
        <f t="shared" si="1"/>
        <v>1.278070418630441E-2</v>
      </c>
      <c r="L15" s="383">
        <f t="shared" si="2"/>
        <v>4.9900000000000224</v>
      </c>
      <c r="M15" s="35">
        <f t="shared" si="3"/>
        <v>1.3834211255891385E-2</v>
      </c>
      <c r="N15" s="384">
        <f t="shared" si="4"/>
        <v>554.88800000000253</v>
      </c>
      <c r="O15" s="449" t="s">
        <v>139</v>
      </c>
      <c r="P15" s="449" t="s">
        <v>25</v>
      </c>
      <c r="Q15" s="449" t="s">
        <v>144</v>
      </c>
      <c r="R15" s="37" t="s">
        <v>63</v>
      </c>
    </row>
    <row r="16" spans="1:18" s="39" customFormat="1" ht="24.95" customHeight="1" x14ac:dyDescent="0.25">
      <c r="A16" s="385">
        <v>5</v>
      </c>
      <c r="B16" s="30" t="s">
        <v>85</v>
      </c>
      <c r="C16" s="31">
        <v>503.78</v>
      </c>
      <c r="D16" s="32">
        <v>492.3</v>
      </c>
      <c r="E16" s="32">
        <v>492.3</v>
      </c>
      <c r="F16" s="32">
        <v>14.96</v>
      </c>
      <c r="G16" s="31">
        <v>79.459999999999994</v>
      </c>
      <c r="H16" s="33">
        <f t="shared" si="0"/>
        <v>1.0303879748121063</v>
      </c>
      <c r="I16" s="31">
        <v>1188.72</v>
      </c>
      <c r="J16" s="32">
        <v>6.34</v>
      </c>
      <c r="K16" s="34">
        <f t="shared" si="1"/>
        <v>1.2878326223847247E-2</v>
      </c>
      <c r="L16" s="383">
        <f t="shared" si="2"/>
        <v>8.6199999999999797</v>
      </c>
      <c r="M16" s="35">
        <f t="shared" si="3"/>
        <v>1.7509648588259149E-2</v>
      </c>
      <c r="N16" s="384">
        <f t="shared" si="4"/>
        <v>684.94519999999829</v>
      </c>
      <c r="O16" s="451" t="s">
        <v>139</v>
      </c>
      <c r="P16" s="452" t="s">
        <v>25</v>
      </c>
      <c r="Q16" s="452" t="s">
        <v>137</v>
      </c>
      <c r="R16" s="37" t="s">
        <v>86</v>
      </c>
    </row>
    <row r="17" spans="1:18" s="38" customFormat="1" ht="24.95" customHeight="1" x14ac:dyDescent="0.25">
      <c r="A17" s="382">
        <v>6</v>
      </c>
      <c r="B17" s="30" t="s">
        <v>69</v>
      </c>
      <c r="C17" s="31">
        <v>453.6</v>
      </c>
      <c r="D17" s="32">
        <v>9992</v>
      </c>
      <c r="E17" s="32">
        <v>9992</v>
      </c>
      <c r="F17" s="32">
        <v>64.8</v>
      </c>
      <c r="G17" s="31">
        <v>7</v>
      </c>
      <c r="H17" s="33">
        <f t="shared" si="0"/>
        <v>1.0064851881505203</v>
      </c>
      <c r="I17" s="31">
        <v>453.6</v>
      </c>
      <c r="J17" s="32">
        <v>64.8</v>
      </c>
      <c r="K17" s="34">
        <f t="shared" si="1"/>
        <v>6.4851881505204158E-3</v>
      </c>
      <c r="L17" s="383">
        <f t="shared" si="2"/>
        <v>-7.2475359047530219E-13</v>
      </c>
      <c r="M17" s="35">
        <f t="shared" si="3"/>
        <v>-7.2533385756135133E-17</v>
      </c>
      <c r="N17" s="384">
        <f t="shared" si="4"/>
        <v>-5.0732751333271153E-12</v>
      </c>
      <c r="O17" s="449" t="s">
        <v>142</v>
      </c>
      <c r="P17" s="449" t="s">
        <v>26</v>
      </c>
      <c r="Q17" s="449" t="s">
        <v>143</v>
      </c>
      <c r="R17" s="37" t="s">
        <v>59</v>
      </c>
    </row>
    <row r="18" spans="1:18" s="39" customFormat="1" ht="24.95" customHeight="1" x14ac:dyDescent="0.25">
      <c r="A18" s="385">
        <v>7</v>
      </c>
      <c r="B18" s="30" t="s">
        <v>254</v>
      </c>
      <c r="C18" s="31">
        <v>171.76</v>
      </c>
      <c r="D18" s="32">
        <v>118.08</v>
      </c>
      <c r="E18" s="32">
        <v>118.08</v>
      </c>
      <c r="F18" s="32">
        <v>3.14</v>
      </c>
      <c r="G18" s="31">
        <v>110.1</v>
      </c>
      <c r="H18" s="33">
        <f t="shared" si="0"/>
        <v>1.0265921409214092</v>
      </c>
      <c r="I18" s="31">
        <v>345.71</v>
      </c>
      <c r="J18" s="32">
        <v>1.56</v>
      </c>
      <c r="K18" s="34">
        <f t="shared" si="1"/>
        <v>1.3211382113821139E-2</v>
      </c>
      <c r="L18" s="383">
        <f t="shared" si="2"/>
        <v>1.5800000000000005</v>
      </c>
      <c r="M18" s="35">
        <f t="shared" si="3"/>
        <v>1.3380758807588081E-2</v>
      </c>
      <c r="N18" s="384">
        <f t="shared" si="4"/>
        <v>173.95800000000006</v>
      </c>
      <c r="O18" s="449" t="s">
        <v>139</v>
      </c>
      <c r="P18" s="449" t="s">
        <v>25</v>
      </c>
      <c r="Q18" s="449" t="s">
        <v>141</v>
      </c>
      <c r="R18" s="37" t="s">
        <v>59</v>
      </c>
    </row>
    <row r="19" spans="1:18" s="38" customFormat="1" ht="24.95" customHeight="1" x14ac:dyDescent="0.25">
      <c r="A19" s="382">
        <v>8</v>
      </c>
      <c r="B19" s="30" t="s">
        <v>90</v>
      </c>
      <c r="C19" s="31">
        <v>136.29</v>
      </c>
      <c r="D19" s="32">
        <v>105.38</v>
      </c>
      <c r="E19" s="32">
        <v>105.38</v>
      </c>
      <c r="F19" s="32">
        <v>2.8</v>
      </c>
      <c r="G19" s="31">
        <v>104.84</v>
      </c>
      <c r="H19" s="33">
        <f t="shared" si="0"/>
        <v>1.0265705067375213</v>
      </c>
      <c r="I19" s="31">
        <v>293.55</v>
      </c>
      <c r="J19" s="32">
        <v>1.3</v>
      </c>
      <c r="K19" s="34">
        <f t="shared" si="1"/>
        <v>1.2336306699563485E-2</v>
      </c>
      <c r="L19" s="383">
        <f t="shared" si="2"/>
        <v>1.4999999999999971</v>
      </c>
      <c r="M19" s="35">
        <f t="shared" si="3"/>
        <v>1.4234200037957841E-2</v>
      </c>
      <c r="N19" s="384">
        <f t="shared" si="4"/>
        <v>157.25999999999971</v>
      </c>
      <c r="O19" s="449" t="s">
        <v>139</v>
      </c>
      <c r="P19" s="449" t="s">
        <v>25</v>
      </c>
      <c r="Q19" s="449" t="s">
        <v>141</v>
      </c>
      <c r="R19" s="37" t="s">
        <v>59</v>
      </c>
    </row>
    <row r="20" spans="1:18" s="38" customFormat="1" ht="24.95" customHeight="1" x14ac:dyDescent="0.25">
      <c r="A20" s="385">
        <v>9</v>
      </c>
      <c r="B20" s="30" t="s">
        <v>334</v>
      </c>
      <c r="C20" s="31">
        <v>102.73</v>
      </c>
      <c r="D20" s="32">
        <v>100.02</v>
      </c>
      <c r="E20" s="32">
        <v>104.9</v>
      </c>
      <c r="F20" s="32">
        <v>1.9</v>
      </c>
      <c r="G20" s="31">
        <v>114.14</v>
      </c>
      <c r="H20" s="33">
        <f t="shared" si="0"/>
        <v>1.0677864427114578</v>
      </c>
      <c r="I20" s="31">
        <v>773.87</v>
      </c>
      <c r="J20" s="32">
        <v>0.9</v>
      </c>
      <c r="K20" s="34">
        <f t="shared" si="1"/>
        <v>8.9982003599280158E-3</v>
      </c>
      <c r="L20" s="383">
        <f t="shared" si="2"/>
        <v>5.880000000000015</v>
      </c>
      <c r="M20" s="35">
        <f t="shared" si="3"/>
        <v>5.8788242351529844E-2</v>
      </c>
      <c r="N20" s="384">
        <f t="shared" si="4"/>
        <v>671.14320000000168</v>
      </c>
      <c r="O20" s="449" t="s">
        <v>139</v>
      </c>
      <c r="P20" s="449" t="s">
        <v>25</v>
      </c>
      <c r="Q20" s="449" t="s">
        <v>144</v>
      </c>
      <c r="R20" s="37" t="s">
        <v>335</v>
      </c>
    </row>
    <row r="21" spans="1:18" s="38" customFormat="1" ht="24.95" customHeight="1" thickBot="1" x14ac:dyDescent="0.3">
      <c r="A21" s="386">
        <v>10</v>
      </c>
      <c r="B21" s="40" t="s">
        <v>166</v>
      </c>
      <c r="C21" s="41">
        <v>97.68</v>
      </c>
      <c r="D21" s="42">
        <v>5676</v>
      </c>
      <c r="E21" s="42">
        <v>5676</v>
      </c>
      <c r="F21" s="42">
        <v>22.2</v>
      </c>
      <c r="G21" s="41">
        <v>4.4000000000000004</v>
      </c>
      <c r="H21" s="43">
        <f t="shared" si="0"/>
        <v>1.0039112050739958</v>
      </c>
      <c r="I21" s="41">
        <v>97.68</v>
      </c>
      <c r="J21" s="42">
        <v>22.2</v>
      </c>
      <c r="K21" s="44">
        <f t="shared" si="1"/>
        <v>3.9112050739957714E-3</v>
      </c>
      <c r="L21" s="387">
        <f t="shared" si="2"/>
        <v>-1.8118839761882555E-13</v>
      </c>
      <c r="M21" s="45">
        <f t="shared" si="3"/>
        <v>-3.192184595116729E-17</v>
      </c>
      <c r="N21" s="388">
        <f t="shared" si="4"/>
        <v>-7.9722894952283243E-13</v>
      </c>
      <c r="O21" s="450" t="s">
        <v>139</v>
      </c>
      <c r="P21" s="450" t="s">
        <v>28</v>
      </c>
      <c r="Q21" s="450" t="s">
        <v>140</v>
      </c>
      <c r="R21" s="47" t="s">
        <v>59</v>
      </c>
    </row>
    <row r="22" spans="1:18" s="53" customFormat="1" ht="24.95" customHeight="1" thickBot="1" x14ac:dyDescent="0.3">
      <c r="A22" s="389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90"/>
      <c r="M22" s="51"/>
      <c r="N22" s="391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716</v>
      </c>
      <c r="B24" s="620"/>
      <c r="C24" s="620"/>
      <c r="D24" s="620" t="s">
        <v>737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738</v>
      </c>
      <c r="P24" s="630" t="s">
        <v>739</v>
      </c>
      <c r="Q24" s="629" t="s">
        <v>719</v>
      </c>
      <c r="R24" s="969" t="s">
        <v>740</v>
      </c>
    </row>
    <row r="25" spans="1:18" s="53" customFormat="1" ht="24.95" customHeight="1" x14ac:dyDescent="0.25">
      <c r="A25" s="970" t="s">
        <v>115</v>
      </c>
      <c r="B25" s="634" t="s">
        <v>722</v>
      </c>
      <c r="C25" s="635"/>
      <c r="D25" s="636" t="s">
        <v>723</v>
      </c>
      <c r="E25" s="636"/>
      <c r="F25" s="636"/>
      <c r="G25" s="636"/>
      <c r="H25" s="636"/>
      <c r="I25" s="636"/>
      <c r="J25" s="637" t="s">
        <v>741</v>
      </c>
      <c r="K25" s="637"/>
      <c r="L25" s="637"/>
      <c r="M25" s="638"/>
      <c r="N25" s="638"/>
      <c r="O25" s="629"/>
      <c r="P25" s="629"/>
      <c r="Q25" s="629"/>
      <c r="R25" s="969"/>
    </row>
    <row r="26" spans="1:18" s="53" customFormat="1" ht="24.95" customHeight="1" x14ac:dyDescent="0.3">
      <c r="A26" s="971"/>
      <c r="B26" s="976" t="s">
        <v>100</v>
      </c>
      <c r="C26" s="978" t="s">
        <v>120</v>
      </c>
      <c r="D26" s="980" t="s">
        <v>727</v>
      </c>
      <c r="E26" s="980"/>
      <c r="F26" s="980"/>
      <c r="G26" s="980"/>
      <c r="H26" s="980"/>
      <c r="I26" s="980"/>
      <c r="J26" s="981" t="s">
        <v>742</v>
      </c>
      <c r="K26" s="984"/>
      <c r="L26" s="982"/>
      <c r="M26" s="981" t="s">
        <v>728</v>
      </c>
      <c r="N26" s="982"/>
      <c r="O26" s="629"/>
      <c r="P26" s="629"/>
      <c r="Q26" s="629"/>
      <c r="R26" s="969"/>
    </row>
    <row r="27" spans="1:18" s="53" customFormat="1" ht="50.1" customHeight="1" x14ac:dyDescent="0.25">
      <c r="A27" s="972"/>
      <c r="B27" s="977"/>
      <c r="C27" s="979"/>
      <c r="D27" s="379" t="s">
        <v>103</v>
      </c>
      <c r="E27" s="379" t="s">
        <v>743</v>
      </c>
      <c r="F27" s="379" t="s">
        <v>744</v>
      </c>
      <c r="G27" s="379" t="s">
        <v>731</v>
      </c>
      <c r="H27" s="379" t="s">
        <v>745</v>
      </c>
      <c r="I27" s="379" t="s">
        <v>73</v>
      </c>
      <c r="J27" s="380" t="s">
        <v>733</v>
      </c>
      <c r="K27" s="380" t="s">
        <v>57</v>
      </c>
      <c r="L27" s="381" t="s">
        <v>126</v>
      </c>
      <c r="M27" s="380" t="s">
        <v>733</v>
      </c>
      <c r="N27" s="380" t="s">
        <v>734</v>
      </c>
      <c r="O27" s="629"/>
      <c r="P27" s="629"/>
      <c r="Q27" s="629"/>
      <c r="R27" s="969"/>
    </row>
    <row r="28" spans="1:18" s="53" customFormat="1" ht="24.95" customHeight="1" x14ac:dyDescent="0.25">
      <c r="A28" s="382">
        <v>1</v>
      </c>
      <c r="B28" s="30" t="s">
        <v>80</v>
      </c>
      <c r="C28" s="31">
        <v>2725.54</v>
      </c>
      <c r="D28" s="32">
        <v>340.71</v>
      </c>
      <c r="E28" s="32">
        <v>347</v>
      </c>
      <c r="F28" s="32">
        <v>11.65</v>
      </c>
      <c r="G28" s="31">
        <v>156.72999999999999</v>
      </c>
      <c r="H28" s="54">
        <f t="shared" ref="H28:H37" si="5">(E28+F28)/D28</f>
        <v>1.0526547503742185</v>
      </c>
      <c r="I28" s="31">
        <v>2811.74</v>
      </c>
      <c r="J28" s="32">
        <v>0.55000000000000004</v>
      </c>
      <c r="K28" s="34">
        <f t="shared" ref="K28:K37" si="6">J28/D28</f>
        <v>1.6142760705585397E-3</v>
      </c>
      <c r="L28" s="384">
        <f t="shared" ref="L28:L37" si="7">J28*G28</f>
        <v>86.201499999999996</v>
      </c>
      <c r="M28" s="383">
        <f t="shared" ref="M28:M37" si="8">((E28+F28)-D28)-J28</f>
        <v>17.389999999999997</v>
      </c>
      <c r="N28" s="35">
        <f t="shared" ref="N28:N37" si="9">M28/D28</f>
        <v>5.1040474303659995E-2</v>
      </c>
      <c r="O28" s="451" t="s">
        <v>133</v>
      </c>
      <c r="P28" s="458" t="s">
        <v>25</v>
      </c>
      <c r="Q28" s="458" t="s">
        <v>136</v>
      </c>
      <c r="R28" s="37" t="s">
        <v>59</v>
      </c>
    </row>
    <row r="29" spans="1:18" s="53" customFormat="1" ht="24.75" customHeight="1" x14ac:dyDescent="0.25">
      <c r="A29" s="385">
        <v>2</v>
      </c>
      <c r="B29" s="30" t="s">
        <v>607</v>
      </c>
      <c r="C29" s="31">
        <v>1775</v>
      </c>
      <c r="D29" s="32">
        <v>10065</v>
      </c>
      <c r="E29" s="32">
        <v>10065</v>
      </c>
      <c r="F29" s="32">
        <v>100</v>
      </c>
      <c r="G29" s="31">
        <v>17.75</v>
      </c>
      <c r="H29" s="54">
        <f t="shared" si="5"/>
        <v>1.0099354197714854</v>
      </c>
      <c r="I29" s="31">
        <v>1775</v>
      </c>
      <c r="J29" s="32">
        <v>0</v>
      </c>
      <c r="K29" s="34">
        <f t="shared" si="6"/>
        <v>0</v>
      </c>
      <c r="L29" s="384">
        <f t="shared" si="7"/>
        <v>0</v>
      </c>
      <c r="M29" s="383">
        <f t="shared" si="8"/>
        <v>100</v>
      </c>
      <c r="N29" s="35">
        <f t="shared" si="9"/>
        <v>9.9354197714853452E-3</v>
      </c>
      <c r="O29" s="451" t="s">
        <v>142</v>
      </c>
      <c r="P29" s="458" t="s">
        <v>26</v>
      </c>
      <c r="Q29" s="458" t="s">
        <v>896</v>
      </c>
      <c r="R29" s="37" t="s">
        <v>608</v>
      </c>
    </row>
    <row r="30" spans="1:18" s="53" customFormat="1" ht="24.95" customHeight="1" x14ac:dyDescent="0.25">
      <c r="A30" s="385">
        <v>3</v>
      </c>
      <c r="B30" s="30" t="s">
        <v>651</v>
      </c>
      <c r="C30" s="31">
        <v>1712.07</v>
      </c>
      <c r="D30" s="32">
        <v>113.16</v>
      </c>
      <c r="E30" s="32">
        <v>113.16</v>
      </c>
      <c r="F30" s="32">
        <v>4.3</v>
      </c>
      <c r="G30" s="31">
        <v>417.58</v>
      </c>
      <c r="H30" s="54">
        <f t="shared" si="5"/>
        <v>1.0379992930364086</v>
      </c>
      <c r="I30" s="31">
        <v>1795.59</v>
      </c>
      <c r="J30" s="57">
        <v>0.2</v>
      </c>
      <c r="K30" s="34">
        <f t="shared" si="6"/>
        <v>1.7674089784376107E-3</v>
      </c>
      <c r="L30" s="384">
        <f t="shared" si="7"/>
        <v>83.516000000000005</v>
      </c>
      <c r="M30" s="383">
        <f t="shared" si="8"/>
        <v>4.099999999999997</v>
      </c>
      <c r="N30" s="35">
        <f t="shared" si="9"/>
        <v>3.6231884057970988E-2</v>
      </c>
      <c r="O30" s="451" t="s">
        <v>133</v>
      </c>
      <c r="P30" s="458" t="s">
        <v>25</v>
      </c>
      <c r="Q30" s="458" t="s">
        <v>134</v>
      </c>
      <c r="R30" s="37" t="s">
        <v>656</v>
      </c>
    </row>
    <row r="31" spans="1:18" s="53" customFormat="1" ht="24.95" customHeight="1" x14ac:dyDescent="0.25">
      <c r="A31" s="382">
        <v>4</v>
      </c>
      <c r="B31" s="30" t="s">
        <v>87</v>
      </c>
      <c r="C31" s="31">
        <v>1660.99</v>
      </c>
      <c r="D31" s="32">
        <v>231.57</v>
      </c>
      <c r="E31" s="32">
        <v>231.57</v>
      </c>
      <c r="F31" s="32">
        <v>17.16</v>
      </c>
      <c r="G31" s="31">
        <v>194.04</v>
      </c>
      <c r="H31" s="54">
        <f t="shared" si="5"/>
        <v>1.0741028630651639</v>
      </c>
      <c r="I31" s="31">
        <v>3329.73</v>
      </c>
      <c r="J31" s="32">
        <v>8.6</v>
      </c>
      <c r="K31" s="34">
        <f t="shared" si="6"/>
        <v>3.713779850585136E-2</v>
      </c>
      <c r="L31" s="384">
        <f t="shared" si="7"/>
        <v>1668.7439999999999</v>
      </c>
      <c r="M31" s="383">
        <f t="shared" si="8"/>
        <v>8.5599999999999969</v>
      </c>
      <c r="N31" s="35">
        <f t="shared" si="9"/>
        <v>3.6965064559312505E-2</v>
      </c>
      <c r="O31" s="451" t="s">
        <v>133</v>
      </c>
      <c r="P31" s="458" t="s">
        <v>25</v>
      </c>
      <c r="Q31" s="458" t="s">
        <v>135</v>
      </c>
      <c r="R31" s="37" t="s">
        <v>88</v>
      </c>
    </row>
    <row r="32" spans="1:18" s="53" customFormat="1" ht="24.95" customHeight="1" x14ac:dyDescent="0.25">
      <c r="A32" s="385">
        <v>5</v>
      </c>
      <c r="B32" s="30" t="s">
        <v>531</v>
      </c>
      <c r="C32" s="31">
        <v>1583.6799999999998</v>
      </c>
      <c r="D32" s="32">
        <v>113.8</v>
      </c>
      <c r="E32" s="32">
        <v>114.8</v>
      </c>
      <c r="F32" s="32">
        <v>4.32</v>
      </c>
      <c r="G32" s="31">
        <v>313.60000000000002</v>
      </c>
      <c r="H32" s="54">
        <f t="shared" si="5"/>
        <v>1.0467486818980669</v>
      </c>
      <c r="I32" s="31">
        <v>1668.35</v>
      </c>
      <c r="J32" s="32">
        <v>0.27</v>
      </c>
      <c r="K32" s="34">
        <f t="shared" si="6"/>
        <v>2.372583479789104E-3</v>
      </c>
      <c r="L32" s="384">
        <f t="shared" si="7"/>
        <v>84.672000000000011</v>
      </c>
      <c r="M32" s="383">
        <f t="shared" si="8"/>
        <v>5.0500000000000078</v>
      </c>
      <c r="N32" s="35">
        <f t="shared" si="9"/>
        <v>4.4376098418277748E-2</v>
      </c>
      <c r="O32" s="451" t="s">
        <v>133</v>
      </c>
      <c r="P32" s="458" t="s">
        <v>25</v>
      </c>
      <c r="Q32" s="458" t="s">
        <v>136</v>
      </c>
      <c r="R32" s="37" t="s">
        <v>59</v>
      </c>
    </row>
    <row r="33" spans="1:18" s="53" customFormat="1" ht="24.95" customHeight="1" x14ac:dyDescent="0.25">
      <c r="A33" s="382">
        <v>6</v>
      </c>
      <c r="B33" s="30" t="s">
        <v>74</v>
      </c>
      <c r="C33" s="31">
        <v>1486.07</v>
      </c>
      <c r="D33" s="32">
        <v>343.2</v>
      </c>
      <c r="E33" s="32">
        <v>343.2</v>
      </c>
      <c r="F33" s="32">
        <v>11.74</v>
      </c>
      <c r="G33" s="31">
        <v>133.88</v>
      </c>
      <c r="H33" s="54">
        <f t="shared" si="5"/>
        <v>1.0342074592074593</v>
      </c>
      <c r="I33" s="31">
        <v>1571.75</v>
      </c>
      <c r="J33" s="32">
        <v>0.64</v>
      </c>
      <c r="K33" s="34">
        <f t="shared" si="6"/>
        <v>1.8648018648018648E-3</v>
      </c>
      <c r="L33" s="384">
        <f t="shared" si="7"/>
        <v>85.683199999999999</v>
      </c>
      <c r="M33" s="383">
        <f t="shared" si="8"/>
        <v>11.100000000000009</v>
      </c>
      <c r="N33" s="35">
        <f t="shared" si="9"/>
        <v>3.2342657342657372E-2</v>
      </c>
      <c r="O33" s="451" t="s">
        <v>133</v>
      </c>
      <c r="P33" s="458" t="s">
        <v>25</v>
      </c>
      <c r="Q33" s="458" t="s">
        <v>134</v>
      </c>
      <c r="R33" s="37" t="s">
        <v>75</v>
      </c>
    </row>
    <row r="34" spans="1:18" s="53" customFormat="1" ht="24.95" customHeight="1" x14ac:dyDescent="0.25">
      <c r="A34" s="385">
        <v>7</v>
      </c>
      <c r="B34" s="30" t="s">
        <v>76</v>
      </c>
      <c r="C34" s="31">
        <v>1378.46</v>
      </c>
      <c r="D34" s="32">
        <v>631.96</v>
      </c>
      <c r="E34" s="32">
        <v>631.96</v>
      </c>
      <c r="F34" s="32">
        <v>24.02</v>
      </c>
      <c r="G34" s="31">
        <v>60.94</v>
      </c>
      <c r="H34" s="54">
        <f t="shared" si="5"/>
        <v>1.0380087347300462</v>
      </c>
      <c r="I34" s="31">
        <v>1463.78</v>
      </c>
      <c r="J34" s="32">
        <v>1.4</v>
      </c>
      <c r="K34" s="34">
        <f t="shared" si="6"/>
        <v>2.215330084182543E-3</v>
      </c>
      <c r="L34" s="384">
        <f t="shared" si="7"/>
        <v>85.315999999999988</v>
      </c>
      <c r="M34" s="383">
        <f t="shared" si="8"/>
        <v>22.619999999999983</v>
      </c>
      <c r="N34" s="35">
        <f t="shared" si="9"/>
        <v>3.5793404645863634E-2</v>
      </c>
      <c r="O34" s="451" t="s">
        <v>133</v>
      </c>
      <c r="P34" s="458" t="s">
        <v>25</v>
      </c>
      <c r="Q34" s="458" t="s">
        <v>134</v>
      </c>
      <c r="R34" s="37" t="s">
        <v>77</v>
      </c>
    </row>
    <row r="35" spans="1:18" s="53" customFormat="1" ht="24.95" customHeight="1" x14ac:dyDescent="0.25">
      <c r="A35" s="382">
        <v>8</v>
      </c>
      <c r="B35" s="30" t="s">
        <v>83</v>
      </c>
      <c r="C35" s="31">
        <v>1337.76</v>
      </c>
      <c r="D35" s="32">
        <v>486.88</v>
      </c>
      <c r="E35" s="32">
        <v>486.88</v>
      </c>
      <c r="F35" s="32">
        <v>16.649999999999999</v>
      </c>
      <c r="G35" s="31">
        <v>85.48</v>
      </c>
      <c r="H35" s="54">
        <f t="shared" si="5"/>
        <v>1.0341973381531384</v>
      </c>
      <c r="I35" s="31">
        <v>1423.24</v>
      </c>
      <c r="J35" s="32">
        <v>1</v>
      </c>
      <c r="K35" s="34">
        <f t="shared" si="6"/>
        <v>2.0538941833716726E-3</v>
      </c>
      <c r="L35" s="384">
        <f t="shared" si="7"/>
        <v>85.48</v>
      </c>
      <c r="M35" s="383">
        <f t="shared" si="8"/>
        <v>15.649999999999977</v>
      </c>
      <c r="N35" s="35">
        <f t="shared" si="9"/>
        <v>3.2143443969766629E-2</v>
      </c>
      <c r="O35" s="451" t="s">
        <v>133</v>
      </c>
      <c r="P35" s="458" t="s">
        <v>25</v>
      </c>
      <c r="Q35" s="458" t="s">
        <v>134</v>
      </c>
      <c r="R35" s="37" t="s">
        <v>84</v>
      </c>
    </row>
    <row r="36" spans="1:18" s="53" customFormat="1" ht="24.95" customHeight="1" x14ac:dyDescent="0.25">
      <c r="A36" s="385">
        <v>9</v>
      </c>
      <c r="B36" s="30" t="s">
        <v>81</v>
      </c>
      <c r="C36" s="31">
        <v>1249.29</v>
      </c>
      <c r="D36" s="32">
        <v>557.07000000000005</v>
      </c>
      <c r="E36" s="32">
        <v>557.07000000000005</v>
      </c>
      <c r="F36" s="32">
        <v>16.940000000000001</v>
      </c>
      <c r="G36" s="31">
        <v>78.77</v>
      </c>
      <c r="H36" s="54">
        <f t="shared" si="5"/>
        <v>1.0304091047803687</v>
      </c>
      <c r="I36" s="31">
        <v>1334.36</v>
      </c>
      <c r="J36" s="32">
        <v>1.08</v>
      </c>
      <c r="K36" s="34">
        <f t="shared" si="6"/>
        <v>1.9387150627389734E-3</v>
      </c>
      <c r="L36" s="384">
        <f t="shared" si="7"/>
        <v>85.071600000000004</v>
      </c>
      <c r="M36" s="383">
        <f t="shared" si="8"/>
        <v>15.860000000000054</v>
      </c>
      <c r="N36" s="35">
        <f t="shared" si="9"/>
        <v>2.8470389717629836E-2</v>
      </c>
      <c r="O36" s="451" t="s">
        <v>133</v>
      </c>
      <c r="P36" s="458" t="s">
        <v>25</v>
      </c>
      <c r="Q36" s="458" t="s">
        <v>137</v>
      </c>
      <c r="R36" s="37" t="s">
        <v>82</v>
      </c>
    </row>
    <row r="37" spans="1:18" s="53" customFormat="1" ht="24.95" customHeight="1" thickBot="1" x14ac:dyDescent="0.3">
      <c r="A37" s="386">
        <v>10</v>
      </c>
      <c r="B37" s="40" t="s">
        <v>78</v>
      </c>
      <c r="C37" s="41">
        <v>1156.24</v>
      </c>
      <c r="D37" s="42">
        <v>475.2</v>
      </c>
      <c r="E37" s="42">
        <v>475.2</v>
      </c>
      <c r="F37" s="42">
        <v>16.25</v>
      </c>
      <c r="G37" s="41">
        <v>76.42</v>
      </c>
      <c r="H37" s="58">
        <f t="shared" si="5"/>
        <v>1.034196127946128</v>
      </c>
      <c r="I37" s="41">
        <v>1241.83</v>
      </c>
      <c r="J37" s="42">
        <v>1.1200000000000001</v>
      </c>
      <c r="K37" s="44">
        <f t="shared" si="6"/>
        <v>2.3569023569023572E-3</v>
      </c>
      <c r="L37" s="388">
        <f t="shared" si="7"/>
        <v>85.590400000000017</v>
      </c>
      <c r="M37" s="387">
        <f t="shared" si="8"/>
        <v>15.129999999999999</v>
      </c>
      <c r="N37" s="45">
        <f t="shared" si="9"/>
        <v>3.1839225589225591E-2</v>
      </c>
      <c r="O37" s="59" t="s">
        <v>133</v>
      </c>
      <c r="P37" s="60" t="s">
        <v>25</v>
      </c>
      <c r="Q37" s="60" t="s">
        <v>135</v>
      </c>
      <c r="R37" s="61" t="s">
        <v>79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746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747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985" t="s">
        <v>748</v>
      </c>
      <c r="B41" s="623" t="s">
        <v>749</v>
      </c>
      <c r="C41" s="623"/>
      <c r="D41" s="624"/>
      <c r="E41" s="62"/>
      <c r="G41" s="64"/>
      <c r="H41" s="65"/>
    </row>
    <row r="42" spans="1:18" ht="20.45" customHeight="1" x14ac:dyDescent="0.35">
      <c r="A42" s="985"/>
      <c r="B42" s="986" t="s">
        <v>725</v>
      </c>
      <c r="C42" s="987" t="s">
        <v>726</v>
      </c>
      <c r="D42" s="969" t="s">
        <v>750</v>
      </c>
      <c r="E42" s="62"/>
      <c r="G42" s="64"/>
      <c r="H42" s="65"/>
    </row>
    <row r="43" spans="1:18" ht="20.45" customHeight="1" x14ac:dyDescent="0.35">
      <c r="A43" s="985"/>
      <c r="B43" s="986"/>
      <c r="C43" s="987"/>
      <c r="D43" s="969"/>
      <c r="E43" s="62"/>
      <c r="G43" s="64"/>
      <c r="H43" s="65"/>
    </row>
    <row r="44" spans="1:18" s="68" customFormat="1" ht="24.95" customHeight="1" x14ac:dyDescent="0.35">
      <c r="A44" s="392">
        <v>1</v>
      </c>
      <c r="B44" s="30" t="s">
        <v>58</v>
      </c>
      <c r="C44" s="31">
        <v>1269.04</v>
      </c>
      <c r="D44" s="66">
        <f t="shared" ref="D44:D53" si="10">C44/$L$5</f>
        <v>0.27657812377407193</v>
      </c>
      <c r="E44" s="67"/>
      <c r="G44" s="64"/>
      <c r="H44" s="65"/>
    </row>
    <row r="45" spans="1:18" s="68" customFormat="1" ht="24.95" customHeight="1" x14ac:dyDescent="0.35">
      <c r="A45" s="393">
        <v>2</v>
      </c>
      <c r="B45" s="30" t="s">
        <v>61</v>
      </c>
      <c r="C45" s="31">
        <v>695.7</v>
      </c>
      <c r="D45" s="66">
        <f t="shared" si="10"/>
        <v>0.1516228020469188</v>
      </c>
      <c r="E45" s="67"/>
      <c r="G45" s="64"/>
      <c r="H45" s="65"/>
    </row>
    <row r="46" spans="1:18" s="68" customFormat="1" ht="24.95" customHeight="1" x14ac:dyDescent="0.35">
      <c r="A46" s="393">
        <v>3</v>
      </c>
      <c r="B46" s="30" t="s">
        <v>69</v>
      </c>
      <c r="C46" s="31">
        <v>453.6</v>
      </c>
      <c r="D46" s="66">
        <f t="shared" si="10"/>
        <v>9.8858851528650815E-2</v>
      </c>
      <c r="E46" s="67"/>
      <c r="G46" s="64"/>
      <c r="H46" s="65"/>
    </row>
    <row r="47" spans="1:18" s="68" customFormat="1" ht="24.95" customHeight="1" x14ac:dyDescent="0.35">
      <c r="A47" s="392">
        <v>4</v>
      </c>
      <c r="B47" s="30" t="s">
        <v>254</v>
      </c>
      <c r="C47" s="31">
        <v>171.76</v>
      </c>
      <c r="D47" s="66">
        <f t="shared" si="10"/>
        <v>3.7433854361907104E-2</v>
      </c>
      <c r="E47" s="67"/>
      <c r="G47" s="64"/>
      <c r="H47" s="65"/>
    </row>
    <row r="48" spans="1:18" s="68" customFormat="1" ht="24.95" customHeight="1" x14ac:dyDescent="0.35">
      <c r="A48" s="393">
        <v>5</v>
      </c>
      <c r="B48" s="30" t="s">
        <v>90</v>
      </c>
      <c r="C48" s="31">
        <v>136.29</v>
      </c>
      <c r="D48" s="66">
        <f t="shared" si="10"/>
        <v>2.9703423445414059E-2</v>
      </c>
      <c r="E48" s="67"/>
      <c r="G48" s="64"/>
      <c r="H48" s="65"/>
    </row>
    <row r="49" spans="1:5" s="68" customFormat="1" ht="24.95" customHeight="1" x14ac:dyDescent="0.25">
      <c r="A49" s="392">
        <v>6</v>
      </c>
      <c r="B49" s="30" t="s">
        <v>166</v>
      </c>
      <c r="C49" s="31">
        <v>97.68</v>
      </c>
      <c r="D49" s="66">
        <f t="shared" si="10"/>
        <v>2.1288652154582477E-2</v>
      </c>
      <c r="E49" s="67"/>
    </row>
    <row r="50" spans="1:5" s="68" customFormat="1" ht="24.95" customHeight="1" x14ac:dyDescent="0.25">
      <c r="A50" s="393">
        <v>7</v>
      </c>
      <c r="B50" s="30" t="s">
        <v>226</v>
      </c>
      <c r="C50" s="31">
        <v>95.74</v>
      </c>
      <c r="D50" s="66">
        <f t="shared" si="10"/>
        <v>2.0865843133494329E-2</v>
      </c>
      <c r="E50" s="67"/>
    </row>
    <row r="51" spans="1:5" s="68" customFormat="1" ht="24.95" customHeight="1" x14ac:dyDescent="0.25">
      <c r="A51" s="392">
        <v>8</v>
      </c>
      <c r="B51" s="30" t="s">
        <v>340</v>
      </c>
      <c r="C51" s="31">
        <v>95.35</v>
      </c>
      <c r="D51" s="66">
        <f t="shared" si="10"/>
        <v>2.078084544368795E-2</v>
      </c>
      <c r="E51" s="67"/>
    </row>
    <row r="52" spans="1:5" s="68" customFormat="1" ht="24.95" customHeight="1" x14ac:dyDescent="0.25">
      <c r="A52" s="393">
        <v>9</v>
      </c>
      <c r="B52" s="30" t="s">
        <v>227</v>
      </c>
      <c r="C52" s="31">
        <v>95.1</v>
      </c>
      <c r="D52" s="66">
        <f t="shared" si="10"/>
        <v>2.0726359745094115E-2</v>
      </c>
      <c r="E52" s="67"/>
    </row>
    <row r="53" spans="1:5" s="68" customFormat="1" ht="24.95" customHeight="1" thickBot="1" x14ac:dyDescent="0.3">
      <c r="A53" s="394">
        <v>10</v>
      </c>
      <c r="B53" s="40" t="s">
        <v>660</v>
      </c>
      <c r="C53" s="41">
        <v>94.38</v>
      </c>
      <c r="D53" s="69">
        <f t="shared" si="10"/>
        <v>2.0569440933143876E-2</v>
      </c>
      <c r="E53" s="67"/>
    </row>
    <row r="54" spans="1:5" x14ac:dyDescent="0.25">
      <c r="A54" s="614" t="s">
        <v>751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752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645" priority="33" operator="containsText" text="024">
      <formula>NOT(ISERROR(SEARCH("024",A12)))</formula>
    </cfRule>
    <cfRule type="containsText" dxfId="644" priority="34" operator="containsText" text="白醬">
      <formula>NOT(ISERROR(SEARCH("白醬",A12)))</formula>
    </cfRule>
    <cfRule type="containsText" dxfId="643" priority="35" operator="containsText" text="青蔥">
      <formula>NOT(ISERROR(SEARCH("青蔥",A12)))</formula>
    </cfRule>
    <cfRule type="containsText" dxfId="642" priority="36" operator="containsText" text=")川燙小青花菜">
      <formula>NOT(ISERROR(SEARCH(")川燙小青花菜",A12)))</formula>
    </cfRule>
    <cfRule type="containsText" dxfId="641" priority="37" operator="containsText" text="湯凍">
      <formula>NOT(ISERROR(SEARCH("湯凍",A12)))</formula>
    </cfRule>
    <cfRule type="containsText" dxfId="640" priority="38" operator="containsText" text="中華">
      <formula>NOT(ISERROR(SEARCH("中華",A12)))</formula>
    </cfRule>
  </conditionalFormatting>
  <conditionalFormatting sqref="A12:A22">
    <cfRule type="containsText" dxfId="639" priority="31" operator="containsText" text="綠豆芽">
      <formula>NOT(ISERROR(SEARCH("綠豆芽",A12)))</formula>
    </cfRule>
    <cfRule type="containsText" dxfId="638" priority="32" operator="containsText" text="煮白細麵生(方#12)">
      <formula>NOT(ISERROR(SEARCH("煮白細麵生(方#12)",A12)))</formula>
    </cfRule>
  </conditionalFormatting>
  <conditionalFormatting sqref="E5">
    <cfRule type="cellIs" dxfId="637" priority="16" operator="greaterThan">
      <formula>0.0025</formula>
    </cfRule>
    <cfRule type="cellIs" dxfId="636" priority="19" operator="greaterThan">
      <formula>0.0025</formula>
    </cfRule>
    <cfRule type="cellIs" dxfId="635" priority="29" operator="greaterThan">
      <formula>0.072</formula>
    </cfRule>
    <cfRule type="cellIs" dxfId="634" priority="30" operator="greaterThan">
      <formula>7.2</formula>
    </cfRule>
  </conditionalFormatting>
  <conditionalFormatting sqref="E5">
    <cfRule type="cellIs" dxfId="633" priority="28" operator="greaterThan">
      <formula>0.0025</formula>
    </cfRule>
  </conditionalFormatting>
  <conditionalFormatting sqref="A44:A53">
    <cfRule type="containsText" dxfId="632" priority="22" operator="containsText" text="024">
      <formula>NOT(ISERROR(SEARCH("024",A44)))</formula>
    </cfRule>
    <cfRule type="containsText" dxfId="631" priority="23" operator="containsText" text="白醬">
      <formula>NOT(ISERROR(SEARCH("白醬",A44)))</formula>
    </cfRule>
    <cfRule type="containsText" dxfId="630" priority="24" operator="containsText" text="青蔥">
      <formula>NOT(ISERROR(SEARCH("青蔥",A44)))</formula>
    </cfRule>
    <cfRule type="containsText" dxfId="629" priority="25" operator="containsText" text=")川燙小青花菜">
      <formula>NOT(ISERROR(SEARCH(")川燙小青花菜",A44)))</formula>
    </cfRule>
    <cfRule type="containsText" dxfId="628" priority="26" operator="containsText" text="湯凍">
      <formula>NOT(ISERROR(SEARCH("湯凍",A44)))</formula>
    </cfRule>
    <cfRule type="containsText" dxfId="627" priority="27" operator="containsText" text="中華">
      <formula>NOT(ISERROR(SEARCH("中華",A44)))</formula>
    </cfRule>
  </conditionalFormatting>
  <conditionalFormatting sqref="A44:A53">
    <cfRule type="containsText" dxfId="626" priority="20" operator="containsText" text="綠豆芽">
      <formula>NOT(ISERROR(SEARCH("綠豆芽",A44)))</formula>
    </cfRule>
    <cfRule type="containsText" dxfId="625" priority="21" operator="containsText" text="煮白細麵生(方#12)">
      <formula>NOT(ISERROR(SEARCH("煮白細麵生(方#12)",A44)))</formula>
    </cfRule>
  </conditionalFormatting>
  <conditionalFormatting sqref="D44:D53">
    <cfRule type="cellIs" dxfId="624" priority="18" operator="greaterThan">
      <formula>0.146</formula>
    </cfRule>
  </conditionalFormatting>
  <conditionalFormatting sqref="H12:H22">
    <cfRule type="cellIs" dxfId="623" priority="17" operator="greaterThan">
      <formula>1.1</formula>
    </cfRule>
  </conditionalFormatting>
  <conditionalFormatting sqref="I5">
    <cfRule type="cellIs" dxfId="622" priority="15" operator="greaterThan">
      <formula>0.2</formula>
    </cfRule>
  </conditionalFormatting>
  <conditionalFormatting sqref="A28:A37">
    <cfRule type="containsText" dxfId="621" priority="9" operator="containsText" text="024">
      <formula>NOT(ISERROR(SEARCH("024",A28)))</formula>
    </cfRule>
    <cfRule type="containsText" dxfId="620" priority="10" operator="containsText" text="白醬">
      <formula>NOT(ISERROR(SEARCH("白醬",A28)))</formula>
    </cfRule>
    <cfRule type="containsText" dxfId="619" priority="11" operator="containsText" text="青蔥">
      <formula>NOT(ISERROR(SEARCH("青蔥",A28)))</formula>
    </cfRule>
    <cfRule type="containsText" dxfId="618" priority="12" operator="containsText" text=")川燙小青花菜">
      <formula>NOT(ISERROR(SEARCH(")川燙小青花菜",A28)))</formula>
    </cfRule>
    <cfRule type="containsText" dxfId="617" priority="13" operator="containsText" text="湯凍">
      <formula>NOT(ISERROR(SEARCH("湯凍",A28)))</formula>
    </cfRule>
    <cfRule type="containsText" dxfId="616" priority="14" operator="containsText" text="中華">
      <formula>NOT(ISERROR(SEARCH("中華",A28)))</formula>
    </cfRule>
  </conditionalFormatting>
  <conditionalFormatting sqref="A28:A37">
    <cfRule type="containsText" dxfId="615" priority="7" operator="containsText" text="綠豆芽">
      <formula>NOT(ISERROR(SEARCH("綠豆芽",A28)))</formula>
    </cfRule>
    <cfRule type="containsText" dxfId="614" priority="8" operator="containsText" text="煮白細麵生(方#12)">
      <formula>NOT(ISERROR(SEARCH("煮白細麵生(方#12)",A28)))</formula>
    </cfRule>
  </conditionalFormatting>
  <conditionalFormatting sqref="H28:H37">
    <cfRule type="cellIs" dxfId="613" priority="6" operator="greaterThan">
      <formula>1.1</formula>
    </cfRule>
  </conditionalFormatting>
  <conditionalFormatting sqref="G5">
    <cfRule type="cellIs" dxfId="612" priority="1" operator="greaterThan">
      <formula>0.0025</formula>
    </cfRule>
    <cfRule type="cellIs" dxfId="611" priority="2" operator="greaterThan">
      <formula>0.0025</formula>
    </cfRule>
    <cfRule type="cellIs" dxfId="610" priority="4" operator="greaterThan">
      <formula>0.072</formula>
    </cfRule>
    <cfRule type="cellIs" dxfId="609" priority="5" operator="greaterThan">
      <formula>7.2</formula>
    </cfRule>
  </conditionalFormatting>
  <conditionalFormatting sqref="G5">
    <cfRule type="cellIs" dxfId="60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2" zoomScale="70" zoomScaleNormal="70" zoomScaleSheetLayoutView="70" workbookViewId="0">
      <selection activeCell="P22" sqref="P2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988" t="s">
        <v>31</v>
      </c>
      <c r="B2" s="989"/>
      <c r="C2" s="323" t="s">
        <v>32</v>
      </c>
      <c r="D2" s="990" t="s">
        <v>33</v>
      </c>
      <c r="E2" s="990"/>
      <c r="F2" s="990" t="s">
        <v>34</v>
      </c>
      <c r="G2" s="990"/>
      <c r="H2" s="990" t="s">
        <v>33</v>
      </c>
      <c r="I2" s="990"/>
      <c r="J2" s="990" t="s">
        <v>34</v>
      </c>
      <c r="K2" s="990"/>
      <c r="L2" s="990" t="s">
        <v>33</v>
      </c>
      <c r="M2" s="991"/>
      <c r="R2" s="17"/>
    </row>
    <row r="3" spans="1:18" s="18" customFormat="1" ht="28.5" x14ac:dyDescent="0.45">
      <c r="A3" s="998">
        <v>45916</v>
      </c>
      <c r="B3" s="999"/>
      <c r="C3" s="1000">
        <v>6265697.0700000003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998"/>
      <c r="B4" s="999"/>
      <c r="C4" s="1000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992" t="s">
        <v>44</v>
      </c>
      <c r="B5" s="993"/>
      <c r="C5" s="993"/>
      <c r="D5" s="324">
        <v>15335.710000000001</v>
      </c>
      <c r="E5" s="22">
        <f>D5/C3</f>
        <v>2.4475664604704547E-3</v>
      </c>
      <c r="F5" s="324">
        <v>48098.490000000005</v>
      </c>
      <c r="G5" s="23">
        <f>F5/C3</f>
        <v>7.6764786842783003E-3</v>
      </c>
      <c r="H5" s="24">
        <f>SUM(C12:C21)</f>
        <v>5825</v>
      </c>
      <c r="I5" s="25">
        <f>H5/D5</f>
        <v>0.37983243032112629</v>
      </c>
      <c r="J5" s="24">
        <f>SUM(C28:C37)</f>
        <v>20638.819999999996</v>
      </c>
      <c r="K5" s="26">
        <f>J5/F5</f>
        <v>0.42909496743037034</v>
      </c>
      <c r="L5" s="27">
        <v>7325.93</v>
      </c>
      <c r="M5" s="28">
        <f>L5/D5</f>
        <v>0.47770399935836033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623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624</v>
      </c>
      <c r="B8" s="620"/>
      <c r="C8" s="620"/>
      <c r="D8" s="620" t="s">
        <v>625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626</v>
      </c>
      <c r="P8" s="630" t="s">
        <v>627</v>
      </c>
      <c r="Q8" s="629" t="s">
        <v>628</v>
      </c>
      <c r="R8" s="994" t="s">
        <v>629</v>
      </c>
    </row>
    <row r="9" spans="1:18" ht="20.45" customHeight="1" x14ac:dyDescent="0.25">
      <c r="A9" s="995" t="s">
        <v>630</v>
      </c>
      <c r="B9" s="634" t="s">
        <v>631</v>
      </c>
      <c r="C9" s="635"/>
      <c r="D9" s="636" t="s">
        <v>632</v>
      </c>
      <c r="E9" s="636"/>
      <c r="F9" s="636"/>
      <c r="G9" s="636"/>
      <c r="H9" s="636"/>
      <c r="I9" s="636"/>
      <c r="J9" s="637" t="s">
        <v>633</v>
      </c>
      <c r="K9" s="637"/>
      <c r="L9" s="637"/>
      <c r="M9" s="638"/>
      <c r="N9" s="638"/>
      <c r="O9" s="629"/>
      <c r="P9" s="629"/>
      <c r="Q9" s="629"/>
      <c r="R9" s="994"/>
    </row>
    <row r="10" spans="1:18" ht="20.45" customHeight="1" x14ac:dyDescent="0.3">
      <c r="A10" s="996"/>
      <c r="B10" s="1001" t="s">
        <v>634</v>
      </c>
      <c r="C10" s="1003" t="s">
        <v>635</v>
      </c>
      <c r="D10" s="1005" t="s">
        <v>636</v>
      </c>
      <c r="E10" s="1005"/>
      <c r="F10" s="1005"/>
      <c r="G10" s="1005"/>
      <c r="H10" s="1005"/>
      <c r="I10" s="1005"/>
      <c r="J10" s="1006" t="s">
        <v>637</v>
      </c>
      <c r="K10" s="1007"/>
      <c r="L10" s="1008" t="s">
        <v>638</v>
      </c>
      <c r="M10" s="1006"/>
      <c r="N10" s="1006"/>
      <c r="O10" s="629"/>
      <c r="P10" s="629"/>
      <c r="Q10" s="629"/>
      <c r="R10" s="994"/>
    </row>
    <row r="11" spans="1:18" s="29" customFormat="1" ht="47.25" customHeight="1" x14ac:dyDescent="0.25">
      <c r="A11" s="997"/>
      <c r="B11" s="1002"/>
      <c r="C11" s="1004"/>
      <c r="D11" s="325" t="s">
        <v>639</v>
      </c>
      <c r="E11" s="325" t="s">
        <v>640</v>
      </c>
      <c r="F11" s="325" t="s">
        <v>641</v>
      </c>
      <c r="G11" s="325" t="s">
        <v>642</v>
      </c>
      <c r="H11" s="325" t="s">
        <v>643</v>
      </c>
      <c r="I11" s="325" t="s">
        <v>644</v>
      </c>
      <c r="J11" s="326" t="s">
        <v>645</v>
      </c>
      <c r="K11" s="326" t="s">
        <v>646</v>
      </c>
      <c r="L11" s="326" t="s">
        <v>645</v>
      </c>
      <c r="M11" s="326" t="s">
        <v>646</v>
      </c>
      <c r="N11" s="327" t="s">
        <v>647</v>
      </c>
      <c r="O11" s="629"/>
      <c r="P11" s="629"/>
      <c r="Q11" s="629"/>
      <c r="R11" s="994"/>
    </row>
    <row r="12" spans="1:18" s="38" customFormat="1" ht="24.95" customHeight="1" x14ac:dyDescent="0.25">
      <c r="A12" s="328">
        <v>1</v>
      </c>
      <c r="B12" s="30" t="s">
        <v>58</v>
      </c>
      <c r="C12" s="31">
        <v>2308.52</v>
      </c>
      <c r="D12" s="32">
        <v>15049</v>
      </c>
      <c r="E12" s="32">
        <v>15049</v>
      </c>
      <c r="F12" s="32">
        <v>398.02</v>
      </c>
      <c r="G12" s="31">
        <v>5.8</v>
      </c>
      <c r="H12" s="33">
        <f t="shared" ref="H12:H21" si="0">(E12+F12)/D12</f>
        <v>1.0264482689879726</v>
      </c>
      <c r="I12" s="31">
        <v>2308.52</v>
      </c>
      <c r="J12" s="32">
        <v>398.02</v>
      </c>
      <c r="K12" s="34">
        <f t="shared" ref="K12:K21" si="1">J12/D12</f>
        <v>2.6448268987972621E-2</v>
      </c>
      <c r="L12" s="329">
        <f t="shared" ref="L12:L21" si="2">((E12+F12)-D12)-J12</f>
        <v>4.5474735088646412E-13</v>
      </c>
      <c r="M12" s="35">
        <f t="shared" ref="M12:M21" si="3">L12/D12</f>
        <v>3.0217778648844718E-17</v>
      </c>
      <c r="N12" s="330">
        <f t="shared" ref="N12:N21" si="4">L12*G12</f>
        <v>2.6375346351414918E-12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331">
        <v>2</v>
      </c>
      <c r="B13" s="30" t="s">
        <v>61</v>
      </c>
      <c r="C13" s="31">
        <v>1542.88</v>
      </c>
      <c r="D13" s="32">
        <v>7412</v>
      </c>
      <c r="E13" s="32">
        <v>7412</v>
      </c>
      <c r="F13" s="32">
        <v>234.48</v>
      </c>
      <c r="G13" s="31">
        <v>6.58</v>
      </c>
      <c r="H13" s="33">
        <f t="shared" si="0"/>
        <v>1.0316351861845654</v>
      </c>
      <c r="I13" s="31">
        <v>1542.88</v>
      </c>
      <c r="J13" s="32">
        <v>234.48</v>
      </c>
      <c r="K13" s="34">
        <f t="shared" si="1"/>
        <v>3.1635186184565567E-2</v>
      </c>
      <c r="L13" s="329">
        <f t="shared" si="2"/>
        <v>-4.2632564145606011E-13</v>
      </c>
      <c r="M13" s="35">
        <f t="shared" si="3"/>
        <v>-5.7518300250412856E-17</v>
      </c>
      <c r="N13" s="330">
        <f t="shared" si="4"/>
        <v>-2.8052227207808756E-12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331">
        <v>3</v>
      </c>
      <c r="B14" s="30" t="s">
        <v>69</v>
      </c>
      <c r="C14" s="31">
        <v>471.59</v>
      </c>
      <c r="D14" s="32">
        <v>9665</v>
      </c>
      <c r="E14" s="32">
        <v>9665</v>
      </c>
      <c r="F14" s="32">
        <v>67.37</v>
      </c>
      <c r="G14" s="31">
        <v>7</v>
      </c>
      <c r="H14" s="33">
        <f t="shared" si="0"/>
        <v>1.0069705121572685</v>
      </c>
      <c r="I14" s="31">
        <v>471.59</v>
      </c>
      <c r="J14" s="32">
        <v>67.37</v>
      </c>
      <c r="K14" s="34">
        <f t="shared" si="1"/>
        <v>6.970512157268495E-3</v>
      </c>
      <c r="L14" s="329">
        <f t="shared" si="2"/>
        <v>7.9580786405131221E-13</v>
      </c>
      <c r="M14" s="35">
        <f t="shared" si="3"/>
        <v>8.2339147858387192E-17</v>
      </c>
      <c r="N14" s="330">
        <f t="shared" si="4"/>
        <v>5.5706550483591855E-12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328">
        <v>4</v>
      </c>
      <c r="B15" s="30" t="s">
        <v>648</v>
      </c>
      <c r="C15" s="31">
        <v>291.52999999999997</v>
      </c>
      <c r="D15" s="32">
        <v>52.01</v>
      </c>
      <c r="E15" s="32">
        <v>52.01</v>
      </c>
      <c r="F15" s="32">
        <v>4.96</v>
      </c>
      <c r="G15" s="31">
        <v>118.99</v>
      </c>
      <c r="H15" s="33">
        <f t="shared" si="0"/>
        <v>1.0953662757162084</v>
      </c>
      <c r="I15" s="31">
        <v>590.19000000000005</v>
      </c>
      <c r="J15" s="32">
        <v>2.4500000000000002</v>
      </c>
      <c r="K15" s="34">
        <f t="shared" si="1"/>
        <v>4.7106325706594891E-2</v>
      </c>
      <c r="L15" s="329">
        <f t="shared" si="2"/>
        <v>2.5100000000000007</v>
      </c>
      <c r="M15" s="35">
        <f t="shared" si="3"/>
        <v>4.8259950009613549E-2</v>
      </c>
      <c r="N15" s="330">
        <f t="shared" si="4"/>
        <v>298.66490000000005</v>
      </c>
      <c r="O15" s="36" t="s">
        <v>139</v>
      </c>
      <c r="P15" s="36" t="s">
        <v>25</v>
      </c>
      <c r="Q15" s="36" t="s">
        <v>141</v>
      </c>
      <c r="R15" s="37" t="s">
        <v>657</v>
      </c>
    </row>
    <row r="16" spans="1:18" s="39" customFormat="1" ht="24.95" customHeight="1" x14ac:dyDescent="0.25">
      <c r="A16" s="331">
        <v>5</v>
      </c>
      <c r="B16" s="30" t="s">
        <v>166</v>
      </c>
      <c r="C16" s="31">
        <v>268.70999999999998</v>
      </c>
      <c r="D16" s="32">
        <v>5610</v>
      </c>
      <c r="E16" s="32">
        <v>5610</v>
      </c>
      <c r="F16" s="32">
        <v>61.07</v>
      </c>
      <c r="G16" s="31">
        <v>4.4000000000000004</v>
      </c>
      <c r="H16" s="33">
        <f t="shared" si="0"/>
        <v>1.010885918003565</v>
      </c>
      <c r="I16" s="31">
        <v>268.70999999999998</v>
      </c>
      <c r="J16" s="32">
        <v>61.07</v>
      </c>
      <c r="K16" s="34">
        <f t="shared" si="1"/>
        <v>1.0885918003565063E-2</v>
      </c>
      <c r="L16" s="329">
        <f t="shared" si="2"/>
        <v>-2.9132252166164108E-13</v>
      </c>
      <c r="M16" s="35">
        <f t="shared" si="3"/>
        <v>-5.1929148246281829E-17</v>
      </c>
      <c r="N16" s="330">
        <f t="shared" si="4"/>
        <v>-1.2818190953112208E-12</v>
      </c>
      <c r="O16" s="36" t="s">
        <v>139</v>
      </c>
      <c r="P16" s="36" t="s">
        <v>28</v>
      </c>
      <c r="Q16" s="36" t="s">
        <v>140</v>
      </c>
      <c r="R16" s="37" t="s">
        <v>59</v>
      </c>
    </row>
    <row r="17" spans="1:18" s="38" customFormat="1" ht="24.95" customHeight="1" x14ac:dyDescent="0.25">
      <c r="A17" s="328">
        <v>6</v>
      </c>
      <c r="B17" s="30" t="s">
        <v>62</v>
      </c>
      <c r="C17" s="31">
        <v>232.41</v>
      </c>
      <c r="D17" s="32">
        <v>352</v>
      </c>
      <c r="E17" s="32">
        <v>352</v>
      </c>
      <c r="F17" s="32">
        <v>15.52</v>
      </c>
      <c r="G17" s="31">
        <v>111.2</v>
      </c>
      <c r="H17" s="33">
        <f t="shared" si="0"/>
        <v>1.044090909090909</v>
      </c>
      <c r="I17" s="31">
        <v>1725.82</v>
      </c>
      <c r="J17" s="32">
        <v>2.09</v>
      </c>
      <c r="K17" s="34">
        <f t="shared" si="1"/>
        <v>5.9374999999999992E-3</v>
      </c>
      <c r="L17" s="329">
        <f t="shared" si="2"/>
        <v>13.429999999999982</v>
      </c>
      <c r="M17" s="35">
        <f t="shared" si="3"/>
        <v>3.8153409090909036E-2</v>
      </c>
      <c r="N17" s="330">
        <f t="shared" si="4"/>
        <v>1493.4159999999981</v>
      </c>
      <c r="O17" s="36" t="s">
        <v>139</v>
      </c>
      <c r="P17" s="36" t="s">
        <v>25</v>
      </c>
      <c r="Q17" s="36" t="s">
        <v>144</v>
      </c>
      <c r="R17" s="37" t="s">
        <v>63</v>
      </c>
    </row>
    <row r="18" spans="1:18" s="39" customFormat="1" ht="24.95" customHeight="1" x14ac:dyDescent="0.25">
      <c r="A18" s="331">
        <v>7</v>
      </c>
      <c r="B18" s="30" t="s">
        <v>254</v>
      </c>
      <c r="C18" s="31">
        <v>200.38</v>
      </c>
      <c r="D18" s="32">
        <v>112.56</v>
      </c>
      <c r="E18" s="32">
        <v>112.56</v>
      </c>
      <c r="F18" s="32">
        <v>4.96</v>
      </c>
      <c r="G18" s="31">
        <v>110.1</v>
      </c>
      <c r="H18" s="33">
        <f t="shared" si="0"/>
        <v>1.0440653873489694</v>
      </c>
      <c r="I18" s="31">
        <v>546.1</v>
      </c>
      <c r="J18" s="32">
        <v>1.82</v>
      </c>
      <c r="K18" s="34">
        <f t="shared" si="1"/>
        <v>1.6169154228855721E-2</v>
      </c>
      <c r="L18" s="329">
        <f t="shared" si="2"/>
        <v>3.1399999999999935</v>
      </c>
      <c r="M18" s="35">
        <f t="shared" si="3"/>
        <v>2.7896233120113658E-2</v>
      </c>
      <c r="N18" s="330">
        <f t="shared" si="4"/>
        <v>345.71399999999926</v>
      </c>
      <c r="O18" s="36" t="s">
        <v>139</v>
      </c>
      <c r="P18" s="36" t="s">
        <v>25</v>
      </c>
      <c r="Q18" s="56" t="s">
        <v>134</v>
      </c>
      <c r="R18" s="37" t="s">
        <v>59</v>
      </c>
    </row>
    <row r="19" spans="1:18" s="38" customFormat="1" ht="24.95" customHeight="1" x14ac:dyDescent="0.25">
      <c r="A19" s="328">
        <v>8</v>
      </c>
      <c r="B19" s="30" t="s">
        <v>60</v>
      </c>
      <c r="C19" s="31">
        <v>187.34</v>
      </c>
      <c r="D19" s="32">
        <v>259.42</v>
      </c>
      <c r="E19" s="32">
        <v>259.42</v>
      </c>
      <c r="F19" s="32">
        <v>11.44</v>
      </c>
      <c r="G19" s="31">
        <v>99.12</v>
      </c>
      <c r="H19" s="33">
        <f t="shared" si="0"/>
        <v>1.0440983732942719</v>
      </c>
      <c r="I19" s="31">
        <v>1133.93</v>
      </c>
      <c r="J19" s="32">
        <v>1.89</v>
      </c>
      <c r="K19" s="34">
        <f t="shared" si="1"/>
        <v>7.2854830005396644E-3</v>
      </c>
      <c r="L19" s="329">
        <f t="shared" si="2"/>
        <v>9.5499999999999972</v>
      </c>
      <c r="M19" s="35">
        <f t="shared" si="3"/>
        <v>3.6812890293732158E-2</v>
      </c>
      <c r="N19" s="330">
        <f t="shared" si="4"/>
        <v>946.59599999999978</v>
      </c>
      <c r="O19" s="36" t="s">
        <v>139</v>
      </c>
      <c r="P19" s="36" t="s">
        <v>25</v>
      </c>
      <c r="Q19" s="36" t="s">
        <v>141</v>
      </c>
      <c r="R19" s="37" t="s">
        <v>59</v>
      </c>
    </row>
    <row r="20" spans="1:18" s="38" customFormat="1" ht="24.95" customHeight="1" x14ac:dyDescent="0.25">
      <c r="A20" s="331">
        <v>9</v>
      </c>
      <c r="B20" s="30" t="s">
        <v>226</v>
      </c>
      <c r="C20" s="31">
        <v>161.16999999999999</v>
      </c>
      <c r="D20" s="32">
        <v>77.44</v>
      </c>
      <c r="E20" s="32">
        <v>77.44</v>
      </c>
      <c r="F20" s="32">
        <v>3.91</v>
      </c>
      <c r="G20" s="31">
        <v>159.57</v>
      </c>
      <c r="H20" s="33">
        <f t="shared" si="0"/>
        <v>1.0504907024793388</v>
      </c>
      <c r="I20" s="31">
        <v>623.91999999999996</v>
      </c>
      <c r="J20" s="32">
        <v>1.01</v>
      </c>
      <c r="K20" s="34">
        <f t="shared" si="1"/>
        <v>1.3042355371900826E-2</v>
      </c>
      <c r="L20" s="329">
        <f t="shared" si="2"/>
        <v>2.8999999999999968</v>
      </c>
      <c r="M20" s="35">
        <f t="shared" si="3"/>
        <v>3.7448347107437975E-2</v>
      </c>
      <c r="N20" s="330">
        <f t="shared" si="4"/>
        <v>462.75299999999947</v>
      </c>
      <c r="O20" s="36" t="s">
        <v>139</v>
      </c>
      <c r="P20" s="36" t="s">
        <v>25</v>
      </c>
      <c r="Q20" s="36" t="s">
        <v>144</v>
      </c>
      <c r="R20" s="37" t="s">
        <v>59</v>
      </c>
    </row>
    <row r="21" spans="1:18" s="38" customFormat="1" ht="24.95" customHeight="1" thickBot="1" x14ac:dyDescent="0.3">
      <c r="A21" s="332">
        <v>10</v>
      </c>
      <c r="B21" s="40" t="s">
        <v>213</v>
      </c>
      <c r="C21" s="41">
        <v>160.47</v>
      </c>
      <c r="D21" s="42">
        <v>4761</v>
      </c>
      <c r="E21" s="42">
        <v>4761</v>
      </c>
      <c r="F21" s="42">
        <v>36.89</v>
      </c>
      <c r="G21" s="41">
        <v>4.3499999999999996</v>
      </c>
      <c r="H21" s="43">
        <f t="shared" si="0"/>
        <v>1.0077483721907163</v>
      </c>
      <c r="I21" s="41">
        <v>160.47</v>
      </c>
      <c r="J21" s="42">
        <v>36.89</v>
      </c>
      <c r="K21" s="44">
        <f t="shared" si="1"/>
        <v>7.7483721907162361E-3</v>
      </c>
      <c r="L21" s="333">
        <f t="shared" si="2"/>
        <v>3.2684965844964609E-13</v>
      </c>
      <c r="M21" s="45">
        <f t="shared" si="3"/>
        <v>6.8651472054115957E-17</v>
      </c>
      <c r="N21" s="334">
        <f t="shared" si="4"/>
        <v>1.4217960142559604E-12</v>
      </c>
      <c r="O21" s="46" t="s">
        <v>139</v>
      </c>
      <c r="P21" s="46" t="s">
        <v>28</v>
      </c>
      <c r="Q21" s="46" t="s">
        <v>140</v>
      </c>
      <c r="R21" s="47" t="s">
        <v>214</v>
      </c>
    </row>
    <row r="22" spans="1:18" s="53" customFormat="1" ht="24.95" customHeight="1" thickBot="1" x14ac:dyDescent="0.3">
      <c r="A22" s="335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36"/>
      <c r="M22" s="51"/>
      <c r="N22" s="337"/>
      <c r="O22" s="52"/>
      <c r="P22" s="52"/>
      <c r="Q22" s="52"/>
      <c r="R22" s="48"/>
    </row>
    <row r="23" spans="1:18" s="53" customFormat="1" ht="40.5" customHeight="1" x14ac:dyDescent="0.25">
      <c r="A23" s="616" t="s">
        <v>649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624</v>
      </c>
      <c r="B24" s="620"/>
      <c r="C24" s="620"/>
      <c r="D24" s="620" t="s">
        <v>625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626</v>
      </c>
      <c r="P24" s="630" t="s">
        <v>627</v>
      </c>
      <c r="Q24" s="629" t="s">
        <v>628</v>
      </c>
      <c r="R24" s="994" t="s">
        <v>629</v>
      </c>
    </row>
    <row r="25" spans="1:18" s="53" customFormat="1" ht="24.95" customHeight="1" x14ac:dyDescent="0.25">
      <c r="A25" s="995" t="s">
        <v>630</v>
      </c>
      <c r="B25" s="634" t="s">
        <v>631</v>
      </c>
      <c r="C25" s="635"/>
      <c r="D25" s="636" t="s">
        <v>632</v>
      </c>
      <c r="E25" s="636"/>
      <c r="F25" s="636"/>
      <c r="G25" s="636"/>
      <c r="H25" s="636"/>
      <c r="I25" s="636"/>
      <c r="J25" s="637" t="s">
        <v>633</v>
      </c>
      <c r="K25" s="637"/>
      <c r="L25" s="637"/>
      <c r="M25" s="638"/>
      <c r="N25" s="638"/>
      <c r="O25" s="629"/>
      <c r="P25" s="629"/>
      <c r="Q25" s="629"/>
      <c r="R25" s="994"/>
    </row>
    <row r="26" spans="1:18" s="53" customFormat="1" ht="24.95" customHeight="1" x14ac:dyDescent="0.3">
      <c r="A26" s="996"/>
      <c r="B26" s="1001" t="s">
        <v>634</v>
      </c>
      <c r="C26" s="1003" t="s">
        <v>650</v>
      </c>
      <c r="D26" s="1005" t="s">
        <v>636</v>
      </c>
      <c r="E26" s="1005"/>
      <c r="F26" s="1005"/>
      <c r="G26" s="1005"/>
      <c r="H26" s="1005"/>
      <c r="I26" s="1005"/>
      <c r="J26" s="1006" t="s">
        <v>637</v>
      </c>
      <c r="K26" s="1009"/>
      <c r="L26" s="1007"/>
      <c r="M26" s="1006" t="s">
        <v>638</v>
      </c>
      <c r="N26" s="1007"/>
      <c r="O26" s="629"/>
      <c r="P26" s="629"/>
      <c r="Q26" s="629"/>
      <c r="R26" s="994"/>
    </row>
    <row r="27" spans="1:18" s="53" customFormat="1" ht="50.1" customHeight="1" x14ac:dyDescent="0.25">
      <c r="A27" s="997"/>
      <c r="B27" s="1002"/>
      <c r="C27" s="1004"/>
      <c r="D27" s="325" t="s">
        <v>639</v>
      </c>
      <c r="E27" s="325" t="s">
        <v>640</v>
      </c>
      <c r="F27" s="325" t="s">
        <v>641</v>
      </c>
      <c r="G27" s="325" t="s">
        <v>642</v>
      </c>
      <c r="H27" s="325" t="s">
        <v>643</v>
      </c>
      <c r="I27" s="325" t="s">
        <v>644</v>
      </c>
      <c r="J27" s="326" t="s">
        <v>645</v>
      </c>
      <c r="K27" s="326" t="s">
        <v>646</v>
      </c>
      <c r="L27" s="327" t="s">
        <v>647</v>
      </c>
      <c r="M27" s="326" t="s">
        <v>645</v>
      </c>
      <c r="N27" s="326" t="s">
        <v>646</v>
      </c>
      <c r="O27" s="629"/>
      <c r="P27" s="629"/>
      <c r="Q27" s="629"/>
      <c r="R27" s="994"/>
    </row>
    <row r="28" spans="1:18" s="53" customFormat="1" ht="24.95" customHeight="1" x14ac:dyDescent="0.25">
      <c r="A28" s="328">
        <v>1</v>
      </c>
      <c r="B28" s="30" t="s">
        <v>651</v>
      </c>
      <c r="C28" s="31">
        <v>3152.73</v>
      </c>
      <c r="D28" s="32">
        <v>125.72</v>
      </c>
      <c r="E28" s="32">
        <v>125.72</v>
      </c>
      <c r="F28" s="32">
        <v>7.92</v>
      </c>
      <c r="G28" s="31">
        <v>417.58</v>
      </c>
      <c r="H28" s="54">
        <f t="shared" ref="H28:H37" si="5">(E28+F28)/D28</f>
        <v>1.0629971364937956</v>
      </c>
      <c r="I28" s="31">
        <v>3307.23</v>
      </c>
      <c r="J28" s="32">
        <v>0.37</v>
      </c>
      <c r="K28" s="34">
        <f t="shared" ref="K28:K37" si="6">J28/D28</f>
        <v>2.9430480432707604E-3</v>
      </c>
      <c r="L28" s="330">
        <f t="shared" ref="L28:L37" si="7">J28*G28</f>
        <v>154.50459999999998</v>
      </c>
      <c r="M28" s="329">
        <f t="shared" ref="M28:M37" si="8">((E28+F28)-D28)-J28</f>
        <v>7.5499999999999874</v>
      </c>
      <c r="N28" s="35">
        <f t="shared" ref="N28:N37" si="9">M28/D28</f>
        <v>6.005408845052488E-2</v>
      </c>
      <c r="O28" s="55" t="s">
        <v>133</v>
      </c>
      <c r="P28" s="56" t="s">
        <v>25</v>
      </c>
      <c r="Q28" s="56" t="s">
        <v>134</v>
      </c>
      <c r="R28" s="37" t="s">
        <v>656</v>
      </c>
    </row>
    <row r="29" spans="1:18" s="53" customFormat="1" ht="24.75" customHeight="1" x14ac:dyDescent="0.25">
      <c r="A29" s="331">
        <v>2</v>
      </c>
      <c r="B29" s="30" t="s">
        <v>80</v>
      </c>
      <c r="C29" s="31">
        <v>2868.16</v>
      </c>
      <c r="D29" s="32">
        <v>340.42</v>
      </c>
      <c r="E29" s="32">
        <v>340.42</v>
      </c>
      <c r="F29" s="32">
        <v>19.3</v>
      </c>
      <c r="G29" s="31">
        <v>156.72999999999999</v>
      </c>
      <c r="H29" s="54">
        <f t="shared" si="5"/>
        <v>1.0566946712884084</v>
      </c>
      <c r="I29" s="31">
        <v>3024.89</v>
      </c>
      <c r="J29" s="32">
        <v>1</v>
      </c>
      <c r="K29" s="34">
        <f t="shared" si="6"/>
        <v>2.9375477351506959E-3</v>
      </c>
      <c r="L29" s="330">
        <f t="shared" si="7"/>
        <v>156.72999999999999</v>
      </c>
      <c r="M29" s="329">
        <f t="shared" si="8"/>
        <v>18.300000000000011</v>
      </c>
      <c r="N29" s="35">
        <f t="shared" si="9"/>
        <v>5.375712355325777E-2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331">
        <v>3</v>
      </c>
      <c r="B30" s="30" t="s">
        <v>74</v>
      </c>
      <c r="C30" s="31">
        <v>2648.15</v>
      </c>
      <c r="D30" s="32">
        <v>369.56</v>
      </c>
      <c r="E30" s="32">
        <v>369.56</v>
      </c>
      <c r="F30" s="32">
        <v>20.95</v>
      </c>
      <c r="G30" s="31">
        <v>133.88</v>
      </c>
      <c r="H30" s="54">
        <f t="shared" si="5"/>
        <v>1.0566890356099146</v>
      </c>
      <c r="I30" s="31">
        <v>2804.79</v>
      </c>
      <c r="J30" s="57">
        <v>1.17</v>
      </c>
      <c r="K30" s="34">
        <f t="shared" si="6"/>
        <v>3.1659270483818591E-3</v>
      </c>
      <c r="L30" s="330">
        <f t="shared" si="7"/>
        <v>156.63959999999997</v>
      </c>
      <c r="M30" s="329">
        <f t="shared" si="8"/>
        <v>19.779999999999987</v>
      </c>
      <c r="N30" s="35">
        <f t="shared" si="9"/>
        <v>5.3523108561532598E-2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328">
        <v>4</v>
      </c>
      <c r="B31" s="30" t="s">
        <v>531</v>
      </c>
      <c r="C31" s="31">
        <v>2041.5400000000002</v>
      </c>
      <c r="D31" s="32">
        <v>111.18</v>
      </c>
      <c r="E31" s="32">
        <v>111.18</v>
      </c>
      <c r="F31" s="32">
        <v>7.01</v>
      </c>
      <c r="G31" s="31">
        <v>313.60000000000002</v>
      </c>
      <c r="H31" s="54">
        <f t="shared" si="5"/>
        <v>1.0630509084367692</v>
      </c>
      <c r="I31" s="31">
        <v>2198.34</v>
      </c>
      <c r="J31" s="32">
        <v>0.5</v>
      </c>
      <c r="K31" s="34">
        <f t="shared" si="6"/>
        <v>4.4972117287281881E-3</v>
      </c>
      <c r="L31" s="330">
        <f t="shared" si="7"/>
        <v>156.80000000000001</v>
      </c>
      <c r="M31" s="329">
        <f t="shared" si="8"/>
        <v>6.5100000000000051</v>
      </c>
      <c r="N31" s="35">
        <f t="shared" si="9"/>
        <v>5.8553696708041059E-2</v>
      </c>
      <c r="O31" s="55" t="s">
        <v>133</v>
      </c>
      <c r="P31" s="56" t="s">
        <v>25</v>
      </c>
      <c r="Q31" s="56" t="s">
        <v>136</v>
      </c>
      <c r="R31" s="37" t="s">
        <v>59</v>
      </c>
    </row>
    <row r="32" spans="1:18" s="53" customFormat="1" ht="24.95" customHeight="1" x14ac:dyDescent="0.25">
      <c r="A32" s="331">
        <v>5</v>
      </c>
      <c r="B32" s="30" t="s">
        <v>87</v>
      </c>
      <c r="C32" s="31">
        <v>1922.94</v>
      </c>
      <c r="D32" s="32">
        <v>242.91</v>
      </c>
      <c r="E32" s="32">
        <v>242.91</v>
      </c>
      <c r="F32" s="32">
        <v>10.71</v>
      </c>
      <c r="G32" s="31">
        <v>194.04</v>
      </c>
      <c r="H32" s="54">
        <f t="shared" si="5"/>
        <v>1.044090403853279</v>
      </c>
      <c r="I32" s="31">
        <v>2078.17</v>
      </c>
      <c r="J32" s="32">
        <v>0.8</v>
      </c>
      <c r="K32" s="34">
        <f t="shared" si="6"/>
        <v>3.2934008480507188E-3</v>
      </c>
      <c r="L32" s="330">
        <f t="shared" si="7"/>
        <v>155.232</v>
      </c>
      <c r="M32" s="329">
        <f t="shared" si="8"/>
        <v>9.9100000000000072</v>
      </c>
      <c r="N32" s="35">
        <f t="shared" si="9"/>
        <v>4.0797003005228302E-2</v>
      </c>
      <c r="O32" s="55" t="s">
        <v>133</v>
      </c>
      <c r="P32" s="56" t="s">
        <v>25</v>
      </c>
      <c r="Q32" s="56" t="s">
        <v>135</v>
      </c>
      <c r="R32" s="37" t="s">
        <v>88</v>
      </c>
    </row>
    <row r="33" spans="1:18" s="53" customFormat="1" ht="24.95" customHeight="1" x14ac:dyDescent="0.25">
      <c r="A33" s="328">
        <v>6</v>
      </c>
      <c r="B33" s="30" t="s">
        <v>68</v>
      </c>
      <c r="C33" s="31">
        <v>1868.34</v>
      </c>
      <c r="D33" s="32">
        <v>227.74</v>
      </c>
      <c r="E33" s="32">
        <v>227.74</v>
      </c>
      <c r="F33" s="32">
        <v>12.92</v>
      </c>
      <c r="G33" s="31">
        <v>156.74</v>
      </c>
      <c r="H33" s="54">
        <f t="shared" si="5"/>
        <v>1.0567313603231754</v>
      </c>
      <c r="I33" s="31">
        <v>2025.08</v>
      </c>
      <c r="J33" s="32">
        <v>1</v>
      </c>
      <c r="K33" s="34">
        <f t="shared" si="6"/>
        <v>4.3909721612364972E-3</v>
      </c>
      <c r="L33" s="330">
        <f t="shared" si="7"/>
        <v>156.74</v>
      </c>
      <c r="M33" s="329">
        <f t="shared" si="8"/>
        <v>11.919999999999987</v>
      </c>
      <c r="N33" s="35">
        <f t="shared" si="9"/>
        <v>5.2340388161938999E-2</v>
      </c>
      <c r="O33" s="55" t="s">
        <v>133</v>
      </c>
      <c r="P33" s="56" t="s">
        <v>25</v>
      </c>
      <c r="Q33" s="56" t="s">
        <v>136</v>
      </c>
      <c r="R33" s="37" t="s">
        <v>59</v>
      </c>
    </row>
    <row r="34" spans="1:18" s="53" customFormat="1" ht="24.95" customHeight="1" x14ac:dyDescent="0.25">
      <c r="A34" s="331">
        <v>7</v>
      </c>
      <c r="B34" s="30" t="s">
        <v>70</v>
      </c>
      <c r="C34" s="31">
        <v>1823.72</v>
      </c>
      <c r="D34" s="32">
        <v>38.51</v>
      </c>
      <c r="E34" s="32">
        <v>38.51</v>
      </c>
      <c r="F34" s="32">
        <v>2.4300000000000002</v>
      </c>
      <c r="G34" s="31">
        <v>814.16</v>
      </c>
      <c r="H34" s="54">
        <f t="shared" si="5"/>
        <v>1.0631004933783432</v>
      </c>
      <c r="I34" s="31">
        <v>1978.41</v>
      </c>
      <c r="J34" s="32">
        <v>0.19</v>
      </c>
      <c r="K34" s="34">
        <f t="shared" si="6"/>
        <v>4.9337834328745779E-3</v>
      </c>
      <c r="L34" s="330">
        <f t="shared" si="7"/>
        <v>154.69039999999998</v>
      </c>
      <c r="M34" s="329">
        <f t="shared" si="8"/>
        <v>2.2399999999999998</v>
      </c>
      <c r="N34" s="35">
        <f t="shared" si="9"/>
        <v>5.8166709945468707E-2</v>
      </c>
      <c r="O34" s="55" t="s">
        <v>133</v>
      </c>
      <c r="P34" s="56" t="s">
        <v>27</v>
      </c>
      <c r="Q34" s="56" t="s">
        <v>659</v>
      </c>
      <c r="R34" s="37" t="s">
        <v>71</v>
      </c>
    </row>
    <row r="35" spans="1:18" s="53" customFormat="1" ht="24.95" customHeight="1" x14ac:dyDescent="0.25">
      <c r="A35" s="328">
        <v>8</v>
      </c>
      <c r="B35" s="30" t="s">
        <v>62</v>
      </c>
      <c r="C35" s="31">
        <v>1493.4099999999999</v>
      </c>
      <c r="D35" s="32">
        <v>352</v>
      </c>
      <c r="E35" s="32">
        <v>352</v>
      </c>
      <c r="F35" s="32">
        <v>15.52</v>
      </c>
      <c r="G35" s="31">
        <v>111.2</v>
      </c>
      <c r="H35" s="54">
        <f t="shared" si="5"/>
        <v>1.044090909090909</v>
      </c>
      <c r="I35" s="31">
        <v>1725.82</v>
      </c>
      <c r="J35" s="32">
        <v>2.09</v>
      </c>
      <c r="K35" s="34">
        <f t="shared" si="6"/>
        <v>5.9374999999999992E-3</v>
      </c>
      <c r="L35" s="330">
        <f t="shared" si="7"/>
        <v>232.40799999999999</v>
      </c>
      <c r="M35" s="329">
        <f t="shared" si="8"/>
        <v>13.429999999999982</v>
      </c>
      <c r="N35" s="35">
        <f t="shared" si="9"/>
        <v>3.8153409090909036E-2</v>
      </c>
      <c r="O35" s="55" t="s">
        <v>133</v>
      </c>
      <c r="P35" s="56" t="s">
        <v>25</v>
      </c>
      <c r="Q35" s="56" t="s">
        <v>135</v>
      </c>
      <c r="R35" s="37" t="s">
        <v>63</v>
      </c>
    </row>
    <row r="36" spans="1:18" s="53" customFormat="1" ht="24.95" customHeight="1" x14ac:dyDescent="0.25">
      <c r="A36" s="331">
        <v>9</v>
      </c>
      <c r="B36" s="30" t="s">
        <v>183</v>
      </c>
      <c r="C36" s="31">
        <v>1447.87</v>
      </c>
      <c r="D36" s="32">
        <v>103.26</v>
      </c>
      <c r="E36" s="32">
        <v>103.26</v>
      </c>
      <c r="F36" s="32">
        <v>3.91</v>
      </c>
      <c r="G36" s="31">
        <v>410.16</v>
      </c>
      <c r="H36" s="54">
        <f t="shared" si="5"/>
        <v>1.0378655820259539</v>
      </c>
      <c r="I36" s="31">
        <v>1603.73</v>
      </c>
      <c r="J36" s="32">
        <v>0.38</v>
      </c>
      <c r="K36" s="34">
        <f t="shared" si="6"/>
        <v>3.6800309897346501E-3</v>
      </c>
      <c r="L36" s="330">
        <f t="shared" si="7"/>
        <v>155.86080000000001</v>
      </c>
      <c r="M36" s="329">
        <f t="shared" si="8"/>
        <v>3.5299999999999967</v>
      </c>
      <c r="N36" s="35">
        <f t="shared" si="9"/>
        <v>3.4185551036219217E-2</v>
      </c>
      <c r="O36" s="55" t="s">
        <v>133</v>
      </c>
      <c r="P36" s="56" t="s">
        <v>25</v>
      </c>
      <c r="Q36" s="56" t="s">
        <v>134</v>
      </c>
      <c r="R36" s="37" t="s">
        <v>59</v>
      </c>
    </row>
    <row r="37" spans="1:18" s="53" customFormat="1" ht="24.95" customHeight="1" thickBot="1" x14ac:dyDescent="0.3">
      <c r="A37" s="332">
        <v>10</v>
      </c>
      <c r="B37" s="40" t="s">
        <v>304</v>
      </c>
      <c r="C37" s="41">
        <v>1371.96</v>
      </c>
      <c r="D37" s="42">
        <v>95.28</v>
      </c>
      <c r="E37" s="42">
        <v>95.28</v>
      </c>
      <c r="F37" s="42">
        <v>4.8</v>
      </c>
      <c r="G37" s="41">
        <v>318.32</v>
      </c>
      <c r="H37" s="58">
        <f t="shared" si="5"/>
        <v>1.0503778337531486</v>
      </c>
      <c r="I37" s="41">
        <v>1527.94</v>
      </c>
      <c r="J37" s="42">
        <v>0.49</v>
      </c>
      <c r="K37" s="44">
        <f t="shared" si="6"/>
        <v>5.142737195633921E-3</v>
      </c>
      <c r="L37" s="334">
        <f t="shared" si="7"/>
        <v>155.9768</v>
      </c>
      <c r="M37" s="333">
        <f t="shared" si="8"/>
        <v>4.3099999999999969</v>
      </c>
      <c r="N37" s="45">
        <f t="shared" si="9"/>
        <v>4.5235096557514662E-2</v>
      </c>
      <c r="O37" s="59" t="s">
        <v>133</v>
      </c>
      <c r="P37" s="60" t="s">
        <v>27</v>
      </c>
      <c r="Q37" s="60" t="s">
        <v>659</v>
      </c>
      <c r="R37" s="61" t="s">
        <v>77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652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624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010" t="s">
        <v>630</v>
      </c>
      <c r="B41" s="623" t="s">
        <v>631</v>
      </c>
      <c r="C41" s="623"/>
      <c r="D41" s="624"/>
      <c r="E41" s="62"/>
      <c r="G41" s="64"/>
      <c r="H41" s="65"/>
    </row>
    <row r="42" spans="1:18" ht="20.45" customHeight="1" x14ac:dyDescent="0.35">
      <c r="A42" s="1010"/>
      <c r="B42" s="1011" t="s">
        <v>634</v>
      </c>
      <c r="C42" s="1012" t="s">
        <v>635</v>
      </c>
      <c r="D42" s="994" t="s">
        <v>653</v>
      </c>
      <c r="E42" s="62"/>
      <c r="G42" s="64"/>
      <c r="H42" s="65"/>
    </row>
    <row r="43" spans="1:18" ht="20.45" customHeight="1" x14ac:dyDescent="0.35">
      <c r="A43" s="1010"/>
      <c r="B43" s="1011"/>
      <c r="C43" s="1012"/>
      <c r="D43" s="994"/>
      <c r="E43" s="62"/>
      <c r="G43" s="64"/>
      <c r="H43" s="65"/>
    </row>
    <row r="44" spans="1:18" s="68" customFormat="1" ht="24.95" customHeight="1" x14ac:dyDescent="0.35">
      <c r="A44" s="338">
        <v>1</v>
      </c>
      <c r="B44" s="30" t="s">
        <v>58</v>
      </c>
      <c r="C44" s="31">
        <v>2308.52</v>
      </c>
      <c r="D44" s="66">
        <f t="shared" ref="D44:D53" si="10">C44/$L$5</f>
        <v>0.31511630605261037</v>
      </c>
      <c r="E44" s="67"/>
      <c r="G44" s="64"/>
      <c r="H44" s="65"/>
    </row>
    <row r="45" spans="1:18" s="68" customFormat="1" ht="24.95" customHeight="1" x14ac:dyDescent="0.35">
      <c r="A45" s="339">
        <v>2</v>
      </c>
      <c r="B45" s="30" t="s">
        <v>61</v>
      </c>
      <c r="C45" s="31">
        <v>1542.88</v>
      </c>
      <c r="D45" s="66">
        <f t="shared" si="10"/>
        <v>0.21060534293939473</v>
      </c>
      <c r="E45" s="67"/>
      <c r="G45" s="64"/>
      <c r="H45" s="65"/>
    </row>
    <row r="46" spans="1:18" s="68" customFormat="1" ht="24.95" customHeight="1" x14ac:dyDescent="0.35">
      <c r="A46" s="339">
        <v>3</v>
      </c>
      <c r="B46" s="30" t="s">
        <v>69</v>
      </c>
      <c r="C46" s="31">
        <v>471.59</v>
      </c>
      <c r="D46" s="66">
        <f t="shared" si="10"/>
        <v>6.4372714454001057E-2</v>
      </c>
      <c r="E46" s="67"/>
      <c r="G46" s="64"/>
      <c r="H46" s="65"/>
    </row>
    <row r="47" spans="1:18" s="68" customFormat="1" ht="24.95" customHeight="1" x14ac:dyDescent="0.35">
      <c r="A47" s="338">
        <v>4</v>
      </c>
      <c r="B47" s="30" t="s">
        <v>166</v>
      </c>
      <c r="C47" s="31">
        <v>268.70999999999998</v>
      </c>
      <c r="D47" s="66">
        <f t="shared" si="10"/>
        <v>3.667930215003419E-2</v>
      </c>
      <c r="E47" s="67"/>
      <c r="G47" s="64"/>
      <c r="H47" s="65"/>
    </row>
    <row r="48" spans="1:18" s="68" customFormat="1" ht="24.95" customHeight="1" x14ac:dyDescent="0.35">
      <c r="A48" s="339">
        <v>5</v>
      </c>
      <c r="B48" s="30" t="s">
        <v>254</v>
      </c>
      <c r="C48" s="31">
        <v>200.38</v>
      </c>
      <c r="D48" s="66">
        <f t="shared" si="10"/>
        <v>2.7352158702035098E-2</v>
      </c>
      <c r="E48" s="67"/>
      <c r="G48" s="64"/>
      <c r="H48" s="65"/>
    </row>
    <row r="49" spans="1:5" s="68" customFormat="1" ht="24.95" customHeight="1" x14ac:dyDescent="0.25">
      <c r="A49" s="338">
        <v>6</v>
      </c>
      <c r="B49" s="30" t="s">
        <v>60</v>
      </c>
      <c r="C49" s="31">
        <v>187.34</v>
      </c>
      <c r="D49" s="66">
        <f t="shared" si="10"/>
        <v>2.5572179914358995E-2</v>
      </c>
      <c r="E49" s="67"/>
    </row>
    <row r="50" spans="1:5" s="68" customFormat="1" ht="24.95" customHeight="1" x14ac:dyDescent="0.25">
      <c r="A50" s="339">
        <v>7</v>
      </c>
      <c r="B50" s="30" t="s">
        <v>226</v>
      </c>
      <c r="C50" s="31">
        <v>161.16999999999999</v>
      </c>
      <c r="D50" s="66">
        <f t="shared" si="10"/>
        <v>2.1999937209337243E-2</v>
      </c>
      <c r="E50" s="67"/>
    </row>
    <row r="51" spans="1:5" s="68" customFormat="1" ht="24.95" customHeight="1" x14ac:dyDescent="0.25">
      <c r="A51" s="338">
        <v>8</v>
      </c>
      <c r="B51" s="30" t="s">
        <v>531</v>
      </c>
      <c r="C51" s="31">
        <v>156.80000000000001</v>
      </c>
      <c r="D51" s="66">
        <f t="shared" si="10"/>
        <v>2.1403425913160513E-2</v>
      </c>
      <c r="E51" s="67"/>
    </row>
    <row r="52" spans="1:5" s="68" customFormat="1" ht="24.95" customHeight="1" x14ac:dyDescent="0.25">
      <c r="A52" s="339">
        <v>9</v>
      </c>
      <c r="B52" s="30" t="s">
        <v>68</v>
      </c>
      <c r="C52" s="31">
        <v>156.74</v>
      </c>
      <c r="D52" s="66">
        <f t="shared" si="10"/>
        <v>2.1395235826714151E-2</v>
      </c>
      <c r="E52" s="67"/>
    </row>
    <row r="53" spans="1:5" s="68" customFormat="1" ht="24.95" customHeight="1" thickBot="1" x14ac:dyDescent="0.3">
      <c r="A53" s="340">
        <v>10</v>
      </c>
      <c r="B53" s="40" t="s">
        <v>80</v>
      </c>
      <c r="C53" s="41">
        <v>156.72999999999999</v>
      </c>
      <c r="D53" s="69">
        <f t="shared" si="10"/>
        <v>2.1393870812306422E-2</v>
      </c>
      <c r="E53" s="67"/>
    </row>
    <row r="54" spans="1:5" x14ac:dyDescent="0.25">
      <c r="A54" s="614" t="s">
        <v>654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655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607" priority="33" operator="containsText" text="024">
      <formula>NOT(ISERROR(SEARCH("024",A12)))</formula>
    </cfRule>
    <cfRule type="containsText" dxfId="606" priority="34" operator="containsText" text="白醬">
      <formula>NOT(ISERROR(SEARCH("白醬",A12)))</formula>
    </cfRule>
    <cfRule type="containsText" dxfId="605" priority="35" operator="containsText" text="青蔥">
      <formula>NOT(ISERROR(SEARCH("青蔥",A12)))</formula>
    </cfRule>
    <cfRule type="containsText" dxfId="604" priority="36" operator="containsText" text=")川燙小青花菜">
      <formula>NOT(ISERROR(SEARCH(")川燙小青花菜",A12)))</formula>
    </cfRule>
    <cfRule type="containsText" dxfId="603" priority="37" operator="containsText" text="湯凍">
      <formula>NOT(ISERROR(SEARCH("湯凍",A12)))</formula>
    </cfRule>
    <cfRule type="containsText" dxfId="602" priority="38" operator="containsText" text="中華">
      <formula>NOT(ISERROR(SEARCH("中華",A12)))</formula>
    </cfRule>
  </conditionalFormatting>
  <conditionalFormatting sqref="A12:A22">
    <cfRule type="containsText" dxfId="601" priority="31" operator="containsText" text="綠豆芽">
      <formula>NOT(ISERROR(SEARCH("綠豆芽",A12)))</formula>
    </cfRule>
    <cfRule type="containsText" dxfId="600" priority="32" operator="containsText" text="煮白細麵生(方#12)">
      <formula>NOT(ISERROR(SEARCH("煮白細麵生(方#12)",A12)))</formula>
    </cfRule>
  </conditionalFormatting>
  <conditionalFormatting sqref="E5">
    <cfRule type="cellIs" dxfId="599" priority="16" operator="greaterThan">
      <formula>0.0025</formula>
    </cfRule>
    <cfRule type="cellIs" dxfId="598" priority="19" operator="greaterThan">
      <formula>0.0025</formula>
    </cfRule>
    <cfRule type="cellIs" dxfId="597" priority="29" operator="greaterThan">
      <formula>0.072</formula>
    </cfRule>
    <cfRule type="cellIs" dxfId="596" priority="30" operator="greaterThan">
      <formula>7.2</formula>
    </cfRule>
  </conditionalFormatting>
  <conditionalFormatting sqref="E5">
    <cfRule type="cellIs" dxfId="595" priority="28" operator="greaterThan">
      <formula>0.0025</formula>
    </cfRule>
  </conditionalFormatting>
  <conditionalFormatting sqref="A44:A53">
    <cfRule type="containsText" dxfId="594" priority="22" operator="containsText" text="024">
      <formula>NOT(ISERROR(SEARCH("024",A44)))</formula>
    </cfRule>
    <cfRule type="containsText" dxfId="593" priority="23" operator="containsText" text="白醬">
      <formula>NOT(ISERROR(SEARCH("白醬",A44)))</formula>
    </cfRule>
    <cfRule type="containsText" dxfId="592" priority="24" operator="containsText" text="青蔥">
      <formula>NOT(ISERROR(SEARCH("青蔥",A44)))</formula>
    </cfRule>
    <cfRule type="containsText" dxfId="591" priority="25" operator="containsText" text=")川燙小青花菜">
      <formula>NOT(ISERROR(SEARCH(")川燙小青花菜",A44)))</formula>
    </cfRule>
    <cfRule type="containsText" dxfId="590" priority="26" operator="containsText" text="湯凍">
      <formula>NOT(ISERROR(SEARCH("湯凍",A44)))</formula>
    </cfRule>
    <cfRule type="containsText" dxfId="589" priority="27" operator="containsText" text="中華">
      <formula>NOT(ISERROR(SEARCH("中華",A44)))</formula>
    </cfRule>
  </conditionalFormatting>
  <conditionalFormatting sqref="A44:A53">
    <cfRule type="containsText" dxfId="588" priority="20" operator="containsText" text="綠豆芽">
      <formula>NOT(ISERROR(SEARCH("綠豆芽",A44)))</formula>
    </cfRule>
    <cfRule type="containsText" dxfId="587" priority="21" operator="containsText" text="煮白細麵生(方#12)">
      <formula>NOT(ISERROR(SEARCH("煮白細麵生(方#12)",A44)))</formula>
    </cfRule>
  </conditionalFormatting>
  <conditionalFormatting sqref="D44:D53">
    <cfRule type="cellIs" dxfId="586" priority="18" operator="greaterThan">
      <formula>0.146</formula>
    </cfRule>
  </conditionalFormatting>
  <conditionalFormatting sqref="H12:H22">
    <cfRule type="cellIs" dxfId="585" priority="17" operator="greaterThan">
      <formula>1.1</formula>
    </cfRule>
  </conditionalFormatting>
  <conditionalFormatting sqref="I5">
    <cfRule type="cellIs" dxfId="584" priority="15" operator="greaterThan">
      <formula>0.2</formula>
    </cfRule>
  </conditionalFormatting>
  <conditionalFormatting sqref="A28:A37">
    <cfRule type="containsText" dxfId="583" priority="9" operator="containsText" text="024">
      <formula>NOT(ISERROR(SEARCH("024",A28)))</formula>
    </cfRule>
    <cfRule type="containsText" dxfId="582" priority="10" operator="containsText" text="白醬">
      <formula>NOT(ISERROR(SEARCH("白醬",A28)))</formula>
    </cfRule>
    <cfRule type="containsText" dxfId="581" priority="11" operator="containsText" text="青蔥">
      <formula>NOT(ISERROR(SEARCH("青蔥",A28)))</formula>
    </cfRule>
    <cfRule type="containsText" dxfId="580" priority="12" operator="containsText" text=")川燙小青花菜">
      <formula>NOT(ISERROR(SEARCH(")川燙小青花菜",A28)))</formula>
    </cfRule>
    <cfRule type="containsText" dxfId="579" priority="13" operator="containsText" text="湯凍">
      <formula>NOT(ISERROR(SEARCH("湯凍",A28)))</formula>
    </cfRule>
    <cfRule type="containsText" dxfId="578" priority="14" operator="containsText" text="中華">
      <formula>NOT(ISERROR(SEARCH("中華",A28)))</formula>
    </cfRule>
  </conditionalFormatting>
  <conditionalFormatting sqref="A28:A37">
    <cfRule type="containsText" dxfId="577" priority="7" operator="containsText" text="綠豆芽">
      <formula>NOT(ISERROR(SEARCH("綠豆芽",A28)))</formula>
    </cfRule>
    <cfRule type="containsText" dxfId="576" priority="8" operator="containsText" text="煮白細麵生(方#12)">
      <formula>NOT(ISERROR(SEARCH("煮白細麵生(方#12)",A28)))</formula>
    </cfRule>
  </conditionalFormatting>
  <conditionalFormatting sqref="H28:H37">
    <cfRule type="cellIs" dxfId="575" priority="6" operator="greaterThan">
      <formula>1.1</formula>
    </cfRule>
  </conditionalFormatting>
  <conditionalFormatting sqref="G5">
    <cfRule type="cellIs" dxfId="574" priority="1" operator="greaterThan">
      <formula>0.0025</formula>
    </cfRule>
    <cfRule type="cellIs" dxfId="573" priority="2" operator="greaterThan">
      <formula>0.0025</formula>
    </cfRule>
    <cfRule type="cellIs" dxfId="572" priority="4" operator="greaterThan">
      <formula>0.072</formula>
    </cfRule>
    <cfRule type="cellIs" dxfId="571" priority="5" operator="greaterThan">
      <formula>7.2</formula>
    </cfRule>
  </conditionalFormatting>
  <conditionalFormatting sqref="G5">
    <cfRule type="cellIs" dxfId="57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0" zoomScale="60" zoomScaleNormal="60" zoomScaleSheetLayoutView="70" workbookViewId="0">
      <selection activeCell="Q24" sqref="Q24:Q2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013" t="s">
        <v>31</v>
      </c>
      <c r="B2" s="1014"/>
      <c r="C2" s="305" t="s">
        <v>32</v>
      </c>
      <c r="D2" s="1015" t="s">
        <v>33</v>
      </c>
      <c r="E2" s="1015"/>
      <c r="F2" s="1015" t="s">
        <v>34</v>
      </c>
      <c r="G2" s="1015"/>
      <c r="H2" s="1015" t="s">
        <v>33</v>
      </c>
      <c r="I2" s="1015"/>
      <c r="J2" s="1015" t="s">
        <v>34</v>
      </c>
      <c r="K2" s="1015"/>
      <c r="L2" s="1015" t="s">
        <v>33</v>
      </c>
      <c r="M2" s="1016"/>
      <c r="R2" s="17"/>
    </row>
    <row r="3" spans="1:18" s="18" customFormat="1" ht="28.5" x14ac:dyDescent="0.45">
      <c r="A3" s="1023">
        <v>45915</v>
      </c>
      <c r="B3" s="1024"/>
      <c r="C3" s="1025">
        <v>6231365.4199999999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023"/>
      <c r="B4" s="1024"/>
      <c r="C4" s="102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017" t="s">
        <v>44</v>
      </c>
      <c r="B5" s="1018"/>
      <c r="C5" s="1018"/>
      <c r="D5" s="306">
        <v>15102.440000000002</v>
      </c>
      <c r="E5" s="22">
        <f>D5/C3</f>
        <v>2.4236164920657154E-3</v>
      </c>
      <c r="F5" s="306">
        <v>47950.77</v>
      </c>
      <c r="G5" s="23">
        <f>F5/C3</f>
        <v>7.6950662925494104E-3</v>
      </c>
      <c r="H5" s="24">
        <f>SUM(C12:C21)</f>
        <v>5807.3200000000006</v>
      </c>
      <c r="I5" s="25">
        <f>H5/D5</f>
        <v>0.38452859273071105</v>
      </c>
      <c r="J5" s="24">
        <f>SUM(C28:C37)</f>
        <v>26383.560000000005</v>
      </c>
      <c r="K5" s="26">
        <f>J5/F5</f>
        <v>0.55022182125542518</v>
      </c>
      <c r="L5" s="27">
        <v>6462.9900000000007</v>
      </c>
      <c r="M5" s="28">
        <f>L5/D5</f>
        <v>0.42794343165740101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128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112</v>
      </c>
      <c r="Q8" s="629" t="s">
        <v>113</v>
      </c>
      <c r="R8" s="1019" t="s">
        <v>114</v>
      </c>
    </row>
    <row r="9" spans="1:18" ht="20.45" customHeight="1" x14ac:dyDescent="0.25">
      <c r="A9" s="1020" t="s">
        <v>97</v>
      </c>
      <c r="B9" s="634" t="s">
        <v>98</v>
      </c>
      <c r="C9" s="635"/>
      <c r="D9" s="636" t="s">
        <v>151</v>
      </c>
      <c r="E9" s="636"/>
      <c r="F9" s="636"/>
      <c r="G9" s="636"/>
      <c r="H9" s="636"/>
      <c r="I9" s="636"/>
      <c r="J9" s="637" t="s">
        <v>99</v>
      </c>
      <c r="K9" s="637"/>
      <c r="L9" s="637"/>
      <c r="M9" s="638"/>
      <c r="N9" s="638"/>
      <c r="O9" s="629"/>
      <c r="P9" s="629"/>
      <c r="Q9" s="629"/>
      <c r="R9" s="1019"/>
    </row>
    <row r="10" spans="1:18" ht="20.45" customHeight="1" x14ac:dyDescent="0.3">
      <c r="A10" s="1021"/>
      <c r="B10" s="1026" t="s">
        <v>119</v>
      </c>
      <c r="C10" s="1028" t="s">
        <v>101</v>
      </c>
      <c r="D10" s="1030" t="s">
        <v>121</v>
      </c>
      <c r="E10" s="1030"/>
      <c r="F10" s="1030"/>
      <c r="G10" s="1030"/>
      <c r="H10" s="1030"/>
      <c r="I10" s="1030"/>
      <c r="J10" s="1031" t="s">
        <v>51</v>
      </c>
      <c r="K10" s="1032"/>
      <c r="L10" s="1033" t="s">
        <v>102</v>
      </c>
      <c r="M10" s="1031"/>
      <c r="N10" s="1031"/>
      <c r="O10" s="629"/>
      <c r="P10" s="629"/>
      <c r="Q10" s="629"/>
      <c r="R10" s="1019"/>
    </row>
    <row r="11" spans="1:18" s="29" customFormat="1" ht="47.25" customHeight="1" x14ac:dyDescent="0.25">
      <c r="A11" s="1022"/>
      <c r="B11" s="1027"/>
      <c r="C11" s="1029"/>
      <c r="D11" s="307" t="s">
        <v>103</v>
      </c>
      <c r="E11" s="307" t="s">
        <v>104</v>
      </c>
      <c r="F11" s="307" t="s">
        <v>53</v>
      </c>
      <c r="G11" s="307" t="s">
        <v>206</v>
      </c>
      <c r="H11" s="307" t="s">
        <v>125</v>
      </c>
      <c r="I11" s="307" t="s">
        <v>73</v>
      </c>
      <c r="J11" s="308" t="s">
        <v>56</v>
      </c>
      <c r="K11" s="308" t="s">
        <v>162</v>
      </c>
      <c r="L11" s="308" t="s">
        <v>56</v>
      </c>
      <c r="M11" s="308" t="s">
        <v>162</v>
      </c>
      <c r="N11" s="309" t="s">
        <v>126</v>
      </c>
      <c r="O11" s="629"/>
      <c r="P11" s="629"/>
      <c r="Q11" s="629"/>
      <c r="R11" s="1019"/>
    </row>
    <row r="12" spans="1:18" s="38" customFormat="1" ht="24.95" customHeight="1" x14ac:dyDescent="0.25">
      <c r="A12" s="310">
        <v>1</v>
      </c>
      <c r="B12" s="30" t="s">
        <v>58</v>
      </c>
      <c r="C12" s="31">
        <v>2016.89</v>
      </c>
      <c r="D12" s="32">
        <v>15515</v>
      </c>
      <c r="E12" s="32">
        <v>15515</v>
      </c>
      <c r="F12" s="32">
        <v>347.74</v>
      </c>
      <c r="G12" s="31">
        <v>5.8</v>
      </c>
      <c r="H12" s="33">
        <f t="shared" ref="H12:H21" si="0">(E12+F12)/D12</f>
        <v>1.022413148565904</v>
      </c>
      <c r="I12" s="31">
        <v>2016.89</v>
      </c>
      <c r="J12" s="32">
        <v>347.74</v>
      </c>
      <c r="K12" s="34">
        <f t="shared" ref="K12:K21" si="1">J12/D12</f>
        <v>2.2413148565903963E-2</v>
      </c>
      <c r="L12" s="311">
        <f t="shared" ref="L12:L21" si="2">((E12+F12)-D12)-J12</f>
        <v>0</v>
      </c>
      <c r="M12" s="35">
        <f t="shared" ref="M12:M21" si="3">L12/D12</f>
        <v>0</v>
      </c>
      <c r="N12" s="312">
        <f t="shared" ref="N12:N21" si="4">L12*G12</f>
        <v>0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313">
        <v>2</v>
      </c>
      <c r="B13" s="30" t="s">
        <v>61</v>
      </c>
      <c r="C13" s="31">
        <v>1368.71</v>
      </c>
      <c r="D13" s="32">
        <v>7529</v>
      </c>
      <c r="E13" s="32">
        <v>7529</v>
      </c>
      <c r="F13" s="32">
        <v>208.01</v>
      </c>
      <c r="G13" s="31">
        <v>6.58</v>
      </c>
      <c r="H13" s="33">
        <f t="shared" si="0"/>
        <v>1.0276278390224465</v>
      </c>
      <c r="I13" s="31">
        <v>1368.71</v>
      </c>
      <c r="J13" s="32">
        <v>208.01</v>
      </c>
      <c r="K13" s="34">
        <f t="shared" si="1"/>
        <v>2.7627839022446539E-2</v>
      </c>
      <c r="L13" s="311">
        <f t="shared" si="2"/>
        <v>2.2737367544323206E-13</v>
      </c>
      <c r="M13" s="35">
        <f t="shared" si="3"/>
        <v>3.019971781687237E-17</v>
      </c>
      <c r="N13" s="312">
        <f t="shared" si="4"/>
        <v>1.496118784416467E-12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313">
        <v>3</v>
      </c>
      <c r="B14" s="30" t="s">
        <v>87</v>
      </c>
      <c r="C14" s="31">
        <v>927.51</v>
      </c>
      <c r="D14" s="32">
        <v>241.2</v>
      </c>
      <c r="E14" s="32">
        <v>241.2</v>
      </c>
      <c r="F14" s="32">
        <v>10.44</v>
      </c>
      <c r="G14" s="31">
        <v>194.04</v>
      </c>
      <c r="H14" s="33">
        <f t="shared" si="0"/>
        <v>1.0432835820895523</v>
      </c>
      <c r="I14" s="31">
        <v>2025.78</v>
      </c>
      <c r="J14" s="32">
        <v>4.78</v>
      </c>
      <c r="K14" s="34">
        <f t="shared" si="1"/>
        <v>1.9817578772802654E-2</v>
      </c>
      <c r="L14" s="311">
        <f t="shared" si="2"/>
        <v>5.6599999999999975</v>
      </c>
      <c r="M14" s="35">
        <f t="shared" si="3"/>
        <v>2.3466003316749577E-2</v>
      </c>
      <c r="N14" s="312">
        <f t="shared" si="4"/>
        <v>1098.2663999999995</v>
      </c>
      <c r="O14" s="36" t="s">
        <v>139</v>
      </c>
      <c r="P14" s="36" t="s">
        <v>25</v>
      </c>
      <c r="Q14" s="36" t="s">
        <v>144</v>
      </c>
      <c r="R14" s="37" t="s">
        <v>88</v>
      </c>
    </row>
    <row r="15" spans="1:18" s="38" customFormat="1" ht="24.95" customHeight="1" x14ac:dyDescent="0.25">
      <c r="A15" s="310">
        <v>4</v>
      </c>
      <c r="B15" s="30" t="s">
        <v>166</v>
      </c>
      <c r="C15" s="31">
        <v>282.35000000000002</v>
      </c>
      <c r="D15" s="32">
        <v>6002</v>
      </c>
      <c r="E15" s="32">
        <v>6002</v>
      </c>
      <c r="F15" s="32">
        <v>64.17</v>
      </c>
      <c r="G15" s="31">
        <v>4.4000000000000004</v>
      </c>
      <c r="H15" s="33">
        <f t="shared" si="0"/>
        <v>1.0106914361879373</v>
      </c>
      <c r="I15" s="31">
        <v>282.35000000000002</v>
      </c>
      <c r="J15" s="32">
        <v>64.17</v>
      </c>
      <c r="K15" s="34">
        <f t="shared" si="1"/>
        <v>1.0691436187937355E-2</v>
      </c>
      <c r="L15" s="311">
        <f t="shared" si="2"/>
        <v>0</v>
      </c>
      <c r="M15" s="35">
        <f t="shared" si="3"/>
        <v>0</v>
      </c>
      <c r="N15" s="312">
        <f t="shared" si="4"/>
        <v>0</v>
      </c>
      <c r="O15" s="36" t="s">
        <v>139</v>
      </c>
      <c r="P15" s="36" t="s">
        <v>28</v>
      </c>
      <c r="Q15" s="36" t="s">
        <v>140</v>
      </c>
      <c r="R15" s="37" t="s">
        <v>59</v>
      </c>
    </row>
    <row r="16" spans="1:18" s="39" customFormat="1" ht="24.95" customHeight="1" x14ac:dyDescent="0.25">
      <c r="A16" s="313">
        <v>5</v>
      </c>
      <c r="B16" s="30" t="s">
        <v>614</v>
      </c>
      <c r="C16" s="31">
        <v>281.62</v>
      </c>
      <c r="D16" s="32">
        <v>44.56</v>
      </c>
      <c r="E16" s="32">
        <v>44.56</v>
      </c>
      <c r="F16" s="32">
        <v>2.0099999999999998</v>
      </c>
      <c r="G16" s="31">
        <v>278.83</v>
      </c>
      <c r="H16" s="33">
        <f t="shared" si="0"/>
        <v>1.0451077199281866</v>
      </c>
      <c r="I16" s="31">
        <v>560.45000000000005</v>
      </c>
      <c r="J16" s="32">
        <v>1.01</v>
      </c>
      <c r="K16" s="34">
        <f t="shared" si="1"/>
        <v>2.2666068222621183E-2</v>
      </c>
      <c r="L16" s="311">
        <f t="shared" si="2"/>
        <v>0.999999999999998</v>
      </c>
      <c r="M16" s="35">
        <f t="shared" si="3"/>
        <v>2.2441651705565484E-2</v>
      </c>
      <c r="N16" s="312">
        <f t="shared" si="4"/>
        <v>278.82999999999942</v>
      </c>
      <c r="O16" s="36" t="s">
        <v>139</v>
      </c>
      <c r="P16" s="36" t="s">
        <v>25</v>
      </c>
      <c r="Q16" s="36" t="s">
        <v>144</v>
      </c>
      <c r="R16" s="37" t="s">
        <v>615</v>
      </c>
    </row>
    <row r="17" spans="1:18" s="38" customFormat="1" ht="24.95" customHeight="1" x14ac:dyDescent="0.25">
      <c r="A17" s="310">
        <v>6</v>
      </c>
      <c r="B17" s="30" t="s">
        <v>616</v>
      </c>
      <c r="C17" s="31">
        <v>219</v>
      </c>
      <c r="D17" s="32">
        <v>36.270000000000003</v>
      </c>
      <c r="E17" s="32">
        <v>36.270000000000003</v>
      </c>
      <c r="F17" s="32">
        <v>1.63</v>
      </c>
      <c r="G17" s="31">
        <v>268.70999999999998</v>
      </c>
      <c r="H17" s="33">
        <f t="shared" si="0"/>
        <v>1.0449407223600773</v>
      </c>
      <c r="I17" s="31">
        <v>438</v>
      </c>
      <c r="J17" s="32">
        <v>0.81500000000000128</v>
      </c>
      <c r="K17" s="34">
        <f t="shared" si="1"/>
        <v>2.2470361180038631E-2</v>
      </c>
      <c r="L17" s="311">
        <f t="shared" si="2"/>
        <v>0.81500000000000128</v>
      </c>
      <c r="M17" s="35">
        <f t="shared" si="3"/>
        <v>2.2470361180038631E-2</v>
      </c>
      <c r="N17" s="312">
        <f t="shared" si="4"/>
        <v>218.99865000000034</v>
      </c>
      <c r="O17" s="36" t="s">
        <v>139</v>
      </c>
      <c r="P17" s="36" t="s">
        <v>25</v>
      </c>
      <c r="Q17" s="36" t="s">
        <v>144</v>
      </c>
      <c r="R17" s="37" t="s">
        <v>617</v>
      </c>
    </row>
    <row r="18" spans="1:18" s="39" customFormat="1" ht="24.95" customHeight="1" x14ac:dyDescent="0.25">
      <c r="A18" s="313">
        <v>7</v>
      </c>
      <c r="B18" s="30" t="s">
        <v>69</v>
      </c>
      <c r="C18" s="31">
        <v>196.7</v>
      </c>
      <c r="D18" s="32">
        <v>10173</v>
      </c>
      <c r="E18" s="32">
        <v>10173</v>
      </c>
      <c r="F18" s="32">
        <v>28.1</v>
      </c>
      <c r="G18" s="31">
        <v>7</v>
      </c>
      <c r="H18" s="33">
        <f t="shared" si="0"/>
        <v>1.0027622137029393</v>
      </c>
      <c r="I18" s="31">
        <v>196.7</v>
      </c>
      <c r="J18" s="32">
        <v>28.1</v>
      </c>
      <c r="K18" s="34">
        <f t="shared" si="1"/>
        <v>2.762213702939153E-3</v>
      </c>
      <c r="L18" s="311">
        <f t="shared" si="2"/>
        <v>3.6237679523765109E-13</v>
      </c>
      <c r="M18" s="35">
        <f t="shared" si="3"/>
        <v>3.562142880543115E-17</v>
      </c>
      <c r="N18" s="312">
        <f t="shared" si="4"/>
        <v>2.5366375666635577E-12</v>
      </c>
      <c r="O18" s="36" t="s">
        <v>142</v>
      </c>
      <c r="P18" s="36" t="s">
        <v>26</v>
      </c>
      <c r="Q18" s="36" t="s">
        <v>143</v>
      </c>
      <c r="R18" s="37" t="s">
        <v>59</v>
      </c>
    </row>
    <row r="19" spans="1:18" s="38" customFormat="1" ht="24.95" customHeight="1" x14ac:dyDescent="0.25">
      <c r="A19" s="310">
        <v>8</v>
      </c>
      <c r="B19" s="30" t="s">
        <v>60</v>
      </c>
      <c r="C19" s="31">
        <v>184.36</v>
      </c>
      <c r="D19" s="32">
        <v>263.51</v>
      </c>
      <c r="E19" s="32">
        <v>263.51</v>
      </c>
      <c r="F19" s="32">
        <v>9.2200000000000006</v>
      </c>
      <c r="G19" s="31">
        <v>99.12</v>
      </c>
      <c r="H19" s="33">
        <f t="shared" si="0"/>
        <v>1.0349891844711776</v>
      </c>
      <c r="I19" s="31">
        <v>913.89</v>
      </c>
      <c r="J19" s="32">
        <v>1.86</v>
      </c>
      <c r="K19" s="34">
        <f t="shared" si="1"/>
        <v>7.0585556525369067E-3</v>
      </c>
      <c r="L19" s="311">
        <f t="shared" si="2"/>
        <v>7.360000000000027</v>
      </c>
      <c r="M19" s="35">
        <f t="shared" si="3"/>
        <v>2.7930628818640762E-2</v>
      </c>
      <c r="N19" s="312">
        <f t="shared" si="4"/>
        <v>729.5232000000027</v>
      </c>
      <c r="O19" s="36" t="s">
        <v>139</v>
      </c>
      <c r="P19" s="36" t="s">
        <v>25</v>
      </c>
      <c r="Q19" s="36" t="s">
        <v>141</v>
      </c>
      <c r="R19" s="37" t="s">
        <v>59</v>
      </c>
    </row>
    <row r="20" spans="1:18" s="38" customFormat="1" ht="24.95" customHeight="1" x14ac:dyDescent="0.25">
      <c r="A20" s="313">
        <v>9</v>
      </c>
      <c r="B20" s="30" t="s">
        <v>254</v>
      </c>
      <c r="C20" s="31">
        <v>167.35</v>
      </c>
      <c r="D20" s="32">
        <v>120.63</v>
      </c>
      <c r="E20" s="32">
        <v>120.63</v>
      </c>
      <c r="F20" s="32">
        <v>4.22</v>
      </c>
      <c r="G20" s="31">
        <v>110.1</v>
      </c>
      <c r="H20" s="33">
        <f t="shared" si="0"/>
        <v>1.0349830058857663</v>
      </c>
      <c r="I20" s="31">
        <v>464.62</v>
      </c>
      <c r="J20" s="32">
        <v>1.52</v>
      </c>
      <c r="K20" s="34">
        <f t="shared" si="1"/>
        <v>1.260051396833292E-2</v>
      </c>
      <c r="L20" s="311">
        <f t="shared" si="2"/>
        <v>2.6999999999999988</v>
      </c>
      <c r="M20" s="35">
        <f t="shared" si="3"/>
        <v>2.2382491917433467E-2</v>
      </c>
      <c r="N20" s="312">
        <f t="shared" si="4"/>
        <v>297.26999999999987</v>
      </c>
      <c r="O20" s="36" t="s">
        <v>139</v>
      </c>
      <c r="P20" s="36" t="s">
        <v>25</v>
      </c>
      <c r="Q20" s="56" t="s">
        <v>134</v>
      </c>
      <c r="R20" s="37" t="s">
        <v>59</v>
      </c>
    </row>
    <row r="21" spans="1:18" s="38" customFormat="1" ht="24.95" customHeight="1" thickBot="1" x14ac:dyDescent="0.3">
      <c r="A21" s="314">
        <v>10</v>
      </c>
      <c r="B21" s="40" t="s">
        <v>70</v>
      </c>
      <c r="C21" s="41">
        <v>162.83000000000001</v>
      </c>
      <c r="D21" s="42">
        <v>41.72</v>
      </c>
      <c r="E21" s="42">
        <v>41.72</v>
      </c>
      <c r="F21" s="42">
        <v>2.09</v>
      </c>
      <c r="G21" s="41">
        <v>814.16</v>
      </c>
      <c r="H21" s="43">
        <f t="shared" si="0"/>
        <v>1.0500958772770854</v>
      </c>
      <c r="I21" s="41">
        <v>1701.59</v>
      </c>
      <c r="J21" s="42">
        <v>0.2</v>
      </c>
      <c r="K21" s="44">
        <f t="shared" si="1"/>
        <v>4.7938638542665392E-3</v>
      </c>
      <c r="L21" s="315">
        <f t="shared" si="2"/>
        <v>1.8900000000000035</v>
      </c>
      <c r="M21" s="45">
        <f t="shared" si="3"/>
        <v>4.5302013422818879E-2</v>
      </c>
      <c r="N21" s="316">
        <f t="shared" si="4"/>
        <v>1538.7624000000028</v>
      </c>
      <c r="O21" s="46" t="s">
        <v>712</v>
      </c>
      <c r="P21" s="46" t="s">
        <v>27</v>
      </c>
      <c r="Q21" s="46" t="s">
        <v>138</v>
      </c>
      <c r="R21" s="47" t="s">
        <v>71</v>
      </c>
    </row>
    <row r="22" spans="1:18" s="53" customFormat="1" ht="24.95" customHeight="1" thickBot="1" x14ac:dyDescent="0.3">
      <c r="A22" s="317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18"/>
      <c r="M22" s="51"/>
      <c r="N22" s="319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128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72</v>
      </c>
      <c r="P24" s="630" t="s">
        <v>112</v>
      </c>
      <c r="Q24" s="629" t="s">
        <v>113</v>
      </c>
      <c r="R24" s="1019" t="s">
        <v>114</v>
      </c>
    </row>
    <row r="25" spans="1:18" s="53" customFormat="1" ht="24.95" customHeight="1" x14ac:dyDescent="0.25">
      <c r="A25" s="1020" t="s">
        <v>97</v>
      </c>
      <c r="B25" s="634" t="s">
        <v>98</v>
      </c>
      <c r="C25" s="635"/>
      <c r="D25" s="636" t="s">
        <v>151</v>
      </c>
      <c r="E25" s="636"/>
      <c r="F25" s="636"/>
      <c r="G25" s="636"/>
      <c r="H25" s="636"/>
      <c r="I25" s="636"/>
      <c r="J25" s="637" t="s">
        <v>99</v>
      </c>
      <c r="K25" s="637"/>
      <c r="L25" s="637"/>
      <c r="M25" s="638"/>
      <c r="N25" s="638"/>
      <c r="O25" s="629"/>
      <c r="P25" s="629"/>
      <c r="Q25" s="629"/>
      <c r="R25" s="1019"/>
    </row>
    <row r="26" spans="1:18" s="53" customFormat="1" ht="24.95" customHeight="1" x14ac:dyDescent="0.3">
      <c r="A26" s="1021"/>
      <c r="B26" s="1026" t="s">
        <v>119</v>
      </c>
      <c r="C26" s="1028" t="s">
        <v>172</v>
      </c>
      <c r="D26" s="1030" t="s">
        <v>121</v>
      </c>
      <c r="E26" s="1030"/>
      <c r="F26" s="1030"/>
      <c r="G26" s="1030"/>
      <c r="H26" s="1030"/>
      <c r="I26" s="1030"/>
      <c r="J26" s="1031" t="s">
        <v>51</v>
      </c>
      <c r="K26" s="1034"/>
      <c r="L26" s="1032"/>
      <c r="M26" s="1031" t="s">
        <v>102</v>
      </c>
      <c r="N26" s="1032"/>
      <c r="O26" s="629"/>
      <c r="P26" s="629"/>
      <c r="Q26" s="629"/>
      <c r="R26" s="1019"/>
    </row>
    <row r="27" spans="1:18" s="53" customFormat="1" ht="50.1" customHeight="1" x14ac:dyDescent="0.25">
      <c r="A27" s="1022"/>
      <c r="B27" s="1027"/>
      <c r="C27" s="1029"/>
      <c r="D27" s="307" t="s">
        <v>103</v>
      </c>
      <c r="E27" s="307" t="s">
        <v>104</v>
      </c>
      <c r="F27" s="307" t="s">
        <v>53</v>
      </c>
      <c r="G27" s="307" t="s">
        <v>206</v>
      </c>
      <c r="H27" s="307" t="s">
        <v>125</v>
      </c>
      <c r="I27" s="307" t="s">
        <v>73</v>
      </c>
      <c r="J27" s="308" t="s">
        <v>56</v>
      </c>
      <c r="K27" s="308" t="s">
        <v>162</v>
      </c>
      <c r="L27" s="309" t="s">
        <v>126</v>
      </c>
      <c r="M27" s="308" t="s">
        <v>56</v>
      </c>
      <c r="N27" s="308" t="s">
        <v>162</v>
      </c>
      <c r="O27" s="629"/>
      <c r="P27" s="629"/>
      <c r="Q27" s="629"/>
      <c r="R27" s="1019"/>
    </row>
    <row r="28" spans="1:18" s="53" customFormat="1" ht="24.95" customHeight="1" x14ac:dyDescent="0.25">
      <c r="A28" s="310">
        <v>1</v>
      </c>
      <c r="B28" s="30" t="s">
        <v>607</v>
      </c>
      <c r="C28" s="31">
        <v>12425</v>
      </c>
      <c r="D28" s="32">
        <v>10431</v>
      </c>
      <c r="E28" s="32">
        <v>10431</v>
      </c>
      <c r="F28" s="32">
        <v>700</v>
      </c>
      <c r="G28" s="31">
        <v>17.75</v>
      </c>
      <c r="H28" s="54">
        <f t="shared" ref="H28:H37" si="5">(E28+F28)/D28</f>
        <v>1.0671076598600326</v>
      </c>
      <c r="I28" s="31">
        <v>12425</v>
      </c>
      <c r="J28" s="32">
        <v>0</v>
      </c>
      <c r="K28" s="34">
        <f t="shared" ref="K28:K37" si="6">J28/D28</f>
        <v>0</v>
      </c>
      <c r="L28" s="312">
        <f t="shared" ref="L28:L37" si="7">J28*G28</f>
        <v>0</v>
      </c>
      <c r="M28" s="311">
        <f t="shared" ref="M28:M37" si="8">((E28+F28)-D28)-J28</f>
        <v>700</v>
      </c>
      <c r="N28" s="35">
        <f t="shared" ref="N28:N37" si="9">M28/D28</f>
        <v>6.7107659860032601E-2</v>
      </c>
      <c r="O28" s="55" t="s">
        <v>142</v>
      </c>
      <c r="P28" s="56" t="s">
        <v>26</v>
      </c>
      <c r="Q28" s="56" t="s">
        <v>658</v>
      </c>
      <c r="R28" s="37" t="s">
        <v>608</v>
      </c>
    </row>
    <row r="29" spans="1:18" s="53" customFormat="1" ht="24.75" customHeight="1" x14ac:dyDescent="0.25">
      <c r="A29" s="313">
        <v>2</v>
      </c>
      <c r="B29" s="30" t="s">
        <v>80</v>
      </c>
      <c r="C29" s="31">
        <v>2413.65</v>
      </c>
      <c r="D29" s="32">
        <v>364.8</v>
      </c>
      <c r="E29" s="32">
        <v>364.8</v>
      </c>
      <c r="F29" s="32">
        <v>16.420000000000002</v>
      </c>
      <c r="G29" s="31">
        <v>156.72999999999999</v>
      </c>
      <c r="H29" s="54">
        <f t="shared" si="5"/>
        <v>1.0450109649122807</v>
      </c>
      <c r="I29" s="31">
        <v>2573.5100000000002</v>
      </c>
      <c r="J29" s="32">
        <v>1.02</v>
      </c>
      <c r="K29" s="34">
        <f t="shared" si="6"/>
        <v>2.7960526315789474E-3</v>
      </c>
      <c r="L29" s="312">
        <f t="shared" si="7"/>
        <v>159.8646</v>
      </c>
      <c r="M29" s="311">
        <f t="shared" si="8"/>
        <v>15.400000000000016</v>
      </c>
      <c r="N29" s="35">
        <f t="shared" si="9"/>
        <v>4.2214912280701795E-2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313">
        <v>3</v>
      </c>
      <c r="B30" s="30" t="s">
        <v>74</v>
      </c>
      <c r="C30" s="31">
        <v>2117.98</v>
      </c>
      <c r="D30" s="32">
        <v>378.14</v>
      </c>
      <c r="E30" s="32">
        <v>378.14</v>
      </c>
      <c r="F30" s="32">
        <v>17.02</v>
      </c>
      <c r="G30" s="31">
        <v>133.88</v>
      </c>
      <c r="H30" s="54">
        <f t="shared" si="5"/>
        <v>1.0450097847358122</v>
      </c>
      <c r="I30" s="31">
        <v>2278.64</v>
      </c>
      <c r="J30" s="57">
        <v>1.2</v>
      </c>
      <c r="K30" s="34">
        <f t="shared" si="6"/>
        <v>3.1734278309620777E-3</v>
      </c>
      <c r="L30" s="312">
        <f t="shared" si="7"/>
        <v>160.65599999999998</v>
      </c>
      <c r="M30" s="311">
        <f t="shared" si="8"/>
        <v>15.819999999999983</v>
      </c>
      <c r="N30" s="35">
        <f t="shared" si="9"/>
        <v>4.1836356904850013E-2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310">
        <v>4</v>
      </c>
      <c r="B31" s="30" t="s">
        <v>531</v>
      </c>
      <c r="C31" s="31">
        <v>1608.76</v>
      </c>
      <c r="D31" s="32">
        <v>112.94</v>
      </c>
      <c r="E31" s="32">
        <v>112.94</v>
      </c>
      <c r="F31" s="32">
        <v>5.64</v>
      </c>
      <c r="G31" s="31">
        <v>313.60000000000002</v>
      </c>
      <c r="H31" s="54">
        <f t="shared" si="5"/>
        <v>1.0499380201877102</v>
      </c>
      <c r="I31" s="31">
        <v>1768.7</v>
      </c>
      <c r="J31" s="32">
        <v>0.51</v>
      </c>
      <c r="K31" s="34">
        <f t="shared" si="6"/>
        <v>4.5156720382503986E-3</v>
      </c>
      <c r="L31" s="312">
        <f t="shared" si="7"/>
        <v>159.93600000000001</v>
      </c>
      <c r="M31" s="311">
        <f t="shared" si="8"/>
        <v>5.1300000000000008</v>
      </c>
      <c r="N31" s="35">
        <f t="shared" si="9"/>
        <v>4.5422348149459897E-2</v>
      </c>
      <c r="O31" s="55" t="s">
        <v>133</v>
      </c>
      <c r="P31" s="56" t="s">
        <v>25</v>
      </c>
      <c r="Q31" s="56" t="s">
        <v>136</v>
      </c>
      <c r="R31" s="37" t="s">
        <v>59</v>
      </c>
    </row>
    <row r="32" spans="1:18" s="53" customFormat="1" ht="24.95" customHeight="1" x14ac:dyDescent="0.25">
      <c r="A32" s="313">
        <v>5</v>
      </c>
      <c r="B32" s="30" t="s">
        <v>70</v>
      </c>
      <c r="C32" s="31">
        <v>1538.76</v>
      </c>
      <c r="D32" s="32">
        <v>41.72</v>
      </c>
      <c r="E32" s="32">
        <v>41.72</v>
      </c>
      <c r="F32" s="32">
        <v>2.09</v>
      </c>
      <c r="G32" s="31">
        <v>814.16</v>
      </c>
      <c r="H32" s="54">
        <f t="shared" si="5"/>
        <v>1.0500958772770854</v>
      </c>
      <c r="I32" s="31">
        <v>1701.59</v>
      </c>
      <c r="J32" s="32">
        <v>0.2</v>
      </c>
      <c r="K32" s="34">
        <f t="shared" si="6"/>
        <v>4.7938638542665392E-3</v>
      </c>
      <c r="L32" s="312">
        <f t="shared" si="7"/>
        <v>162.83199999999999</v>
      </c>
      <c r="M32" s="311">
        <f t="shared" si="8"/>
        <v>1.8900000000000035</v>
      </c>
      <c r="N32" s="35">
        <f t="shared" si="9"/>
        <v>4.5302013422818879E-2</v>
      </c>
      <c r="O32" s="55" t="s">
        <v>133</v>
      </c>
      <c r="P32" s="56" t="s">
        <v>27</v>
      </c>
      <c r="Q32" s="56" t="s">
        <v>659</v>
      </c>
      <c r="R32" s="37" t="s">
        <v>71</v>
      </c>
    </row>
    <row r="33" spans="1:18" s="53" customFormat="1" ht="24.95" customHeight="1" x14ac:dyDescent="0.25">
      <c r="A33" s="310">
        <v>6</v>
      </c>
      <c r="B33" s="30" t="s">
        <v>68</v>
      </c>
      <c r="C33" s="31">
        <v>1493.7399999999998</v>
      </c>
      <c r="D33" s="32">
        <v>234.48</v>
      </c>
      <c r="E33" s="32">
        <v>234.48</v>
      </c>
      <c r="F33" s="32">
        <v>10.55</v>
      </c>
      <c r="G33" s="31">
        <v>156.74</v>
      </c>
      <c r="H33" s="54">
        <f t="shared" si="5"/>
        <v>1.0449931763903104</v>
      </c>
      <c r="I33" s="31">
        <v>1653.61</v>
      </c>
      <c r="J33" s="32">
        <v>1.02</v>
      </c>
      <c r="K33" s="34">
        <f t="shared" si="6"/>
        <v>4.3500511770726714E-3</v>
      </c>
      <c r="L33" s="312">
        <f t="shared" si="7"/>
        <v>159.87480000000002</v>
      </c>
      <c r="M33" s="311">
        <f t="shared" si="8"/>
        <v>9.5300000000000118</v>
      </c>
      <c r="N33" s="35">
        <f t="shared" si="9"/>
        <v>4.0643125213237853E-2</v>
      </c>
      <c r="O33" s="55" t="s">
        <v>133</v>
      </c>
      <c r="P33" s="56" t="s">
        <v>25</v>
      </c>
      <c r="Q33" s="56" t="s">
        <v>136</v>
      </c>
      <c r="R33" s="37" t="s">
        <v>59</v>
      </c>
    </row>
    <row r="34" spans="1:18" s="53" customFormat="1" ht="24.95" customHeight="1" x14ac:dyDescent="0.25">
      <c r="A34" s="313">
        <v>7</v>
      </c>
      <c r="B34" s="30" t="s">
        <v>304</v>
      </c>
      <c r="C34" s="31">
        <v>1391.06</v>
      </c>
      <c r="D34" s="32">
        <v>96.75</v>
      </c>
      <c r="E34" s="32">
        <v>96.75</v>
      </c>
      <c r="F34" s="32">
        <v>4.87</v>
      </c>
      <c r="G34" s="31">
        <v>318.32</v>
      </c>
      <c r="H34" s="54">
        <f t="shared" si="5"/>
        <v>1.0503359173126616</v>
      </c>
      <c r="I34" s="31">
        <v>1550.22</v>
      </c>
      <c r="J34" s="32">
        <v>0.5</v>
      </c>
      <c r="K34" s="34">
        <f t="shared" si="6"/>
        <v>5.1679586563307496E-3</v>
      </c>
      <c r="L34" s="312">
        <f t="shared" si="7"/>
        <v>159.16</v>
      </c>
      <c r="M34" s="311">
        <f t="shared" si="8"/>
        <v>4.3700000000000045</v>
      </c>
      <c r="N34" s="35">
        <f t="shared" si="9"/>
        <v>4.5167958656330796E-2</v>
      </c>
      <c r="O34" s="55" t="s">
        <v>133</v>
      </c>
      <c r="P34" s="56" t="s">
        <v>27</v>
      </c>
      <c r="Q34" s="56" t="s">
        <v>659</v>
      </c>
      <c r="R34" s="37" t="s">
        <v>77</v>
      </c>
    </row>
    <row r="35" spans="1:18" s="53" customFormat="1" ht="24.95" customHeight="1" x14ac:dyDescent="0.25">
      <c r="A35" s="310">
        <v>8</v>
      </c>
      <c r="B35" s="30" t="s">
        <v>183</v>
      </c>
      <c r="C35" s="31">
        <v>1156.6499999999999</v>
      </c>
      <c r="D35" s="32">
        <v>106.96</v>
      </c>
      <c r="E35" s="32">
        <v>106.96</v>
      </c>
      <c r="F35" s="32">
        <v>3.21</v>
      </c>
      <c r="G35" s="31">
        <v>410.16</v>
      </c>
      <c r="H35" s="54">
        <f t="shared" si="5"/>
        <v>1.0300112191473447</v>
      </c>
      <c r="I35" s="31">
        <v>1316.61</v>
      </c>
      <c r="J35" s="32">
        <v>0.39</v>
      </c>
      <c r="K35" s="34">
        <f t="shared" si="6"/>
        <v>3.6462228870605836E-3</v>
      </c>
      <c r="L35" s="312">
        <f t="shared" si="7"/>
        <v>159.9624</v>
      </c>
      <c r="M35" s="311">
        <f t="shared" si="8"/>
        <v>2.8199999999999936</v>
      </c>
      <c r="N35" s="35">
        <f t="shared" si="9"/>
        <v>2.636499626028416E-2</v>
      </c>
      <c r="O35" s="55" t="s">
        <v>133</v>
      </c>
      <c r="P35" s="56" t="s">
        <v>25</v>
      </c>
      <c r="Q35" s="56" t="s">
        <v>134</v>
      </c>
      <c r="R35" s="37" t="s">
        <v>59</v>
      </c>
    </row>
    <row r="36" spans="1:18" s="53" customFormat="1" ht="24.95" customHeight="1" x14ac:dyDescent="0.25">
      <c r="A36" s="313">
        <v>9</v>
      </c>
      <c r="B36" s="30" t="s">
        <v>179</v>
      </c>
      <c r="C36" s="31">
        <v>1134.99</v>
      </c>
      <c r="D36" s="32">
        <v>172.84</v>
      </c>
      <c r="E36" s="32">
        <v>172.84</v>
      </c>
      <c r="F36" s="32">
        <v>7.78</v>
      </c>
      <c r="G36" s="31">
        <v>166.42</v>
      </c>
      <c r="H36" s="54">
        <f t="shared" si="5"/>
        <v>1.0450127285350614</v>
      </c>
      <c r="I36" s="31">
        <v>1294.75</v>
      </c>
      <c r="J36" s="32">
        <v>0.96</v>
      </c>
      <c r="K36" s="34">
        <f t="shared" si="6"/>
        <v>5.5542698449432999E-3</v>
      </c>
      <c r="L36" s="312">
        <f t="shared" si="7"/>
        <v>159.76319999999998</v>
      </c>
      <c r="M36" s="311">
        <f t="shared" si="8"/>
        <v>6.8200000000000012</v>
      </c>
      <c r="N36" s="35">
        <f t="shared" si="9"/>
        <v>3.9458458690118034E-2</v>
      </c>
      <c r="O36" s="55" t="s">
        <v>133</v>
      </c>
      <c r="P36" s="56" t="s">
        <v>25</v>
      </c>
      <c r="Q36" s="56" t="s">
        <v>135</v>
      </c>
      <c r="R36" s="37" t="s">
        <v>180</v>
      </c>
    </row>
    <row r="37" spans="1:18" s="53" customFormat="1" ht="24.95" customHeight="1" thickBot="1" x14ac:dyDescent="0.3">
      <c r="A37" s="314">
        <v>10</v>
      </c>
      <c r="B37" s="40" t="s">
        <v>92</v>
      </c>
      <c r="C37" s="41">
        <v>1102.97</v>
      </c>
      <c r="D37" s="42">
        <v>124.11</v>
      </c>
      <c r="E37" s="42">
        <v>124.11</v>
      </c>
      <c r="F37" s="42">
        <v>6.21</v>
      </c>
      <c r="G37" s="41">
        <v>203.5</v>
      </c>
      <c r="H37" s="58">
        <f t="shared" si="5"/>
        <v>1.0500362581580855</v>
      </c>
      <c r="I37" s="41">
        <v>1263.74</v>
      </c>
      <c r="J37" s="42">
        <v>0.79</v>
      </c>
      <c r="K37" s="44">
        <f t="shared" si="6"/>
        <v>6.3653210861332691E-3</v>
      </c>
      <c r="L37" s="316">
        <f t="shared" si="7"/>
        <v>160.76500000000001</v>
      </c>
      <c r="M37" s="315">
        <f t="shared" si="8"/>
        <v>5.4199999999999937</v>
      </c>
      <c r="N37" s="45">
        <f t="shared" si="9"/>
        <v>4.367093707195225E-2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128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035" t="s">
        <v>97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1035"/>
      <c r="B42" s="1036" t="s">
        <v>119</v>
      </c>
      <c r="C42" s="1037" t="s">
        <v>101</v>
      </c>
      <c r="D42" s="1019" t="s">
        <v>130</v>
      </c>
      <c r="E42" s="62"/>
      <c r="G42" s="64"/>
      <c r="H42" s="65"/>
    </row>
    <row r="43" spans="1:18" ht="20.45" customHeight="1" x14ac:dyDescent="0.35">
      <c r="A43" s="1035"/>
      <c r="B43" s="1036"/>
      <c r="C43" s="1037"/>
      <c r="D43" s="1019"/>
      <c r="E43" s="62"/>
      <c r="G43" s="64"/>
      <c r="H43" s="65"/>
    </row>
    <row r="44" spans="1:18" s="68" customFormat="1" ht="24.95" customHeight="1" x14ac:dyDescent="0.35">
      <c r="A44" s="320">
        <v>1</v>
      </c>
      <c r="B44" s="30" t="s">
        <v>58</v>
      </c>
      <c r="C44" s="31">
        <v>2016.89</v>
      </c>
      <c r="D44" s="66">
        <f t="shared" ref="D44:D53" si="10">C44/$L$5</f>
        <v>0.31206763433024032</v>
      </c>
      <c r="E44" s="67"/>
      <c r="G44" s="64"/>
      <c r="H44" s="65"/>
    </row>
    <row r="45" spans="1:18" s="68" customFormat="1" ht="24.95" customHeight="1" x14ac:dyDescent="0.35">
      <c r="A45" s="321">
        <v>2</v>
      </c>
      <c r="B45" s="30" t="s">
        <v>61</v>
      </c>
      <c r="C45" s="31">
        <v>1368.71</v>
      </c>
      <c r="D45" s="66">
        <f t="shared" si="10"/>
        <v>0.21177659256783624</v>
      </c>
      <c r="E45" s="67"/>
      <c r="G45" s="64"/>
      <c r="H45" s="65"/>
    </row>
    <row r="46" spans="1:18" s="68" customFormat="1" ht="24.95" customHeight="1" x14ac:dyDescent="0.35">
      <c r="A46" s="321">
        <v>3</v>
      </c>
      <c r="B46" s="30" t="s">
        <v>166</v>
      </c>
      <c r="C46" s="31">
        <v>282.35000000000002</v>
      </c>
      <c r="D46" s="66">
        <f t="shared" si="10"/>
        <v>4.3687209789896007E-2</v>
      </c>
      <c r="E46" s="67"/>
      <c r="G46" s="64"/>
      <c r="H46" s="65"/>
    </row>
    <row r="47" spans="1:18" s="68" customFormat="1" ht="24.95" customHeight="1" x14ac:dyDescent="0.35">
      <c r="A47" s="320">
        <v>4</v>
      </c>
      <c r="B47" s="30" t="s">
        <v>69</v>
      </c>
      <c r="C47" s="31">
        <v>196.7</v>
      </c>
      <c r="D47" s="66">
        <f t="shared" si="10"/>
        <v>3.0434829699566294E-2</v>
      </c>
      <c r="E47" s="67"/>
      <c r="G47" s="64"/>
      <c r="H47" s="65"/>
    </row>
    <row r="48" spans="1:18" s="68" customFormat="1" ht="24.95" customHeight="1" x14ac:dyDescent="0.35">
      <c r="A48" s="321">
        <v>5</v>
      </c>
      <c r="B48" s="30" t="s">
        <v>60</v>
      </c>
      <c r="C48" s="31">
        <v>184.36</v>
      </c>
      <c r="D48" s="66">
        <f t="shared" si="10"/>
        <v>2.8525496712821775E-2</v>
      </c>
      <c r="E48" s="67"/>
      <c r="G48" s="64"/>
      <c r="H48" s="65"/>
    </row>
    <row r="49" spans="1:5" s="68" customFormat="1" ht="24.95" customHeight="1" x14ac:dyDescent="0.25">
      <c r="A49" s="320">
        <v>6</v>
      </c>
      <c r="B49" s="30" t="s">
        <v>254</v>
      </c>
      <c r="C49" s="31">
        <v>167.35</v>
      </c>
      <c r="D49" s="66">
        <f t="shared" si="10"/>
        <v>2.5893587952325468E-2</v>
      </c>
      <c r="E49" s="67"/>
    </row>
    <row r="50" spans="1:5" s="68" customFormat="1" ht="24.95" customHeight="1" x14ac:dyDescent="0.25">
      <c r="A50" s="321">
        <v>7</v>
      </c>
      <c r="B50" s="30" t="s">
        <v>618</v>
      </c>
      <c r="C50" s="31">
        <v>161.72</v>
      </c>
      <c r="D50" s="66">
        <f t="shared" si="10"/>
        <v>2.5022474118016582E-2</v>
      </c>
      <c r="E50" s="67"/>
    </row>
    <row r="51" spans="1:5" s="68" customFormat="1" ht="24.95" customHeight="1" x14ac:dyDescent="0.25">
      <c r="A51" s="320">
        <v>8</v>
      </c>
      <c r="B51" s="30" t="s">
        <v>227</v>
      </c>
      <c r="C51" s="31">
        <v>161.26</v>
      </c>
      <c r="D51" s="66">
        <f t="shared" si="10"/>
        <v>2.4951299630666297E-2</v>
      </c>
      <c r="E51" s="67"/>
    </row>
    <row r="52" spans="1:5" s="68" customFormat="1" ht="24.95" customHeight="1" x14ac:dyDescent="0.25">
      <c r="A52" s="321">
        <v>9</v>
      </c>
      <c r="B52" s="30" t="s">
        <v>226</v>
      </c>
      <c r="C52" s="31">
        <v>161.16999999999999</v>
      </c>
      <c r="D52" s="66">
        <f t="shared" si="10"/>
        <v>2.4937374187489068E-2</v>
      </c>
      <c r="E52" s="67"/>
    </row>
    <row r="53" spans="1:5" s="68" customFormat="1" ht="24.95" customHeight="1" thickBot="1" x14ac:dyDescent="0.3">
      <c r="A53" s="322">
        <v>10</v>
      </c>
      <c r="B53" s="40" t="s">
        <v>92</v>
      </c>
      <c r="C53" s="41">
        <v>160.77000000000001</v>
      </c>
      <c r="D53" s="69">
        <f t="shared" si="10"/>
        <v>2.4875483328923607E-2</v>
      </c>
      <c r="E53" s="67"/>
    </row>
    <row r="54" spans="1:5" x14ac:dyDescent="0.25">
      <c r="A54" s="614" t="s">
        <v>131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132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569" priority="33" operator="containsText" text="024">
      <formula>NOT(ISERROR(SEARCH("024",A12)))</formula>
    </cfRule>
    <cfRule type="containsText" dxfId="568" priority="34" operator="containsText" text="白醬">
      <formula>NOT(ISERROR(SEARCH("白醬",A12)))</formula>
    </cfRule>
    <cfRule type="containsText" dxfId="567" priority="35" operator="containsText" text="青蔥">
      <formula>NOT(ISERROR(SEARCH("青蔥",A12)))</formula>
    </cfRule>
    <cfRule type="containsText" dxfId="566" priority="36" operator="containsText" text=")川燙小青花菜">
      <formula>NOT(ISERROR(SEARCH(")川燙小青花菜",A12)))</formula>
    </cfRule>
    <cfRule type="containsText" dxfId="565" priority="37" operator="containsText" text="湯凍">
      <formula>NOT(ISERROR(SEARCH("湯凍",A12)))</formula>
    </cfRule>
    <cfRule type="containsText" dxfId="564" priority="38" operator="containsText" text="中華">
      <formula>NOT(ISERROR(SEARCH("中華",A12)))</formula>
    </cfRule>
  </conditionalFormatting>
  <conditionalFormatting sqref="A12:A22">
    <cfRule type="containsText" dxfId="563" priority="31" operator="containsText" text="綠豆芽">
      <formula>NOT(ISERROR(SEARCH("綠豆芽",A12)))</formula>
    </cfRule>
    <cfRule type="containsText" dxfId="562" priority="32" operator="containsText" text="煮白細麵生(方#12)">
      <formula>NOT(ISERROR(SEARCH("煮白細麵生(方#12)",A12)))</formula>
    </cfRule>
  </conditionalFormatting>
  <conditionalFormatting sqref="E5">
    <cfRule type="cellIs" dxfId="561" priority="16" operator="greaterThan">
      <formula>0.0025</formula>
    </cfRule>
    <cfRule type="cellIs" dxfId="560" priority="19" operator="greaterThan">
      <formula>0.0025</formula>
    </cfRule>
    <cfRule type="cellIs" dxfId="559" priority="29" operator="greaterThan">
      <formula>0.072</formula>
    </cfRule>
    <cfRule type="cellIs" dxfId="558" priority="30" operator="greaterThan">
      <formula>7.2</formula>
    </cfRule>
  </conditionalFormatting>
  <conditionalFormatting sqref="E5">
    <cfRule type="cellIs" dxfId="557" priority="28" operator="greaterThan">
      <formula>0.0025</formula>
    </cfRule>
  </conditionalFormatting>
  <conditionalFormatting sqref="A44:A53">
    <cfRule type="containsText" dxfId="556" priority="22" operator="containsText" text="024">
      <formula>NOT(ISERROR(SEARCH("024",A44)))</formula>
    </cfRule>
    <cfRule type="containsText" dxfId="555" priority="23" operator="containsText" text="白醬">
      <formula>NOT(ISERROR(SEARCH("白醬",A44)))</formula>
    </cfRule>
    <cfRule type="containsText" dxfId="554" priority="24" operator="containsText" text="青蔥">
      <formula>NOT(ISERROR(SEARCH("青蔥",A44)))</formula>
    </cfRule>
    <cfRule type="containsText" dxfId="553" priority="25" operator="containsText" text=")川燙小青花菜">
      <formula>NOT(ISERROR(SEARCH(")川燙小青花菜",A44)))</formula>
    </cfRule>
    <cfRule type="containsText" dxfId="552" priority="26" operator="containsText" text="湯凍">
      <formula>NOT(ISERROR(SEARCH("湯凍",A44)))</formula>
    </cfRule>
    <cfRule type="containsText" dxfId="551" priority="27" operator="containsText" text="中華">
      <formula>NOT(ISERROR(SEARCH("中華",A44)))</formula>
    </cfRule>
  </conditionalFormatting>
  <conditionalFormatting sqref="A44:A53">
    <cfRule type="containsText" dxfId="550" priority="20" operator="containsText" text="綠豆芽">
      <formula>NOT(ISERROR(SEARCH("綠豆芽",A44)))</formula>
    </cfRule>
    <cfRule type="containsText" dxfId="549" priority="21" operator="containsText" text="煮白細麵生(方#12)">
      <formula>NOT(ISERROR(SEARCH("煮白細麵生(方#12)",A44)))</formula>
    </cfRule>
  </conditionalFormatting>
  <conditionalFormatting sqref="D44:D53">
    <cfRule type="cellIs" dxfId="548" priority="18" operator="greaterThan">
      <formula>0.146</formula>
    </cfRule>
  </conditionalFormatting>
  <conditionalFormatting sqref="H12:H22">
    <cfRule type="cellIs" dxfId="547" priority="17" operator="greaterThan">
      <formula>1.1</formula>
    </cfRule>
  </conditionalFormatting>
  <conditionalFormatting sqref="I5">
    <cfRule type="cellIs" dxfId="546" priority="15" operator="greaterThan">
      <formula>0.2</formula>
    </cfRule>
  </conditionalFormatting>
  <conditionalFormatting sqref="A28:A37">
    <cfRule type="containsText" dxfId="545" priority="9" operator="containsText" text="024">
      <formula>NOT(ISERROR(SEARCH("024",A28)))</formula>
    </cfRule>
    <cfRule type="containsText" dxfId="544" priority="10" operator="containsText" text="白醬">
      <formula>NOT(ISERROR(SEARCH("白醬",A28)))</formula>
    </cfRule>
    <cfRule type="containsText" dxfId="543" priority="11" operator="containsText" text="青蔥">
      <formula>NOT(ISERROR(SEARCH("青蔥",A28)))</formula>
    </cfRule>
    <cfRule type="containsText" dxfId="542" priority="12" operator="containsText" text=")川燙小青花菜">
      <formula>NOT(ISERROR(SEARCH(")川燙小青花菜",A28)))</formula>
    </cfRule>
    <cfRule type="containsText" dxfId="541" priority="13" operator="containsText" text="湯凍">
      <formula>NOT(ISERROR(SEARCH("湯凍",A28)))</formula>
    </cfRule>
    <cfRule type="containsText" dxfId="540" priority="14" operator="containsText" text="中華">
      <formula>NOT(ISERROR(SEARCH("中華",A28)))</formula>
    </cfRule>
  </conditionalFormatting>
  <conditionalFormatting sqref="A28:A37">
    <cfRule type="containsText" dxfId="539" priority="7" operator="containsText" text="綠豆芽">
      <formula>NOT(ISERROR(SEARCH("綠豆芽",A28)))</formula>
    </cfRule>
    <cfRule type="containsText" dxfId="538" priority="8" operator="containsText" text="煮白細麵生(方#12)">
      <formula>NOT(ISERROR(SEARCH("煮白細麵生(方#12)",A28)))</formula>
    </cfRule>
  </conditionalFormatting>
  <conditionalFormatting sqref="H28:H37">
    <cfRule type="cellIs" dxfId="537" priority="6" operator="greaterThan">
      <formula>1.1</formula>
    </cfRule>
  </conditionalFormatting>
  <conditionalFormatting sqref="G5">
    <cfRule type="cellIs" dxfId="536" priority="1" operator="greaterThan">
      <formula>0.0025</formula>
    </cfRule>
    <cfRule type="cellIs" dxfId="535" priority="2" operator="greaterThan">
      <formula>0.0025</formula>
    </cfRule>
    <cfRule type="cellIs" dxfId="534" priority="4" operator="greaterThan">
      <formula>0.072</formula>
    </cfRule>
    <cfRule type="cellIs" dxfId="533" priority="5" operator="greaterThan">
      <formula>7.2</formula>
    </cfRule>
  </conditionalFormatting>
  <conditionalFormatting sqref="G5">
    <cfRule type="cellIs" dxfId="53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60" zoomScaleNormal="60" zoomScaleSheetLayoutView="70" workbookViewId="0">
      <selection activeCell="O12" sqref="O12:R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013" t="s">
        <v>31</v>
      </c>
      <c r="B2" s="1014"/>
      <c r="C2" s="305" t="s">
        <v>32</v>
      </c>
      <c r="D2" s="1015" t="s">
        <v>33</v>
      </c>
      <c r="E2" s="1015"/>
      <c r="F2" s="1015" t="s">
        <v>34</v>
      </c>
      <c r="G2" s="1015"/>
      <c r="H2" s="1015" t="s">
        <v>33</v>
      </c>
      <c r="I2" s="1015"/>
      <c r="J2" s="1015" t="s">
        <v>34</v>
      </c>
      <c r="K2" s="1015"/>
      <c r="L2" s="1015" t="s">
        <v>33</v>
      </c>
      <c r="M2" s="1016"/>
      <c r="R2" s="17"/>
    </row>
    <row r="3" spans="1:18" s="18" customFormat="1" ht="28.5" x14ac:dyDescent="0.45">
      <c r="A3" s="1023">
        <v>45914</v>
      </c>
      <c r="B3" s="1024"/>
      <c r="C3" s="1025">
        <v>6253868.8200000003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023"/>
      <c r="B4" s="1024"/>
      <c r="C4" s="102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017" t="s">
        <v>44</v>
      </c>
      <c r="B5" s="1018"/>
      <c r="C5" s="1018"/>
      <c r="D5" s="306">
        <v>15093.100000000002</v>
      </c>
      <c r="E5" s="22">
        <f>D5/C3</f>
        <v>2.4134020770841817E-3</v>
      </c>
      <c r="F5" s="306">
        <v>47716.809999999983</v>
      </c>
      <c r="G5" s="23">
        <f>F5/C3</f>
        <v>7.6299665652404874E-3</v>
      </c>
      <c r="H5" s="24">
        <f>SUM(C12:C21)</f>
        <v>5946.23</v>
      </c>
      <c r="I5" s="25">
        <f>H5/D5</f>
        <v>0.39397009229382957</v>
      </c>
      <c r="J5" s="24">
        <f>SUM(C28:C37)</f>
        <v>24315.37</v>
      </c>
      <c r="K5" s="26">
        <f>J5/F5</f>
        <v>0.50957660413594308</v>
      </c>
      <c r="L5" s="27">
        <v>5278.0000000000009</v>
      </c>
      <c r="M5" s="28">
        <f>L5/D5</f>
        <v>0.34969621880196911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591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112</v>
      </c>
      <c r="Q8" s="629" t="s">
        <v>592</v>
      </c>
      <c r="R8" s="1019" t="s">
        <v>593</v>
      </c>
    </row>
    <row r="9" spans="1:18" ht="20.45" customHeight="1" x14ac:dyDescent="0.25">
      <c r="A9" s="1020" t="s">
        <v>97</v>
      </c>
      <c r="B9" s="634" t="s">
        <v>98</v>
      </c>
      <c r="C9" s="635"/>
      <c r="D9" s="636" t="s">
        <v>151</v>
      </c>
      <c r="E9" s="636"/>
      <c r="F9" s="636"/>
      <c r="G9" s="636"/>
      <c r="H9" s="636"/>
      <c r="I9" s="636"/>
      <c r="J9" s="637" t="s">
        <v>594</v>
      </c>
      <c r="K9" s="637"/>
      <c r="L9" s="637"/>
      <c r="M9" s="638"/>
      <c r="N9" s="638"/>
      <c r="O9" s="629"/>
      <c r="P9" s="629"/>
      <c r="Q9" s="629"/>
      <c r="R9" s="1019"/>
    </row>
    <row r="10" spans="1:18" ht="20.45" customHeight="1" x14ac:dyDescent="0.3">
      <c r="A10" s="1021"/>
      <c r="B10" s="1026" t="s">
        <v>119</v>
      </c>
      <c r="C10" s="1028" t="s">
        <v>101</v>
      </c>
      <c r="D10" s="1030" t="s">
        <v>121</v>
      </c>
      <c r="E10" s="1030"/>
      <c r="F10" s="1030"/>
      <c r="G10" s="1030"/>
      <c r="H10" s="1030"/>
      <c r="I10" s="1030"/>
      <c r="J10" s="1031" t="s">
        <v>595</v>
      </c>
      <c r="K10" s="1032"/>
      <c r="L10" s="1033" t="s">
        <v>596</v>
      </c>
      <c r="M10" s="1031"/>
      <c r="N10" s="1031"/>
      <c r="O10" s="629"/>
      <c r="P10" s="629"/>
      <c r="Q10" s="629"/>
      <c r="R10" s="1019"/>
    </row>
    <row r="11" spans="1:18" s="29" customFormat="1" ht="47.25" customHeight="1" x14ac:dyDescent="0.25">
      <c r="A11" s="1022"/>
      <c r="B11" s="1027"/>
      <c r="C11" s="1029"/>
      <c r="D11" s="307" t="s">
        <v>103</v>
      </c>
      <c r="E11" s="307" t="s">
        <v>104</v>
      </c>
      <c r="F11" s="307" t="s">
        <v>597</v>
      </c>
      <c r="G11" s="307" t="s">
        <v>206</v>
      </c>
      <c r="H11" s="307" t="s">
        <v>598</v>
      </c>
      <c r="I11" s="307" t="s">
        <v>599</v>
      </c>
      <c r="J11" s="308" t="s">
        <v>600</v>
      </c>
      <c r="K11" s="308" t="s">
        <v>162</v>
      </c>
      <c r="L11" s="308" t="s">
        <v>600</v>
      </c>
      <c r="M11" s="308" t="s">
        <v>601</v>
      </c>
      <c r="N11" s="309" t="s">
        <v>602</v>
      </c>
      <c r="O11" s="629"/>
      <c r="P11" s="629"/>
      <c r="Q11" s="629"/>
      <c r="R11" s="1019"/>
    </row>
    <row r="12" spans="1:18" s="38" customFormat="1" ht="24.95" customHeight="1" x14ac:dyDescent="0.25">
      <c r="A12" s="310">
        <v>1</v>
      </c>
      <c r="B12" s="30" t="s">
        <v>87</v>
      </c>
      <c r="C12" s="31">
        <v>1245.74</v>
      </c>
      <c r="D12" s="32">
        <v>233.91</v>
      </c>
      <c r="E12" s="32">
        <v>233.91</v>
      </c>
      <c r="F12" s="32">
        <v>15.88</v>
      </c>
      <c r="G12" s="31">
        <v>194.04</v>
      </c>
      <c r="H12" s="33">
        <f t="shared" ref="H12:H21" si="0">(E12+F12)/D12</f>
        <v>1.0678893591552305</v>
      </c>
      <c r="I12" s="31">
        <v>3081.36</v>
      </c>
      <c r="J12" s="32">
        <v>6.42</v>
      </c>
      <c r="K12" s="34">
        <f t="shared" ref="K12:K21" si="1">J12/D12</f>
        <v>2.7446453764268307E-2</v>
      </c>
      <c r="L12" s="311">
        <f t="shared" ref="L12:L21" si="2">((E12+F12)-D12)-J12</f>
        <v>9.4599999999999955</v>
      </c>
      <c r="M12" s="35">
        <f t="shared" ref="M12:M21" si="3">L12/D12</f>
        <v>4.0442905390962319E-2</v>
      </c>
      <c r="N12" s="312">
        <f t="shared" ref="N12:N21" si="4">L12*G12</f>
        <v>1835.6183999999992</v>
      </c>
      <c r="O12" s="36" t="s">
        <v>139</v>
      </c>
      <c r="P12" s="36" t="s">
        <v>25</v>
      </c>
      <c r="Q12" s="36" t="s">
        <v>144</v>
      </c>
      <c r="R12" s="37" t="s">
        <v>88</v>
      </c>
    </row>
    <row r="13" spans="1:18" s="38" customFormat="1" ht="24.95" customHeight="1" x14ac:dyDescent="0.25">
      <c r="A13" s="313">
        <v>2</v>
      </c>
      <c r="B13" s="30" t="s">
        <v>61</v>
      </c>
      <c r="C13" s="31">
        <v>982.85</v>
      </c>
      <c r="D13" s="32">
        <v>7469</v>
      </c>
      <c r="E13" s="32">
        <v>7469</v>
      </c>
      <c r="F13" s="32">
        <v>149.37</v>
      </c>
      <c r="G13" s="31">
        <v>6.58</v>
      </c>
      <c r="H13" s="33">
        <f t="shared" si="0"/>
        <v>1.0199986611326817</v>
      </c>
      <c r="I13" s="31">
        <v>982.85</v>
      </c>
      <c r="J13" s="32">
        <v>149.37</v>
      </c>
      <c r="K13" s="34">
        <f t="shared" si="1"/>
        <v>1.9998661132681752E-2</v>
      </c>
      <c r="L13" s="311">
        <f t="shared" si="2"/>
        <v>0</v>
      </c>
      <c r="M13" s="35">
        <f t="shared" si="3"/>
        <v>0</v>
      </c>
      <c r="N13" s="312">
        <f t="shared" si="4"/>
        <v>0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313">
        <v>3</v>
      </c>
      <c r="B14" s="30" t="s">
        <v>69</v>
      </c>
      <c r="C14" s="31">
        <v>733.53</v>
      </c>
      <c r="D14" s="32">
        <v>10392</v>
      </c>
      <c r="E14" s="32">
        <v>10392</v>
      </c>
      <c r="F14" s="32">
        <v>104.79</v>
      </c>
      <c r="G14" s="31">
        <v>7</v>
      </c>
      <c r="H14" s="33">
        <f t="shared" si="0"/>
        <v>1.0100837182448037</v>
      </c>
      <c r="I14" s="31">
        <v>733.53</v>
      </c>
      <c r="J14" s="32">
        <v>104.79</v>
      </c>
      <c r="K14" s="34">
        <f t="shared" si="1"/>
        <v>1.0083718244803697E-2</v>
      </c>
      <c r="L14" s="311">
        <f t="shared" si="2"/>
        <v>8.6686213762732223E-13</v>
      </c>
      <c r="M14" s="35">
        <f t="shared" si="3"/>
        <v>8.3416294998780048E-17</v>
      </c>
      <c r="N14" s="312">
        <f t="shared" si="4"/>
        <v>6.0680349633912556E-12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310">
        <v>4</v>
      </c>
      <c r="B15" s="30" t="s">
        <v>58</v>
      </c>
      <c r="C15" s="31">
        <v>641.71</v>
      </c>
      <c r="D15" s="32">
        <v>15352</v>
      </c>
      <c r="E15" s="32">
        <v>15352</v>
      </c>
      <c r="F15" s="32">
        <v>110.64</v>
      </c>
      <c r="G15" s="31">
        <v>5.8</v>
      </c>
      <c r="H15" s="33">
        <f t="shared" si="0"/>
        <v>1.0072068785825952</v>
      </c>
      <c r="I15" s="31">
        <v>641.71</v>
      </c>
      <c r="J15" s="32">
        <v>110.64</v>
      </c>
      <c r="K15" s="34">
        <f t="shared" si="1"/>
        <v>7.2068785825951014E-3</v>
      </c>
      <c r="L15" s="311">
        <f t="shared" si="2"/>
        <v>-5.8264504332328215E-13</v>
      </c>
      <c r="M15" s="35">
        <f t="shared" si="3"/>
        <v>-3.7952386876190866E-17</v>
      </c>
      <c r="N15" s="312">
        <f t="shared" si="4"/>
        <v>-3.3793412512750362E-12</v>
      </c>
      <c r="O15" s="36" t="s">
        <v>139</v>
      </c>
      <c r="P15" s="36" t="s">
        <v>28</v>
      </c>
      <c r="Q15" s="36" t="s">
        <v>140</v>
      </c>
      <c r="R15" s="37" t="s">
        <v>59</v>
      </c>
    </row>
    <row r="16" spans="1:18" s="39" customFormat="1" ht="24.95" customHeight="1" x14ac:dyDescent="0.25">
      <c r="A16" s="313">
        <v>5</v>
      </c>
      <c r="B16" s="30" t="s">
        <v>218</v>
      </c>
      <c r="C16" s="31">
        <v>629.63</v>
      </c>
      <c r="D16" s="32">
        <v>209.5</v>
      </c>
      <c r="E16" s="32">
        <v>209.5</v>
      </c>
      <c r="F16" s="32">
        <v>14.23</v>
      </c>
      <c r="G16" s="31">
        <v>147.80000000000001</v>
      </c>
      <c r="H16" s="33">
        <f t="shared" si="0"/>
        <v>1.0679236276849642</v>
      </c>
      <c r="I16" s="31">
        <v>2103.19</v>
      </c>
      <c r="J16" s="32">
        <v>4.26</v>
      </c>
      <c r="K16" s="34">
        <f t="shared" si="1"/>
        <v>2.0334128878281621E-2</v>
      </c>
      <c r="L16" s="311">
        <f t="shared" si="2"/>
        <v>9.96999999999999</v>
      </c>
      <c r="M16" s="35">
        <f t="shared" si="3"/>
        <v>4.7589498806682527E-2</v>
      </c>
      <c r="N16" s="312">
        <f t="shared" si="4"/>
        <v>1473.5659999999987</v>
      </c>
      <c r="O16" s="36" t="s">
        <v>139</v>
      </c>
      <c r="P16" s="36" t="s">
        <v>25</v>
      </c>
      <c r="Q16" s="36" t="s">
        <v>144</v>
      </c>
      <c r="R16" s="37" t="s">
        <v>219</v>
      </c>
    </row>
    <row r="17" spans="1:18" s="38" customFormat="1" ht="24.95" customHeight="1" x14ac:dyDescent="0.25">
      <c r="A17" s="310">
        <v>6</v>
      </c>
      <c r="B17" s="30" t="s">
        <v>211</v>
      </c>
      <c r="C17" s="31">
        <v>390.87</v>
      </c>
      <c r="D17" s="32">
        <v>92.53</v>
      </c>
      <c r="E17" s="32">
        <v>92.53</v>
      </c>
      <c r="F17" s="32">
        <v>8.08</v>
      </c>
      <c r="G17" s="31">
        <v>228.58</v>
      </c>
      <c r="H17" s="33">
        <f t="shared" si="0"/>
        <v>1.0873230303685291</v>
      </c>
      <c r="I17" s="31">
        <v>1846.93</v>
      </c>
      <c r="J17" s="32">
        <v>1.71</v>
      </c>
      <c r="K17" s="34">
        <f t="shared" si="1"/>
        <v>1.8480492813141684E-2</v>
      </c>
      <c r="L17" s="311">
        <f t="shared" si="2"/>
        <v>6.3699999999999983</v>
      </c>
      <c r="M17" s="35">
        <f t="shared" si="3"/>
        <v>6.8842537555387426E-2</v>
      </c>
      <c r="N17" s="312">
        <f t="shared" si="4"/>
        <v>1456.0545999999997</v>
      </c>
      <c r="O17" s="36" t="s">
        <v>139</v>
      </c>
      <c r="P17" s="36" t="s">
        <v>25</v>
      </c>
      <c r="Q17" s="36" t="s">
        <v>144</v>
      </c>
      <c r="R17" s="37" t="s">
        <v>212</v>
      </c>
    </row>
    <row r="18" spans="1:18" s="39" customFormat="1" ht="24.95" customHeight="1" x14ac:dyDescent="0.25">
      <c r="A18" s="313">
        <v>7</v>
      </c>
      <c r="B18" s="30" t="s">
        <v>603</v>
      </c>
      <c r="C18" s="31">
        <v>386.02</v>
      </c>
      <c r="D18" s="32">
        <v>164.32</v>
      </c>
      <c r="E18" s="32">
        <v>164.32</v>
      </c>
      <c r="F18" s="32">
        <v>14.35</v>
      </c>
      <c r="G18" s="31">
        <v>127.4</v>
      </c>
      <c r="H18" s="33">
        <f t="shared" si="0"/>
        <v>1.0873296007789679</v>
      </c>
      <c r="I18" s="31">
        <v>1828.19</v>
      </c>
      <c r="J18" s="32">
        <v>3.03</v>
      </c>
      <c r="K18" s="34">
        <f t="shared" si="1"/>
        <v>1.8439629990262902E-2</v>
      </c>
      <c r="L18" s="311">
        <f t="shared" si="2"/>
        <v>11.319999999999995</v>
      </c>
      <c r="M18" s="35">
        <f t="shared" si="3"/>
        <v>6.8889970788704943E-2</v>
      </c>
      <c r="N18" s="312">
        <f t="shared" si="4"/>
        <v>1442.1679999999994</v>
      </c>
      <c r="O18" s="36" t="s">
        <v>139</v>
      </c>
      <c r="P18" s="36" t="s">
        <v>25</v>
      </c>
      <c r="Q18" s="36" t="s">
        <v>144</v>
      </c>
      <c r="R18" s="37" t="s">
        <v>59</v>
      </c>
    </row>
    <row r="19" spans="1:18" s="38" customFormat="1" ht="24.95" customHeight="1" x14ac:dyDescent="0.25">
      <c r="A19" s="310">
        <v>8</v>
      </c>
      <c r="B19" s="30" t="s">
        <v>62</v>
      </c>
      <c r="C19" s="31">
        <v>371.41</v>
      </c>
      <c r="D19" s="32">
        <v>365.5</v>
      </c>
      <c r="E19" s="32">
        <v>365.5</v>
      </c>
      <c r="F19" s="32">
        <v>24.82</v>
      </c>
      <c r="G19" s="31">
        <v>111.2</v>
      </c>
      <c r="H19" s="33">
        <f t="shared" si="0"/>
        <v>1.067906976744186</v>
      </c>
      <c r="I19" s="31">
        <v>2759.98</v>
      </c>
      <c r="J19" s="32">
        <v>3.34</v>
      </c>
      <c r="K19" s="34">
        <f t="shared" si="1"/>
        <v>9.1381668946648419E-3</v>
      </c>
      <c r="L19" s="311">
        <f t="shared" si="2"/>
        <v>21.479999999999993</v>
      </c>
      <c r="M19" s="35">
        <f t="shared" si="3"/>
        <v>5.8768809849521188E-2</v>
      </c>
      <c r="N19" s="312">
        <f t="shared" si="4"/>
        <v>2388.5759999999991</v>
      </c>
      <c r="O19" s="36" t="s">
        <v>139</v>
      </c>
      <c r="P19" s="36" t="s">
        <v>25</v>
      </c>
      <c r="Q19" s="36" t="s">
        <v>144</v>
      </c>
      <c r="R19" s="37" t="s">
        <v>63</v>
      </c>
    </row>
    <row r="20" spans="1:18" s="38" customFormat="1" ht="24.95" customHeight="1" x14ac:dyDescent="0.25">
      <c r="A20" s="313">
        <v>9</v>
      </c>
      <c r="B20" s="30" t="s">
        <v>334</v>
      </c>
      <c r="C20" s="31">
        <v>290.49</v>
      </c>
      <c r="D20" s="32">
        <v>105.03</v>
      </c>
      <c r="E20" s="32">
        <v>105.03</v>
      </c>
      <c r="F20" s="32">
        <v>5.09</v>
      </c>
      <c r="G20" s="31">
        <v>114.14</v>
      </c>
      <c r="H20" s="33">
        <f t="shared" si="0"/>
        <v>1.0484623440921641</v>
      </c>
      <c r="I20" s="31">
        <v>580.97</v>
      </c>
      <c r="J20" s="32">
        <v>2.5450000000000017</v>
      </c>
      <c r="K20" s="34">
        <f t="shared" si="1"/>
        <v>2.4231172046082088E-2</v>
      </c>
      <c r="L20" s="311">
        <f t="shared" si="2"/>
        <v>2.5450000000000017</v>
      </c>
      <c r="M20" s="35">
        <f t="shared" si="3"/>
        <v>2.4231172046082088E-2</v>
      </c>
      <c r="N20" s="312">
        <f t="shared" si="4"/>
        <v>290.4863000000002</v>
      </c>
      <c r="O20" s="36" t="s">
        <v>139</v>
      </c>
      <c r="P20" s="36" t="s">
        <v>25</v>
      </c>
      <c r="Q20" s="36" t="s">
        <v>144</v>
      </c>
      <c r="R20" s="37" t="s">
        <v>335</v>
      </c>
    </row>
    <row r="21" spans="1:18" s="38" customFormat="1" ht="24.95" customHeight="1" thickBot="1" x14ac:dyDescent="0.3">
      <c r="A21" s="314">
        <v>10</v>
      </c>
      <c r="B21" s="40" t="s">
        <v>604</v>
      </c>
      <c r="C21" s="41">
        <v>273.98</v>
      </c>
      <c r="D21" s="42">
        <v>93.98</v>
      </c>
      <c r="E21" s="42">
        <v>93.98</v>
      </c>
      <c r="F21" s="42">
        <v>4.5599999999999996</v>
      </c>
      <c r="G21" s="41">
        <v>119.12</v>
      </c>
      <c r="H21" s="43">
        <f t="shared" si="0"/>
        <v>1.0485209619067888</v>
      </c>
      <c r="I21" s="41">
        <v>543.19000000000005</v>
      </c>
      <c r="J21" s="42">
        <v>2.2999999999999998</v>
      </c>
      <c r="K21" s="44">
        <f t="shared" si="1"/>
        <v>2.447329218982762E-2</v>
      </c>
      <c r="L21" s="315">
        <f t="shared" si="2"/>
        <v>2.2600000000000025</v>
      </c>
      <c r="M21" s="45">
        <f t="shared" si="3"/>
        <v>2.4047669716961081E-2</v>
      </c>
      <c r="N21" s="316">
        <f t="shared" si="4"/>
        <v>269.2112000000003</v>
      </c>
      <c r="O21" s="46" t="s">
        <v>139</v>
      </c>
      <c r="P21" s="46" t="s">
        <v>25</v>
      </c>
      <c r="Q21" s="46" t="s">
        <v>144</v>
      </c>
      <c r="R21" s="47" t="s">
        <v>335</v>
      </c>
    </row>
    <row r="22" spans="1:18" s="53" customFormat="1" ht="24.95" customHeight="1" thickBot="1" x14ac:dyDescent="0.3">
      <c r="A22" s="317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18"/>
      <c r="M22" s="51"/>
      <c r="N22" s="319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591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605</v>
      </c>
      <c r="P24" s="630" t="s">
        <v>112</v>
      </c>
      <c r="Q24" s="629" t="s">
        <v>592</v>
      </c>
      <c r="R24" s="1019" t="s">
        <v>593</v>
      </c>
    </row>
    <row r="25" spans="1:18" s="53" customFormat="1" ht="24.95" customHeight="1" x14ac:dyDescent="0.25">
      <c r="A25" s="1020" t="s">
        <v>97</v>
      </c>
      <c r="B25" s="634" t="s">
        <v>98</v>
      </c>
      <c r="C25" s="635"/>
      <c r="D25" s="636" t="s">
        <v>606</v>
      </c>
      <c r="E25" s="636"/>
      <c r="F25" s="636"/>
      <c r="G25" s="636"/>
      <c r="H25" s="636"/>
      <c r="I25" s="636"/>
      <c r="J25" s="637" t="s">
        <v>99</v>
      </c>
      <c r="K25" s="637"/>
      <c r="L25" s="637"/>
      <c r="M25" s="638"/>
      <c r="N25" s="638"/>
      <c r="O25" s="629"/>
      <c r="P25" s="629"/>
      <c r="Q25" s="629"/>
      <c r="R25" s="1019"/>
    </row>
    <row r="26" spans="1:18" s="53" customFormat="1" ht="24.95" customHeight="1" x14ac:dyDescent="0.3">
      <c r="A26" s="1021"/>
      <c r="B26" s="1026" t="s">
        <v>119</v>
      </c>
      <c r="C26" s="1028" t="s">
        <v>172</v>
      </c>
      <c r="D26" s="1030" t="s">
        <v>121</v>
      </c>
      <c r="E26" s="1030"/>
      <c r="F26" s="1030"/>
      <c r="G26" s="1030"/>
      <c r="H26" s="1030"/>
      <c r="I26" s="1030"/>
      <c r="J26" s="1031" t="s">
        <v>595</v>
      </c>
      <c r="K26" s="1034"/>
      <c r="L26" s="1032"/>
      <c r="M26" s="1031" t="s">
        <v>596</v>
      </c>
      <c r="N26" s="1032"/>
      <c r="O26" s="629"/>
      <c r="P26" s="629"/>
      <c r="Q26" s="629"/>
      <c r="R26" s="1019"/>
    </row>
    <row r="27" spans="1:18" s="53" customFormat="1" ht="50.1" customHeight="1" x14ac:dyDescent="0.25">
      <c r="A27" s="1022"/>
      <c r="B27" s="1027"/>
      <c r="C27" s="1029"/>
      <c r="D27" s="307" t="s">
        <v>103</v>
      </c>
      <c r="E27" s="307" t="s">
        <v>104</v>
      </c>
      <c r="F27" s="307" t="s">
        <v>597</v>
      </c>
      <c r="G27" s="307" t="s">
        <v>206</v>
      </c>
      <c r="H27" s="307" t="s">
        <v>125</v>
      </c>
      <c r="I27" s="307" t="s">
        <v>73</v>
      </c>
      <c r="J27" s="308" t="s">
        <v>56</v>
      </c>
      <c r="K27" s="308" t="s">
        <v>162</v>
      </c>
      <c r="L27" s="309" t="s">
        <v>126</v>
      </c>
      <c r="M27" s="308" t="s">
        <v>600</v>
      </c>
      <c r="N27" s="308" t="s">
        <v>162</v>
      </c>
      <c r="O27" s="629"/>
      <c r="P27" s="629"/>
      <c r="Q27" s="629"/>
      <c r="R27" s="1019"/>
    </row>
    <row r="28" spans="1:18" s="53" customFormat="1" ht="24.95" customHeight="1" x14ac:dyDescent="0.25">
      <c r="A28" s="310">
        <v>1</v>
      </c>
      <c r="B28" s="30" t="s">
        <v>607</v>
      </c>
      <c r="C28" s="31">
        <v>3550</v>
      </c>
      <c r="D28" s="32">
        <v>10388</v>
      </c>
      <c r="E28" s="32">
        <v>10388</v>
      </c>
      <c r="F28" s="32">
        <v>200</v>
      </c>
      <c r="G28" s="31">
        <v>17.75</v>
      </c>
      <c r="H28" s="54">
        <f t="shared" ref="H28:H37" si="5">(E28+F28)/D28</f>
        <v>1.0192529842125528</v>
      </c>
      <c r="I28" s="31">
        <v>3550</v>
      </c>
      <c r="J28" s="32">
        <v>0</v>
      </c>
      <c r="K28" s="34">
        <f t="shared" ref="K28:K37" si="6">J28/D28</f>
        <v>0</v>
      </c>
      <c r="L28" s="312">
        <f t="shared" ref="L28:L37" si="7">J28*G28</f>
        <v>0</v>
      </c>
      <c r="M28" s="311">
        <f t="shared" ref="M28:M37" si="8">((E28+F28)-D28)-J28</f>
        <v>200</v>
      </c>
      <c r="N28" s="35">
        <f t="shared" ref="N28:N37" si="9">M28/D28</f>
        <v>1.9252984212552945E-2</v>
      </c>
      <c r="O28" s="55" t="s">
        <v>142</v>
      </c>
      <c r="P28" s="56" t="s">
        <v>26</v>
      </c>
      <c r="Q28" s="56" t="s">
        <v>658</v>
      </c>
      <c r="R28" s="37" t="s">
        <v>608</v>
      </c>
    </row>
    <row r="29" spans="1:18" s="53" customFormat="1" ht="24.75" customHeight="1" x14ac:dyDescent="0.25">
      <c r="A29" s="313">
        <v>2</v>
      </c>
      <c r="B29" s="30" t="s">
        <v>70</v>
      </c>
      <c r="C29" s="31">
        <v>3191.51</v>
      </c>
      <c r="D29" s="32">
        <v>43.66</v>
      </c>
      <c r="E29" s="32">
        <v>43.66</v>
      </c>
      <c r="F29" s="32">
        <v>4.24</v>
      </c>
      <c r="G29" s="31">
        <v>814.16</v>
      </c>
      <c r="H29" s="54">
        <f t="shared" si="5"/>
        <v>1.0971140632157581</v>
      </c>
      <c r="I29" s="31">
        <v>3452.04</v>
      </c>
      <c r="J29" s="32">
        <v>0.32</v>
      </c>
      <c r="K29" s="34">
        <f t="shared" si="6"/>
        <v>7.3293632615666522E-3</v>
      </c>
      <c r="L29" s="312">
        <f t="shared" si="7"/>
        <v>260.53120000000001</v>
      </c>
      <c r="M29" s="311">
        <f t="shared" si="8"/>
        <v>3.9200000000000021</v>
      </c>
      <c r="N29" s="35">
        <f t="shared" si="9"/>
        <v>8.9784699954191541E-2</v>
      </c>
      <c r="O29" s="55" t="s">
        <v>133</v>
      </c>
      <c r="P29" s="56" t="s">
        <v>27</v>
      </c>
      <c r="Q29" s="56" t="s">
        <v>659</v>
      </c>
      <c r="R29" s="37" t="s">
        <v>71</v>
      </c>
    </row>
    <row r="30" spans="1:18" s="53" customFormat="1" ht="24.95" customHeight="1" x14ac:dyDescent="0.25">
      <c r="A30" s="313">
        <v>3</v>
      </c>
      <c r="B30" s="30" t="s">
        <v>531</v>
      </c>
      <c r="C30" s="31">
        <v>3148.5499999999997</v>
      </c>
      <c r="D30" s="32">
        <v>112.04</v>
      </c>
      <c r="E30" s="32">
        <v>112.04</v>
      </c>
      <c r="F30" s="32">
        <v>10.86</v>
      </c>
      <c r="G30" s="31">
        <v>313.60000000000002</v>
      </c>
      <c r="H30" s="54">
        <f t="shared" si="5"/>
        <v>1.096929667975723</v>
      </c>
      <c r="I30" s="31">
        <v>3405.7</v>
      </c>
      <c r="J30" s="57">
        <v>0.82</v>
      </c>
      <c r="K30" s="34">
        <f t="shared" si="6"/>
        <v>7.318814709032488E-3</v>
      </c>
      <c r="L30" s="312">
        <f t="shared" si="7"/>
        <v>257.15199999999999</v>
      </c>
      <c r="M30" s="311">
        <f t="shared" si="8"/>
        <v>10.039999999999999</v>
      </c>
      <c r="N30" s="35">
        <f t="shared" si="9"/>
        <v>8.9610853266690452E-2</v>
      </c>
      <c r="O30" s="55" t="s">
        <v>133</v>
      </c>
      <c r="P30" s="56" t="s">
        <v>25</v>
      </c>
      <c r="Q30" s="56" t="s">
        <v>136</v>
      </c>
      <c r="R30" s="37" t="s">
        <v>59</v>
      </c>
    </row>
    <row r="31" spans="1:18" s="53" customFormat="1" ht="24.95" customHeight="1" x14ac:dyDescent="0.25">
      <c r="A31" s="310">
        <v>4</v>
      </c>
      <c r="B31" s="30" t="s">
        <v>62</v>
      </c>
      <c r="C31" s="31">
        <v>2388.5700000000002</v>
      </c>
      <c r="D31" s="32">
        <v>365.5</v>
      </c>
      <c r="E31" s="32">
        <v>365.5</v>
      </c>
      <c r="F31" s="32">
        <v>24.82</v>
      </c>
      <c r="G31" s="31">
        <v>111.2</v>
      </c>
      <c r="H31" s="54">
        <f t="shared" si="5"/>
        <v>1.067906976744186</v>
      </c>
      <c r="I31" s="31">
        <v>2759.98</v>
      </c>
      <c r="J31" s="32">
        <v>3.34</v>
      </c>
      <c r="K31" s="34">
        <f t="shared" si="6"/>
        <v>9.1381668946648419E-3</v>
      </c>
      <c r="L31" s="312">
        <f t="shared" si="7"/>
        <v>371.40800000000002</v>
      </c>
      <c r="M31" s="311">
        <f t="shared" si="8"/>
        <v>21.479999999999993</v>
      </c>
      <c r="N31" s="35">
        <f t="shared" si="9"/>
        <v>5.8768809849521188E-2</v>
      </c>
      <c r="O31" s="55" t="s">
        <v>133</v>
      </c>
      <c r="P31" s="56" t="s">
        <v>25</v>
      </c>
      <c r="Q31" s="56" t="s">
        <v>135</v>
      </c>
      <c r="R31" s="37" t="s">
        <v>63</v>
      </c>
    </row>
    <row r="32" spans="1:18" s="53" customFormat="1" ht="24.95" customHeight="1" x14ac:dyDescent="0.25">
      <c r="A32" s="313">
        <v>5</v>
      </c>
      <c r="B32" s="30" t="s">
        <v>183</v>
      </c>
      <c r="C32" s="31">
        <v>2321.5099999999998</v>
      </c>
      <c r="D32" s="32">
        <v>107.92</v>
      </c>
      <c r="E32" s="32">
        <v>107.92</v>
      </c>
      <c r="F32" s="32">
        <v>6.29</v>
      </c>
      <c r="G32" s="31">
        <v>410.16</v>
      </c>
      <c r="H32" s="54">
        <f t="shared" si="5"/>
        <v>1.0582839140103781</v>
      </c>
      <c r="I32" s="31">
        <v>2579.91</v>
      </c>
      <c r="J32" s="32">
        <v>0.63</v>
      </c>
      <c r="K32" s="34">
        <f t="shared" si="6"/>
        <v>5.8376575240919196E-3</v>
      </c>
      <c r="L32" s="312">
        <f t="shared" si="7"/>
        <v>258.4008</v>
      </c>
      <c r="M32" s="311">
        <f t="shared" si="8"/>
        <v>5.6600000000000064</v>
      </c>
      <c r="N32" s="35">
        <f t="shared" si="9"/>
        <v>5.2446256486286195E-2</v>
      </c>
      <c r="O32" s="55" t="s">
        <v>133</v>
      </c>
      <c r="P32" s="56" t="s">
        <v>25</v>
      </c>
      <c r="Q32" s="56" t="s">
        <v>134</v>
      </c>
      <c r="R32" s="37" t="s">
        <v>59</v>
      </c>
    </row>
    <row r="33" spans="1:18" s="53" customFormat="1" ht="24.95" customHeight="1" x14ac:dyDescent="0.25">
      <c r="A33" s="310">
        <v>6</v>
      </c>
      <c r="B33" s="30" t="s">
        <v>304</v>
      </c>
      <c r="C33" s="31">
        <v>2170.94</v>
      </c>
      <c r="D33" s="32">
        <v>98.42</v>
      </c>
      <c r="E33" s="32">
        <v>98.42</v>
      </c>
      <c r="F33" s="32">
        <v>7.63</v>
      </c>
      <c r="G33" s="31">
        <v>318.32</v>
      </c>
      <c r="H33" s="54">
        <f t="shared" si="5"/>
        <v>1.0775248933143668</v>
      </c>
      <c r="I33" s="31">
        <v>2428.7800000000002</v>
      </c>
      <c r="J33" s="32">
        <v>0.81</v>
      </c>
      <c r="K33" s="34">
        <f t="shared" si="6"/>
        <v>8.2300345458240203E-3</v>
      </c>
      <c r="L33" s="312">
        <f t="shared" si="7"/>
        <v>257.83920000000001</v>
      </c>
      <c r="M33" s="311">
        <f t="shared" si="8"/>
        <v>6.819999999999995</v>
      </c>
      <c r="N33" s="35">
        <f t="shared" si="9"/>
        <v>6.9294858768542925E-2</v>
      </c>
      <c r="O33" s="55" t="s">
        <v>133</v>
      </c>
      <c r="P33" s="56" t="s">
        <v>27</v>
      </c>
      <c r="Q33" s="56" t="s">
        <v>659</v>
      </c>
      <c r="R33" s="37" t="s">
        <v>77</v>
      </c>
    </row>
    <row r="34" spans="1:18" s="53" customFormat="1" ht="24.95" customHeight="1" x14ac:dyDescent="0.25">
      <c r="A34" s="313">
        <v>7</v>
      </c>
      <c r="B34" s="30" t="s">
        <v>609</v>
      </c>
      <c r="C34" s="31">
        <v>1939.96</v>
      </c>
      <c r="D34" s="32">
        <v>84.81</v>
      </c>
      <c r="E34" s="32">
        <v>84.81</v>
      </c>
      <c r="F34" s="32">
        <v>6.58</v>
      </c>
      <c r="G34" s="31">
        <v>333.9</v>
      </c>
      <c r="H34" s="54">
        <f t="shared" si="5"/>
        <v>1.0775851904256573</v>
      </c>
      <c r="I34" s="31">
        <v>2197.06</v>
      </c>
      <c r="J34" s="32">
        <v>0.77</v>
      </c>
      <c r="K34" s="34">
        <f t="shared" si="6"/>
        <v>9.0791180285343717E-3</v>
      </c>
      <c r="L34" s="312">
        <f t="shared" si="7"/>
        <v>257.10300000000001</v>
      </c>
      <c r="M34" s="311">
        <f t="shared" si="8"/>
        <v>5.8099999999999987</v>
      </c>
      <c r="N34" s="35">
        <f t="shared" si="9"/>
        <v>6.8506072397122961E-2</v>
      </c>
      <c r="O34" s="55" t="s">
        <v>133</v>
      </c>
      <c r="P34" s="56" t="s">
        <v>27</v>
      </c>
      <c r="Q34" s="56" t="s">
        <v>659</v>
      </c>
      <c r="R34" s="37" t="s">
        <v>86</v>
      </c>
    </row>
    <row r="35" spans="1:18" s="53" customFormat="1" ht="24.95" customHeight="1" x14ac:dyDescent="0.25">
      <c r="A35" s="310">
        <v>8</v>
      </c>
      <c r="B35" s="30" t="s">
        <v>253</v>
      </c>
      <c r="C35" s="31">
        <v>1917.29</v>
      </c>
      <c r="D35" s="32">
        <v>323.16000000000003</v>
      </c>
      <c r="E35" s="32">
        <v>323.16000000000003</v>
      </c>
      <c r="F35" s="32">
        <v>22.81</v>
      </c>
      <c r="G35" s="31">
        <v>95.34</v>
      </c>
      <c r="H35" s="54">
        <f t="shared" si="5"/>
        <v>1.070584230721624</v>
      </c>
      <c r="I35" s="31">
        <v>2174.71</v>
      </c>
      <c r="J35" s="32">
        <v>2.7</v>
      </c>
      <c r="K35" s="34">
        <f t="shared" si="6"/>
        <v>8.3549944300037125E-3</v>
      </c>
      <c r="L35" s="312">
        <f t="shared" si="7"/>
        <v>257.41800000000001</v>
      </c>
      <c r="M35" s="311">
        <f t="shared" si="8"/>
        <v>20.110000000000003</v>
      </c>
      <c r="N35" s="35">
        <f t="shared" si="9"/>
        <v>6.2229236291620256E-2</v>
      </c>
      <c r="O35" s="55" t="s">
        <v>133</v>
      </c>
      <c r="P35" s="56" t="s">
        <v>25</v>
      </c>
      <c r="Q35" s="56" t="s">
        <v>135</v>
      </c>
      <c r="R35" s="37" t="s">
        <v>59</v>
      </c>
    </row>
    <row r="36" spans="1:18" s="53" customFormat="1" ht="24.95" customHeight="1" x14ac:dyDescent="0.25">
      <c r="A36" s="313">
        <v>9</v>
      </c>
      <c r="B36" s="30" t="s">
        <v>610</v>
      </c>
      <c r="C36" s="31">
        <v>1851.42</v>
      </c>
      <c r="D36" s="32">
        <v>29.26</v>
      </c>
      <c r="E36" s="32">
        <v>29.26</v>
      </c>
      <c r="F36" s="32">
        <v>2.27</v>
      </c>
      <c r="G36" s="31">
        <v>930.36</v>
      </c>
      <c r="H36" s="54">
        <f t="shared" si="5"/>
        <v>1.0775803144224196</v>
      </c>
      <c r="I36" s="31">
        <v>2111.92</v>
      </c>
      <c r="J36" s="32">
        <v>0.28000000000000003</v>
      </c>
      <c r="K36" s="34">
        <f t="shared" si="6"/>
        <v>9.5693779904306216E-3</v>
      </c>
      <c r="L36" s="312">
        <f t="shared" si="7"/>
        <v>260.50080000000003</v>
      </c>
      <c r="M36" s="311">
        <f t="shared" si="8"/>
        <v>1.9899999999999995</v>
      </c>
      <c r="N36" s="35">
        <f t="shared" si="9"/>
        <v>6.801093643198905E-2</v>
      </c>
      <c r="O36" s="55" t="s">
        <v>133</v>
      </c>
      <c r="P36" s="56" t="s">
        <v>25</v>
      </c>
      <c r="Q36" s="56" t="s">
        <v>135</v>
      </c>
      <c r="R36" s="37" t="s">
        <v>77</v>
      </c>
    </row>
    <row r="37" spans="1:18" s="53" customFormat="1" ht="24.95" customHeight="1" thickBot="1" x14ac:dyDescent="0.3">
      <c r="A37" s="314">
        <v>10</v>
      </c>
      <c r="B37" s="40" t="s">
        <v>87</v>
      </c>
      <c r="C37" s="41">
        <v>1835.6200000000001</v>
      </c>
      <c r="D37" s="42">
        <v>233.91</v>
      </c>
      <c r="E37" s="42">
        <v>233.91</v>
      </c>
      <c r="F37" s="42">
        <v>15.88</v>
      </c>
      <c r="G37" s="41">
        <v>194.04</v>
      </c>
      <c r="H37" s="58">
        <f t="shared" si="5"/>
        <v>1.0678893591552305</v>
      </c>
      <c r="I37" s="41">
        <v>3081.36</v>
      </c>
      <c r="J37" s="42">
        <v>6.42</v>
      </c>
      <c r="K37" s="44">
        <f t="shared" si="6"/>
        <v>2.7446453764268307E-2</v>
      </c>
      <c r="L37" s="316">
        <f t="shared" si="7"/>
        <v>1245.7367999999999</v>
      </c>
      <c r="M37" s="315">
        <f t="shared" si="8"/>
        <v>9.4599999999999955</v>
      </c>
      <c r="N37" s="45">
        <f t="shared" si="9"/>
        <v>4.0442905390962319E-2</v>
      </c>
      <c r="O37" s="59" t="s">
        <v>133</v>
      </c>
      <c r="P37" s="60" t="s">
        <v>25</v>
      </c>
      <c r="Q37" s="60" t="s">
        <v>135</v>
      </c>
      <c r="R37" s="61" t="s">
        <v>88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591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035" t="s">
        <v>97</v>
      </c>
      <c r="B41" s="623" t="s">
        <v>611</v>
      </c>
      <c r="C41" s="623"/>
      <c r="D41" s="624"/>
      <c r="E41" s="62"/>
      <c r="G41" s="64"/>
      <c r="H41" s="65"/>
    </row>
    <row r="42" spans="1:18" ht="20.45" customHeight="1" x14ac:dyDescent="0.35">
      <c r="A42" s="1035"/>
      <c r="B42" s="1036" t="s">
        <v>612</v>
      </c>
      <c r="C42" s="1037" t="s">
        <v>101</v>
      </c>
      <c r="D42" s="1019" t="s">
        <v>613</v>
      </c>
      <c r="E42" s="62"/>
      <c r="G42" s="64"/>
      <c r="H42" s="65"/>
    </row>
    <row r="43" spans="1:18" ht="20.45" customHeight="1" x14ac:dyDescent="0.35">
      <c r="A43" s="1035"/>
      <c r="B43" s="1036"/>
      <c r="C43" s="1037"/>
      <c r="D43" s="1019"/>
      <c r="E43" s="62"/>
      <c r="G43" s="64"/>
      <c r="H43" s="65"/>
    </row>
    <row r="44" spans="1:18" s="68" customFormat="1" ht="24.95" customHeight="1" x14ac:dyDescent="0.35">
      <c r="A44" s="320">
        <v>1</v>
      </c>
      <c r="B44" s="30" t="s">
        <v>61</v>
      </c>
      <c r="C44" s="31">
        <v>982.85</v>
      </c>
      <c r="D44" s="66">
        <f t="shared" ref="D44:D53" si="10">C44/$L$5</f>
        <v>0.18621636983705947</v>
      </c>
      <c r="E44" s="67"/>
      <c r="G44" s="64"/>
      <c r="H44" s="65"/>
    </row>
    <row r="45" spans="1:18" s="68" customFormat="1" ht="24.95" customHeight="1" x14ac:dyDescent="0.35">
      <c r="A45" s="321">
        <v>2</v>
      </c>
      <c r="B45" s="30" t="s">
        <v>69</v>
      </c>
      <c r="C45" s="31">
        <v>733.53</v>
      </c>
      <c r="D45" s="66">
        <f t="shared" si="10"/>
        <v>0.13897877984084878</v>
      </c>
      <c r="E45" s="67"/>
      <c r="G45" s="64"/>
      <c r="H45" s="65"/>
    </row>
    <row r="46" spans="1:18" s="68" customFormat="1" ht="24.95" customHeight="1" x14ac:dyDescent="0.35">
      <c r="A46" s="321">
        <v>3</v>
      </c>
      <c r="B46" s="30" t="s">
        <v>58</v>
      </c>
      <c r="C46" s="31">
        <v>641.71</v>
      </c>
      <c r="D46" s="66">
        <f t="shared" si="10"/>
        <v>0.12158203865100416</v>
      </c>
      <c r="E46" s="67"/>
      <c r="G46" s="64"/>
      <c r="H46" s="65"/>
    </row>
    <row r="47" spans="1:18" s="68" customFormat="1" ht="24.95" customHeight="1" x14ac:dyDescent="0.35">
      <c r="A47" s="320">
        <v>4</v>
      </c>
      <c r="B47" s="30" t="s">
        <v>603</v>
      </c>
      <c r="C47" s="31">
        <v>386.02</v>
      </c>
      <c r="D47" s="66">
        <f t="shared" si="10"/>
        <v>7.3137552103069325E-2</v>
      </c>
      <c r="E47" s="67"/>
      <c r="G47" s="64"/>
      <c r="H47" s="65"/>
    </row>
    <row r="48" spans="1:18" s="68" customFormat="1" ht="24.95" customHeight="1" x14ac:dyDescent="0.35">
      <c r="A48" s="321">
        <v>5</v>
      </c>
      <c r="B48" s="30" t="s">
        <v>183</v>
      </c>
      <c r="C48" s="31">
        <v>258.39999999999998</v>
      </c>
      <c r="D48" s="66">
        <f t="shared" si="10"/>
        <v>4.8957938613111013E-2</v>
      </c>
      <c r="E48" s="67"/>
      <c r="G48" s="64"/>
      <c r="H48" s="65"/>
    </row>
    <row r="49" spans="1:5" s="68" customFormat="1" ht="24.95" customHeight="1" x14ac:dyDescent="0.25">
      <c r="A49" s="320">
        <v>6</v>
      </c>
      <c r="B49" s="30" t="s">
        <v>340</v>
      </c>
      <c r="C49" s="31">
        <v>258.13</v>
      </c>
      <c r="D49" s="66">
        <f t="shared" si="10"/>
        <v>4.8906782872300103E-2</v>
      </c>
      <c r="E49" s="67"/>
    </row>
    <row r="50" spans="1:5" s="68" customFormat="1" ht="24.95" customHeight="1" x14ac:dyDescent="0.25">
      <c r="A50" s="321">
        <v>7</v>
      </c>
      <c r="B50" s="30" t="s">
        <v>60</v>
      </c>
      <c r="C50" s="31">
        <v>257.70999999999998</v>
      </c>
      <c r="D50" s="66">
        <f t="shared" si="10"/>
        <v>4.8827207275483127E-2</v>
      </c>
      <c r="E50" s="67"/>
    </row>
    <row r="51" spans="1:5" s="68" customFormat="1" ht="24.95" customHeight="1" x14ac:dyDescent="0.25">
      <c r="A51" s="320">
        <v>8</v>
      </c>
      <c r="B51" s="30" t="s">
        <v>254</v>
      </c>
      <c r="C51" s="31">
        <v>257.63</v>
      </c>
      <c r="D51" s="66">
        <f t="shared" si="10"/>
        <v>4.8812050018946562E-2</v>
      </c>
      <c r="E51" s="67"/>
    </row>
    <row r="52" spans="1:5" s="68" customFormat="1" ht="24.95" customHeight="1" x14ac:dyDescent="0.25">
      <c r="A52" s="321">
        <v>9</v>
      </c>
      <c r="B52" s="30" t="s">
        <v>166</v>
      </c>
      <c r="C52" s="31">
        <v>257.49</v>
      </c>
      <c r="D52" s="66">
        <f t="shared" si="10"/>
        <v>4.8785524820007573E-2</v>
      </c>
      <c r="E52" s="67"/>
    </row>
    <row r="53" spans="1:5" s="68" customFormat="1" ht="24.95" customHeight="1" thickBot="1" x14ac:dyDescent="0.3">
      <c r="A53" s="322">
        <v>10</v>
      </c>
      <c r="B53" s="40" t="s">
        <v>483</v>
      </c>
      <c r="C53" s="41">
        <v>257.48</v>
      </c>
      <c r="D53" s="69">
        <f t="shared" si="10"/>
        <v>4.8783630162940503E-2</v>
      </c>
      <c r="E53" s="67"/>
    </row>
    <row r="54" spans="1:5" x14ac:dyDescent="0.25">
      <c r="A54" s="614" t="s">
        <v>131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132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531" priority="33" operator="containsText" text="024">
      <formula>NOT(ISERROR(SEARCH("024",A12)))</formula>
    </cfRule>
    <cfRule type="containsText" dxfId="530" priority="34" operator="containsText" text="白醬">
      <formula>NOT(ISERROR(SEARCH("白醬",A12)))</formula>
    </cfRule>
    <cfRule type="containsText" dxfId="529" priority="35" operator="containsText" text="青蔥">
      <formula>NOT(ISERROR(SEARCH("青蔥",A12)))</formula>
    </cfRule>
    <cfRule type="containsText" dxfId="528" priority="36" operator="containsText" text=")川燙小青花菜">
      <formula>NOT(ISERROR(SEARCH(")川燙小青花菜",A12)))</formula>
    </cfRule>
    <cfRule type="containsText" dxfId="527" priority="37" operator="containsText" text="湯凍">
      <formula>NOT(ISERROR(SEARCH("湯凍",A12)))</formula>
    </cfRule>
    <cfRule type="containsText" dxfId="526" priority="38" operator="containsText" text="中華">
      <formula>NOT(ISERROR(SEARCH("中華",A12)))</formula>
    </cfRule>
  </conditionalFormatting>
  <conditionalFormatting sqref="A12:A22">
    <cfRule type="containsText" dxfId="525" priority="31" operator="containsText" text="綠豆芽">
      <formula>NOT(ISERROR(SEARCH("綠豆芽",A12)))</formula>
    </cfRule>
    <cfRule type="containsText" dxfId="524" priority="32" operator="containsText" text="煮白細麵生(方#12)">
      <formula>NOT(ISERROR(SEARCH("煮白細麵生(方#12)",A12)))</formula>
    </cfRule>
  </conditionalFormatting>
  <conditionalFormatting sqref="E5">
    <cfRule type="cellIs" dxfId="523" priority="16" operator="greaterThan">
      <formula>0.0025</formula>
    </cfRule>
    <cfRule type="cellIs" dxfId="522" priority="19" operator="greaterThan">
      <formula>0.0025</formula>
    </cfRule>
    <cfRule type="cellIs" dxfId="521" priority="29" operator="greaterThan">
      <formula>0.072</formula>
    </cfRule>
    <cfRule type="cellIs" dxfId="520" priority="30" operator="greaterThan">
      <formula>7.2</formula>
    </cfRule>
  </conditionalFormatting>
  <conditionalFormatting sqref="E5">
    <cfRule type="cellIs" dxfId="519" priority="28" operator="greaterThan">
      <formula>0.0025</formula>
    </cfRule>
  </conditionalFormatting>
  <conditionalFormatting sqref="A44:A53">
    <cfRule type="containsText" dxfId="518" priority="22" operator="containsText" text="024">
      <formula>NOT(ISERROR(SEARCH("024",A44)))</formula>
    </cfRule>
    <cfRule type="containsText" dxfId="517" priority="23" operator="containsText" text="白醬">
      <formula>NOT(ISERROR(SEARCH("白醬",A44)))</formula>
    </cfRule>
    <cfRule type="containsText" dxfId="516" priority="24" operator="containsText" text="青蔥">
      <formula>NOT(ISERROR(SEARCH("青蔥",A44)))</formula>
    </cfRule>
    <cfRule type="containsText" dxfId="515" priority="25" operator="containsText" text=")川燙小青花菜">
      <formula>NOT(ISERROR(SEARCH(")川燙小青花菜",A44)))</formula>
    </cfRule>
    <cfRule type="containsText" dxfId="514" priority="26" operator="containsText" text="湯凍">
      <formula>NOT(ISERROR(SEARCH("湯凍",A44)))</formula>
    </cfRule>
    <cfRule type="containsText" dxfId="513" priority="27" operator="containsText" text="中華">
      <formula>NOT(ISERROR(SEARCH("中華",A44)))</formula>
    </cfRule>
  </conditionalFormatting>
  <conditionalFormatting sqref="A44:A53">
    <cfRule type="containsText" dxfId="512" priority="20" operator="containsText" text="綠豆芽">
      <formula>NOT(ISERROR(SEARCH("綠豆芽",A44)))</formula>
    </cfRule>
    <cfRule type="containsText" dxfId="511" priority="21" operator="containsText" text="煮白細麵生(方#12)">
      <formula>NOT(ISERROR(SEARCH("煮白細麵生(方#12)",A44)))</formula>
    </cfRule>
  </conditionalFormatting>
  <conditionalFormatting sqref="D44:D53">
    <cfRule type="cellIs" dxfId="510" priority="18" operator="greaterThan">
      <formula>0.146</formula>
    </cfRule>
  </conditionalFormatting>
  <conditionalFormatting sqref="H12:H22">
    <cfRule type="cellIs" dxfId="509" priority="17" operator="greaterThan">
      <formula>1.1</formula>
    </cfRule>
  </conditionalFormatting>
  <conditionalFormatting sqref="I5">
    <cfRule type="cellIs" dxfId="508" priority="15" operator="greaterThan">
      <formula>0.2</formula>
    </cfRule>
  </conditionalFormatting>
  <conditionalFormatting sqref="A28:A37">
    <cfRule type="containsText" dxfId="507" priority="9" operator="containsText" text="024">
      <formula>NOT(ISERROR(SEARCH("024",A28)))</formula>
    </cfRule>
    <cfRule type="containsText" dxfId="506" priority="10" operator="containsText" text="白醬">
      <formula>NOT(ISERROR(SEARCH("白醬",A28)))</formula>
    </cfRule>
    <cfRule type="containsText" dxfId="505" priority="11" operator="containsText" text="青蔥">
      <formula>NOT(ISERROR(SEARCH("青蔥",A28)))</formula>
    </cfRule>
    <cfRule type="containsText" dxfId="504" priority="12" operator="containsText" text=")川燙小青花菜">
      <formula>NOT(ISERROR(SEARCH(")川燙小青花菜",A28)))</formula>
    </cfRule>
    <cfRule type="containsText" dxfId="503" priority="13" operator="containsText" text="湯凍">
      <formula>NOT(ISERROR(SEARCH("湯凍",A28)))</formula>
    </cfRule>
    <cfRule type="containsText" dxfId="502" priority="14" operator="containsText" text="中華">
      <formula>NOT(ISERROR(SEARCH("中華",A28)))</formula>
    </cfRule>
  </conditionalFormatting>
  <conditionalFormatting sqref="A28:A37">
    <cfRule type="containsText" dxfId="501" priority="7" operator="containsText" text="綠豆芽">
      <formula>NOT(ISERROR(SEARCH("綠豆芽",A28)))</formula>
    </cfRule>
    <cfRule type="containsText" dxfId="500" priority="8" operator="containsText" text="煮白細麵生(方#12)">
      <formula>NOT(ISERROR(SEARCH("煮白細麵生(方#12)",A28)))</formula>
    </cfRule>
  </conditionalFormatting>
  <conditionalFormatting sqref="H28:H37">
    <cfRule type="cellIs" dxfId="499" priority="6" operator="greaterThan">
      <formula>1.1</formula>
    </cfRule>
  </conditionalFormatting>
  <conditionalFormatting sqref="G5">
    <cfRule type="cellIs" dxfId="498" priority="1" operator="greaterThan">
      <formula>0.0025</formula>
    </cfRule>
    <cfRule type="cellIs" dxfId="497" priority="2" operator="greaterThan">
      <formula>0.0025</formula>
    </cfRule>
    <cfRule type="cellIs" dxfId="496" priority="4" operator="greaterThan">
      <formula>0.072</formula>
    </cfRule>
    <cfRule type="cellIs" dxfId="495" priority="5" operator="greaterThan">
      <formula>7.2</formula>
    </cfRule>
  </conditionalFormatting>
  <conditionalFormatting sqref="G5">
    <cfRule type="cellIs" dxfId="49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7" zoomScale="60" zoomScaleNormal="60" zoomScaleSheetLayoutView="70" workbookViewId="0">
      <selection activeCell="O12" sqref="O12:R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038" t="s">
        <v>31</v>
      </c>
      <c r="B2" s="1039"/>
      <c r="C2" s="287" t="s">
        <v>32</v>
      </c>
      <c r="D2" s="1040" t="s">
        <v>33</v>
      </c>
      <c r="E2" s="1040"/>
      <c r="F2" s="1040" t="s">
        <v>34</v>
      </c>
      <c r="G2" s="1040"/>
      <c r="H2" s="1040" t="s">
        <v>33</v>
      </c>
      <c r="I2" s="1040"/>
      <c r="J2" s="1040" t="s">
        <v>34</v>
      </c>
      <c r="K2" s="1040"/>
      <c r="L2" s="1040" t="s">
        <v>33</v>
      </c>
      <c r="M2" s="1041"/>
      <c r="R2" s="17"/>
    </row>
    <row r="3" spans="1:18" s="18" customFormat="1" ht="28.5" x14ac:dyDescent="0.45">
      <c r="A3" s="1048">
        <v>45913</v>
      </c>
      <c r="B3" s="1049"/>
      <c r="C3" s="1050">
        <v>4851151.87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048"/>
      <c r="B4" s="1049"/>
      <c r="C4" s="1050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042" t="s">
        <v>44</v>
      </c>
      <c r="B5" s="1043"/>
      <c r="C5" s="1043"/>
      <c r="D5" s="288">
        <v>11694.87</v>
      </c>
      <c r="E5" s="22">
        <f>D5/C3</f>
        <v>2.4107408535944271E-3</v>
      </c>
      <c r="F5" s="288">
        <v>38597.409999999996</v>
      </c>
      <c r="G5" s="23">
        <f>F5/C3</f>
        <v>7.9563392436114346E-3</v>
      </c>
      <c r="H5" s="24">
        <f>SUM(C12:C21)</f>
        <v>5542.9000000000005</v>
      </c>
      <c r="I5" s="25">
        <f>H5/D5</f>
        <v>0.4739599499609658</v>
      </c>
      <c r="J5" s="24">
        <f>SUM(C28:C37)</f>
        <v>13624.790000000003</v>
      </c>
      <c r="K5" s="26">
        <f>J5/F5</f>
        <v>0.35299751978176785</v>
      </c>
      <c r="L5" s="27">
        <v>3831.6899999999991</v>
      </c>
      <c r="M5" s="28">
        <f>L5/D5</f>
        <v>0.32763852868821963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190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45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47</v>
      </c>
      <c r="Q8" s="629" t="s">
        <v>280</v>
      </c>
      <c r="R8" s="1044" t="s">
        <v>48</v>
      </c>
    </row>
    <row r="9" spans="1:18" ht="20.45" customHeight="1" x14ac:dyDescent="0.25">
      <c r="A9" s="1045" t="s">
        <v>97</v>
      </c>
      <c r="B9" s="634" t="s">
        <v>98</v>
      </c>
      <c r="C9" s="635"/>
      <c r="D9" s="636" t="s">
        <v>197</v>
      </c>
      <c r="E9" s="636"/>
      <c r="F9" s="636"/>
      <c r="G9" s="636"/>
      <c r="H9" s="636"/>
      <c r="I9" s="636"/>
      <c r="J9" s="637" t="s">
        <v>285</v>
      </c>
      <c r="K9" s="637"/>
      <c r="L9" s="637"/>
      <c r="M9" s="638"/>
      <c r="N9" s="638"/>
      <c r="O9" s="629"/>
      <c r="P9" s="629"/>
      <c r="Q9" s="629"/>
      <c r="R9" s="1044"/>
    </row>
    <row r="10" spans="1:18" ht="20.45" customHeight="1" x14ac:dyDescent="0.3">
      <c r="A10" s="1046"/>
      <c r="B10" s="1051" t="s">
        <v>100</v>
      </c>
      <c r="C10" s="1053" t="s">
        <v>101</v>
      </c>
      <c r="D10" s="1055" t="s">
        <v>50</v>
      </c>
      <c r="E10" s="1055"/>
      <c r="F10" s="1055"/>
      <c r="G10" s="1055"/>
      <c r="H10" s="1055"/>
      <c r="I10" s="1055"/>
      <c r="J10" s="1056" t="s">
        <v>289</v>
      </c>
      <c r="K10" s="1057"/>
      <c r="L10" s="1058" t="s">
        <v>102</v>
      </c>
      <c r="M10" s="1056"/>
      <c r="N10" s="1056"/>
      <c r="O10" s="629"/>
      <c r="P10" s="629"/>
      <c r="Q10" s="629"/>
      <c r="R10" s="1044"/>
    </row>
    <row r="11" spans="1:18" s="29" customFormat="1" ht="47.25" customHeight="1" x14ac:dyDescent="0.25">
      <c r="A11" s="1047"/>
      <c r="B11" s="1052"/>
      <c r="C11" s="1054"/>
      <c r="D11" s="289" t="s">
        <v>203</v>
      </c>
      <c r="E11" s="289" t="s">
        <v>104</v>
      </c>
      <c r="F11" s="289" t="s">
        <v>53</v>
      </c>
      <c r="G11" s="289" t="s">
        <v>54</v>
      </c>
      <c r="H11" s="289" t="s">
        <v>295</v>
      </c>
      <c r="I11" s="289" t="s">
        <v>296</v>
      </c>
      <c r="J11" s="290" t="s">
        <v>56</v>
      </c>
      <c r="K11" s="290" t="s">
        <v>107</v>
      </c>
      <c r="L11" s="290" t="s">
        <v>56</v>
      </c>
      <c r="M11" s="290" t="s">
        <v>107</v>
      </c>
      <c r="N11" s="291" t="s">
        <v>109</v>
      </c>
      <c r="O11" s="629"/>
      <c r="P11" s="629"/>
      <c r="Q11" s="629"/>
      <c r="R11" s="1044"/>
    </row>
    <row r="12" spans="1:18" s="38" customFormat="1" ht="24.95" customHeight="1" x14ac:dyDescent="0.25">
      <c r="A12" s="292">
        <v>1</v>
      </c>
      <c r="B12" s="30" t="s">
        <v>62</v>
      </c>
      <c r="C12" s="31">
        <v>1840.36</v>
      </c>
      <c r="D12" s="32">
        <v>294</v>
      </c>
      <c r="E12" s="32">
        <v>294</v>
      </c>
      <c r="F12" s="32">
        <v>25.74</v>
      </c>
      <c r="G12" s="31">
        <v>111.2</v>
      </c>
      <c r="H12" s="33">
        <f t="shared" ref="H12:H21" si="0">(E12+F12)/D12</f>
        <v>1.0875510204081633</v>
      </c>
      <c r="I12" s="31">
        <v>2862.29</v>
      </c>
      <c r="J12" s="32">
        <v>16.55</v>
      </c>
      <c r="K12" s="34">
        <f t="shared" ref="K12:K21" si="1">J12/D12</f>
        <v>5.6292517006802725E-2</v>
      </c>
      <c r="L12" s="293">
        <f t="shared" ref="L12:L21" si="2">((E12+F12)-D12)-J12</f>
        <v>9.1900000000000084</v>
      </c>
      <c r="M12" s="35">
        <f t="shared" ref="M12:M21" si="3">L12/D12</f>
        <v>3.125850340136057E-2</v>
      </c>
      <c r="N12" s="294">
        <f t="shared" ref="N12:N21" si="4">L12*G12</f>
        <v>1021.9280000000009</v>
      </c>
      <c r="O12" s="36" t="s">
        <v>139</v>
      </c>
      <c r="P12" s="36" t="s">
        <v>25</v>
      </c>
      <c r="Q12" s="36" t="s">
        <v>144</v>
      </c>
      <c r="R12" s="37" t="s">
        <v>63</v>
      </c>
    </row>
    <row r="13" spans="1:18" s="38" customFormat="1" ht="24.95" customHeight="1" x14ac:dyDescent="0.25">
      <c r="A13" s="295">
        <v>2</v>
      </c>
      <c r="B13" s="30" t="s">
        <v>58</v>
      </c>
      <c r="C13" s="31">
        <v>923.01</v>
      </c>
      <c r="D13" s="32">
        <v>11631</v>
      </c>
      <c r="E13" s="32">
        <v>11631</v>
      </c>
      <c r="F13" s="32">
        <v>159.13999999999999</v>
      </c>
      <c r="G13" s="31">
        <v>5.8</v>
      </c>
      <c r="H13" s="33">
        <f t="shared" si="0"/>
        <v>1.013682400481472</v>
      </c>
      <c r="I13" s="31">
        <v>923.01</v>
      </c>
      <c r="J13" s="32">
        <v>159.13999999999999</v>
      </c>
      <c r="K13" s="34">
        <f t="shared" si="1"/>
        <v>1.3682400481471927E-2</v>
      </c>
      <c r="L13" s="293">
        <f t="shared" si="2"/>
        <v>-5.6843418860808015E-13</v>
      </c>
      <c r="M13" s="35">
        <f t="shared" si="3"/>
        <v>-4.8872340177807594E-17</v>
      </c>
      <c r="N13" s="294">
        <f t="shared" si="4"/>
        <v>-3.2969182939268649E-12</v>
      </c>
      <c r="O13" s="36" t="s">
        <v>139</v>
      </c>
      <c r="P13" s="36" t="s">
        <v>28</v>
      </c>
      <c r="Q13" s="36" t="s">
        <v>140</v>
      </c>
      <c r="R13" s="37" t="s">
        <v>59</v>
      </c>
    </row>
    <row r="14" spans="1:18" s="39" customFormat="1" ht="24.95" customHeight="1" x14ac:dyDescent="0.25">
      <c r="A14" s="295">
        <v>3</v>
      </c>
      <c r="B14" s="30" t="s">
        <v>87</v>
      </c>
      <c r="C14" s="31">
        <v>818.85</v>
      </c>
      <c r="D14" s="32">
        <v>152.13</v>
      </c>
      <c r="E14" s="32">
        <v>152.13</v>
      </c>
      <c r="F14" s="32">
        <v>8.42</v>
      </c>
      <c r="G14" s="31">
        <v>194.04</v>
      </c>
      <c r="H14" s="33">
        <f t="shared" si="0"/>
        <v>1.0553474002497862</v>
      </c>
      <c r="I14" s="31">
        <v>1633.82</v>
      </c>
      <c r="J14" s="32">
        <v>4.22</v>
      </c>
      <c r="K14" s="34">
        <f t="shared" si="1"/>
        <v>2.7739433379346611E-2</v>
      </c>
      <c r="L14" s="293">
        <f t="shared" si="2"/>
        <v>4.1999999999999877</v>
      </c>
      <c r="M14" s="35">
        <f t="shared" si="3"/>
        <v>2.7607966870439676E-2</v>
      </c>
      <c r="N14" s="294">
        <f t="shared" si="4"/>
        <v>814.96799999999757</v>
      </c>
      <c r="O14" s="36" t="s">
        <v>139</v>
      </c>
      <c r="P14" s="36" t="s">
        <v>25</v>
      </c>
      <c r="Q14" s="36" t="s">
        <v>144</v>
      </c>
      <c r="R14" s="37" t="s">
        <v>88</v>
      </c>
    </row>
    <row r="15" spans="1:18" s="38" customFormat="1" ht="24.95" customHeight="1" x14ac:dyDescent="0.25">
      <c r="A15" s="292">
        <v>4</v>
      </c>
      <c r="B15" s="30" t="s">
        <v>61</v>
      </c>
      <c r="C15" s="31">
        <v>550.41999999999996</v>
      </c>
      <c r="D15" s="32">
        <v>5390</v>
      </c>
      <c r="E15" s="32">
        <v>5390</v>
      </c>
      <c r="F15" s="32">
        <v>83.65</v>
      </c>
      <c r="G15" s="31">
        <v>6.58</v>
      </c>
      <c r="H15" s="33">
        <f t="shared" si="0"/>
        <v>1.0155194805194805</v>
      </c>
      <c r="I15" s="31">
        <v>550.41999999999996</v>
      </c>
      <c r="J15" s="32">
        <v>83.65</v>
      </c>
      <c r="K15" s="34">
        <f t="shared" si="1"/>
        <v>1.551948051948052E-2</v>
      </c>
      <c r="L15" s="293">
        <f t="shared" si="2"/>
        <v>-3.694822225952521E-13</v>
      </c>
      <c r="M15" s="35">
        <f t="shared" si="3"/>
        <v>-6.8549577475928034E-17</v>
      </c>
      <c r="N15" s="294">
        <f t="shared" si="4"/>
        <v>-2.431193024676759E-12</v>
      </c>
      <c r="O15" s="36" t="s">
        <v>142</v>
      </c>
      <c r="P15" s="36" t="s">
        <v>26</v>
      </c>
      <c r="Q15" s="36" t="s">
        <v>143</v>
      </c>
      <c r="R15" s="37" t="s">
        <v>59</v>
      </c>
    </row>
    <row r="16" spans="1:18" s="39" customFormat="1" ht="24.95" customHeight="1" x14ac:dyDescent="0.25">
      <c r="A16" s="295">
        <v>5</v>
      </c>
      <c r="B16" s="30" t="s">
        <v>60</v>
      </c>
      <c r="C16" s="31">
        <v>376.66</v>
      </c>
      <c r="D16" s="32">
        <v>188.66</v>
      </c>
      <c r="E16" s="32">
        <v>188.66</v>
      </c>
      <c r="F16" s="32">
        <v>7.55</v>
      </c>
      <c r="G16" s="31">
        <v>99.12</v>
      </c>
      <c r="H16" s="33">
        <f t="shared" si="0"/>
        <v>1.0400190819463586</v>
      </c>
      <c r="I16" s="31">
        <v>748.36</v>
      </c>
      <c r="J16" s="32">
        <v>3.8</v>
      </c>
      <c r="K16" s="34">
        <f t="shared" si="1"/>
        <v>2.0142054489557935E-2</v>
      </c>
      <c r="L16" s="293">
        <f t="shared" si="2"/>
        <v>3.7500000000000115</v>
      </c>
      <c r="M16" s="35">
        <f t="shared" si="3"/>
        <v>1.9877027456800655E-2</v>
      </c>
      <c r="N16" s="294">
        <f t="shared" si="4"/>
        <v>371.70000000000118</v>
      </c>
      <c r="O16" s="36" t="s">
        <v>139</v>
      </c>
      <c r="P16" s="36" t="s">
        <v>25</v>
      </c>
      <c r="Q16" s="36" t="s">
        <v>141</v>
      </c>
      <c r="R16" s="37" t="s">
        <v>59</v>
      </c>
    </row>
    <row r="17" spans="1:18" s="38" customFormat="1" ht="24.95" customHeight="1" x14ac:dyDescent="0.25">
      <c r="A17" s="292">
        <v>6</v>
      </c>
      <c r="B17" s="30" t="s">
        <v>65</v>
      </c>
      <c r="C17" s="31">
        <v>266.43</v>
      </c>
      <c r="D17" s="32">
        <v>76.73</v>
      </c>
      <c r="E17" s="32">
        <v>76.73</v>
      </c>
      <c r="F17" s="32">
        <v>3.34</v>
      </c>
      <c r="G17" s="31">
        <v>160.5</v>
      </c>
      <c r="H17" s="33">
        <f t="shared" si="0"/>
        <v>1.0435292584386811</v>
      </c>
      <c r="I17" s="31">
        <v>536.07000000000005</v>
      </c>
      <c r="J17" s="32">
        <v>1.66</v>
      </c>
      <c r="K17" s="34">
        <f t="shared" si="1"/>
        <v>2.1634302098266646E-2</v>
      </c>
      <c r="L17" s="293">
        <f t="shared" si="2"/>
        <v>1.6800000000000035</v>
      </c>
      <c r="M17" s="35">
        <f t="shared" si="3"/>
        <v>2.1894956340414485E-2</v>
      </c>
      <c r="N17" s="294">
        <f t="shared" si="4"/>
        <v>269.64000000000055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295">
        <v>7</v>
      </c>
      <c r="B18" s="30" t="s">
        <v>69</v>
      </c>
      <c r="C18" s="31">
        <v>251.09</v>
      </c>
      <c r="D18" s="32">
        <v>8033</v>
      </c>
      <c r="E18" s="32">
        <v>8033</v>
      </c>
      <c r="F18" s="32">
        <v>35.869999999999997</v>
      </c>
      <c r="G18" s="31">
        <v>7</v>
      </c>
      <c r="H18" s="33">
        <f t="shared" si="0"/>
        <v>1.0044653305116396</v>
      </c>
      <c r="I18" s="31">
        <v>251.09</v>
      </c>
      <c r="J18" s="32">
        <v>35.869999999999997</v>
      </c>
      <c r="K18" s="34">
        <f t="shared" si="1"/>
        <v>4.4653305116394868E-3</v>
      </c>
      <c r="L18" s="293">
        <f t="shared" si="2"/>
        <v>-1.0658141036401503E-13</v>
      </c>
      <c r="M18" s="35">
        <f t="shared" si="3"/>
        <v>-1.3267946018176898E-17</v>
      </c>
      <c r="N18" s="294">
        <f t="shared" si="4"/>
        <v>-7.460698725481052E-13</v>
      </c>
      <c r="O18" s="36" t="s">
        <v>142</v>
      </c>
      <c r="P18" s="36" t="s">
        <v>26</v>
      </c>
      <c r="Q18" s="36" t="s">
        <v>143</v>
      </c>
      <c r="R18" s="37" t="s">
        <v>59</v>
      </c>
    </row>
    <row r="19" spans="1:18" s="38" customFormat="1" ht="24.95" customHeight="1" x14ac:dyDescent="0.25">
      <c r="A19" s="292">
        <v>8</v>
      </c>
      <c r="B19" s="30" t="s">
        <v>301</v>
      </c>
      <c r="C19" s="31">
        <v>235.14</v>
      </c>
      <c r="D19" s="32">
        <v>9.5299999999999994</v>
      </c>
      <c r="E19" s="32">
        <v>9.5299999999999994</v>
      </c>
      <c r="F19" s="32">
        <v>0.3</v>
      </c>
      <c r="G19" s="31">
        <v>1567.63</v>
      </c>
      <c r="H19" s="33">
        <f t="shared" si="0"/>
        <v>1.031479538300105</v>
      </c>
      <c r="I19" s="31">
        <v>470.29</v>
      </c>
      <c r="J19" s="32">
        <v>0.15</v>
      </c>
      <c r="K19" s="34">
        <f t="shared" si="1"/>
        <v>1.5739769150052468E-2</v>
      </c>
      <c r="L19" s="293">
        <f t="shared" si="2"/>
        <v>0.15000000000000072</v>
      </c>
      <c r="M19" s="35">
        <f t="shared" si="3"/>
        <v>1.5739769150052541E-2</v>
      </c>
      <c r="N19" s="294">
        <f t="shared" si="4"/>
        <v>235.14450000000113</v>
      </c>
      <c r="O19" s="36" t="s">
        <v>139</v>
      </c>
      <c r="P19" s="36" t="s">
        <v>25</v>
      </c>
      <c r="Q19" s="36" t="s">
        <v>141</v>
      </c>
      <c r="R19" s="37" t="s">
        <v>79</v>
      </c>
    </row>
    <row r="20" spans="1:18" s="38" customFormat="1" ht="24.95" customHeight="1" x14ac:dyDescent="0.25">
      <c r="A20" s="295">
        <v>9</v>
      </c>
      <c r="B20" s="30" t="s">
        <v>254</v>
      </c>
      <c r="C20" s="31">
        <v>221.3</v>
      </c>
      <c r="D20" s="32">
        <v>100.53</v>
      </c>
      <c r="E20" s="32">
        <v>100.53</v>
      </c>
      <c r="F20" s="32">
        <v>3.97</v>
      </c>
      <c r="G20" s="31">
        <v>110.1</v>
      </c>
      <c r="H20" s="33">
        <f t="shared" si="0"/>
        <v>1.0394906992937432</v>
      </c>
      <c r="I20" s="31">
        <v>437.1</v>
      </c>
      <c r="J20" s="32">
        <v>2.0099999999999998</v>
      </c>
      <c r="K20" s="34">
        <f t="shared" si="1"/>
        <v>1.9994031632348551E-2</v>
      </c>
      <c r="L20" s="293">
        <f t="shared" si="2"/>
        <v>1.9599999999999991</v>
      </c>
      <c r="M20" s="35">
        <f t="shared" si="3"/>
        <v>1.9496667661394598E-2</v>
      </c>
      <c r="N20" s="294">
        <f t="shared" si="4"/>
        <v>215.79599999999988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296">
        <v>10</v>
      </c>
      <c r="B21" s="40" t="s">
        <v>66</v>
      </c>
      <c r="C21" s="41">
        <v>59.64</v>
      </c>
      <c r="D21" s="42">
        <v>1653</v>
      </c>
      <c r="E21" s="42">
        <v>1653</v>
      </c>
      <c r="F21" s="42">
        <v>16.57</v>
      </c>
      <c r="G21" s="41">
        <v>7.3</v>
      </c>
      <c r="H21" s="43">
        <f t="shared" si="0"/>
        <v>1.0100241984271021</v>
      </c>
      <c r="I21" s="41">
        <v>120.96</v>
      </c>
      <c r="J21" s="42">
        <v>8.17</v>
      </c>
      <c r="K21" s="44">
        <f t="shared" si="1"/>
        <v>4.9425287356321835E-3</v>
      </c>
      <c r="L21" s="297">
        <f t="shared" si="2"/>
        <v>8.3999999999999364</v>
      </c>
      <c r="M21" s="45">
        <f t="shared" si="3"/>
        <v>5.0816696914700163E-3</v>
      </c>
      <c r="N21" s="298">
        <f t="shared" si="4"/>
        <v>61.319999999999531</v>
      </c>
      <c r="O21" s="46" t="s">
        <v>139</v>
      </c>
      <c r="P21" s="46" t="s">
        <v>28</v>
      </c>
      <c r="Q21" s="46" t="s">
        <v>140</v>
      </c>
      <c r="R21" s="47" t="s">
        <v>67</v>
      </c>
    </row>
    <row r="22" spans="1:18" s="53" customFormat="1" ht="24.95" customHeight="1" thickBot="1" x14ac:dyDescent="0.3">
      <c r="A22" s="299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300"/>
      <c r="M22" s="51"/>
      <c r="N22" s="301"/>
      <c r="O22" s="52"/>
      <c r="P22" s="52"/>
      <c r="Q22" s="52"/>
      <c r="R22" s="48"/>
    </row>
    <row r="23" spans="1:18" s="53" customFormat="1" ht="40.5" customHeight="1" x14ac:dyDescent="0.25">
      <c r="A23" s="616" t="s">
        <v>563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564</v>
      </c>
      <c r="B24" s="620"/>
      <c r="C24" s="620"/>
      <c r="D24" s="620" t="s">
        <v>565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566</v>
      </c>
      <c r="P24" s="630" t="s">
        <v>567</v>
      </c>
      <c r="Q24" s="629" t="s">
        <v>568</v>
      </c>
      <c r="R24" s="1044" t="s">
        <v>569</v>
      </c>
    </row>
    <row r="25" spans="1:18" s="53" customFormat="1" ht="24.95" customHeight="1" x14ac:dyDescent="0.25">
      <c r="A25" s="1045" t="s">
        <v>570</v>
      </c>
      <c r="B25" s="634" t="s">
        <v>571</v>
      </c>
      <c r="C25" s="635"/>
      <c r="D25" s="636" t="s">
        <v>572</v>
      </c>
      <c r="E25" s="636"/>
      <c r="F25" s="636"/>
      <c r="G25" s="636"/>
      <c r="H25" s="636"/>
      <c r="I25" s="636"/>
      <c r="J25" s="637" t="s">
        <v>573</v>
      </c>
      <c r="K25" s="637"/>
      <c r="L25" s="637"/>
      <c r="M25" s="638"/>
      <c r="N25" s="638"/>
      <c r="O25" s="629"/>
      <c r="P25" s="629"/>
      <c r="Q25" s="629"/>
      <c r="R25" s="1044"/>
    </row>
    <row r="26" spans="1:18" s="53" customFormat="1" ht="24.95" customHeight="1" x14ac:dyDescent="0.3">
      <c r="A26" s="1046"/>
      <c r="B26" s="1051" t="s">
        <v>574</v>
      </c>
      <c r="C26" s="1053" t="s">
        <v>575</v>
      </c>
      <c r="D26" s="1055" t="s">
        <v>576</v>
      </c>
      <c r="E26" s="1055"/>
      <c r="F26" s="1055"/>
      <c r="G26" s="1055"/>
      <c r="H26" s="1055"/>
      <c r="I26" s="1055"/>
      <c r="J26" s="1056" t="s">
        <v>577</v>
      </c>
      <c r="K26" s="1059"/>
      <c r="L26" s="1057"/>
      <c r="M26" s="1056" t="s">
        <v>578</v>
      </c>
      <c r="N26" s="1057"/>
      <c r="O26" s="629"/>
      <c r="P26" s="629"/>
      <c r="Q26" s="629"/>
      <c r="R26" s="1044"/>
    </row>
    <row r="27" spans="1:18" s="53" customFormat="1" ht="50.1" customHeight="1" x14ac:dyDescent="0.25">
      <c r="A27" s="1047"/>
      <c r="B27" s="1052"/>
      <c r="C27" s="1054"/>
      <c r="D27" s="289" t="s">
        <v>579</v>
      </c>
      <c r="E27" s="289" t="s">
        <v>580</v>
      </c>
      <c r="F27" s="289" t="s">
        <v>581</v>
      </c>
      <c r="G27" s="289" t="s">
        <v>582</v>
      </c>
      <c r="H27" s="289" t="s">
        <v>583</v>
      </c>
      <c r="I27" s="289" t="s">
        <v>584</v>
      </c>
      <c r="J27" s="290" t="s">
        <v>585</v>
      </c>
      <c r="K27" s="290" t="s">
        <v>586</v>
      </c>
      <c r="L27" s="291" t="s">
        <v>587</v>
      </c>
      <c r="M27" s="290" t="s">
        <v>585</v>
      </c>
      <c r="N27" s="290" t="s">
        <v>586</v>
      </c>
      <c r="O27" s="629"/>
      <c r="P27" s="629"/>
      <c r="Q27" s="629"/>
      <c r="R27" s="1044"/>
    </row>
    <row r="28" spans="1:18" s="53" customFormat="1" ht="24.95" customHeight="1" x14ac:dyDescent="0.25">
      <c r="A28" s="292">
        <v>1</v>
      </c>
      <c r="B28" s="30" t="s">
        <v>530</v>
      </c>
      <c r="C28" s="31">
        <v>2094.52</v>
      </c>
      <c r="D28" s="32">
        <v>1019.48</v>
      </c>
      <c r="E28" s="32">
        <v>1019.48</v>
      </c>
      <c r="F28" s="32">
        <v>27.83</v>
      </c>
      <c r="G28" s="31">
        <v>77.260000000000005</v>
      </c>
      <c r="H28" s="54">
        <f t="shared" ref="H28:H37" si="5">(E28+F28)/D28</f>
        <v>1.0272982304704359</v>
      </c>
      <c r="I28" s="31">
        <v>2150.15</v>
      </c>
      <c r="J28" s="32">
        <v>0.72</v>
      </c>
      <c r="K28" s="34">
        <f t="shared" ref="K28:K37" si="6">J28/D28</f>
        <v>7.0624239808529839E-4</v>
      </c>
      <c r="L28" s="294">
        <f t="shared" ref="L28:L37" si="7">J28*G28</f>
        <v>55.627200000000002</v>
      </c>
      <c r="M28" s="293">
        <f t="shared" ref="M28:M37" si="8">((E28+F28)-D28)-J28</f>
        <v>27.109999999999928</v>
      </c>
      <c r="N28" s="35">
        <f t="shared" ref="N28:N37" si="9">M28/D28</f>
        <v>2.6591988072350539E-2</v>
      </c>
      <c r="O28" s="55" t="s">
        <v>133</v>
      </c>
      <c r="P28" s="56" t="s">
        <v>25</v>
      </c>
      <c r="Q28" s="56" t="s">
        <v>134</v>
      </c>
      <c r="R28" s="37" t="s">
        <v>182</v>
      </c>
    </row>
    <row r="29" spans="1:18" s="53" customFormat="1" ht="24.75" customHeight="1" x14ac:dyDescent="0.25">
      <c r="A29" s="295">
        <v>2</v>
      </c>
      <c r="B29" s="30" t="s">
        <v>74</v>
      </c>
      <c r="C29" s="31">
        <v>1569.07</v>
      </c>
      <c r="D29" s="32">
        <v>346.48</v>
      </c>
      <c r="E29" s="32">
        <v>346.48</v>
      </c>
      <c r="F29" s="32">
        <v>12.16</v>
      </c>
      <c r="G29" s="31">
        <v>133.88</v>
      </c>
      <c r="H29" s="54">
        <f t="shared" si="5"/>
        <v>1.035095820826599</v>
      </c>
      <c r="I29" s="31">
        <v>1627.98</v>
      </c>
      <c r="J29" s="32">
        <v>0.44</v>
      </c>
      <c r="K29" s="34">
        <f t="shared" si="6"/>
        <v>1.2699145693835141E-3</v>
      </c>
      <c r="L29" s="294">
        <f t="shared" si="7"/>
        <v>58.907199999999996</v>
      </c>
      <c r="M29" s="293">
        <f t="shared" si="8"/>
        <v>11.720000000000026</v>
      </c>
      <c r="N29" s="35">
        <f t="shared" si="9"/>
        <v>3.3825906257215495E-2</v>
      </c>
      <c r="O29" s="55" t="s">
        <v>133</v>
      </c>
      <c r="P29" s="56" t="s">
        <v>25</v>
      </c>
      <c r="Q29" s="56" t="s">
        <v>134</v>
      </c>
      <c r="R29" s="37" t="s">
        <v>75</v>
      </c>
    </row>
    <row r="30" spans="1:18" s="53" customFormat="1" ht="24.95" customHeight="1" x14ac:dyDescent="0.25">
      <c r="A30" s="295">
        <v>3</v>
      </c>
      <c r="B30" s="30" t="s">
        <v>76</v>
      </c>
      <c r="C30" s="31">
        <v>1406.5</v>
      </c>
      <c r="D30" s="32">
        <v>615.44000000000005</v>
      </c>
      <c r="E30" s="32">
        <v>615.44000000000005</v>
      </c>
      <c r="F30" s="32">
        <v>24</v>
      </c>
      <c r="G30" s="31">
        <v>60.94</v>
      </c>
      <c r="H30" s="54">
        <f t="shared" si="5"/>
        <v>1.0389964903158715</v>
      </c>
      <c r="I30" s="31">
        <v>1462.56</v>
      </c>
      <c r="J30" s="57">
        <v>0.92</v>
      </c>
      <c r="K30" s="34">
        <f t="shared" si="6"/>
        <v>1.4948654621084101E-3</v>
      </c>
      <c r="L30" s="294">
        <f t="shared" si="7"/>
        <v>56.064799999999998</v>
      </c>
      <c r="M30" s="293">
        <f t="shared" si="8"/>
        <v>23.08</v>
      </c>
      <c r="N30" s="35">
        <f t="shared" si="9"/>
        <v>3.7501624853763155E-2</v>
      </c>
      <c r="O30" s="55" t="s">
        <v>133</v>
      </c>
      <c r="P30" s="56" t="s">
        <v>25</v>
      </c>
      <c r="Q30" s="56" t="s">
        <v>134</v>
      </c>
      <c r="R30" s="37" t="s">
        <v>77</v>
      </c>
    </row>
    <row r="31" spans="1:18" s="53" customFormat="1" ht="24.95" customHeight="1" x14ac:dyDescent="0.25">
      <c r="A31" s="292">
        <v>4</v>
      </c>
      <c r="B31" s="30" t="s">
        <v>80</v>
      </c>
      <c r="C31" s="31">
        <v>1330.64</v>
      </c>
      <c r="D31" s="32">
        <v>252.46</v>
      </c>
      <c r="E31" s="32">
        <v>252.46</v>
      </c>
      <c r="F31" s="32">
        <v>8.86</v>
      </c>
      <c r="G31" s="31">
        <v>156.72999999999999</v>
      </c>
      <c r="H31" s="54">
        <f t="shared" si="5"/>
        <v>1.0350946684623306</v>
      </c>
      <c r="I31" s="31">
        <v>1388.63</v>
      </c>
      <c r="J31" s="32">
        <v>0.37</v>
      </c>
      <c r="K31" s="34">
        <f t="shared" si="6"/>
        <v>1.4655787055375107E-3</v>
      </c>
      <c r="L31" s="294">
        <f t="shared" si="7"/>
        <v>57.990099999999998</v>
      </c>
      <c r="M31" s="293">
        <f t="shared" si="8"/>
        <v>8.489999999999986</v>
      </c>
      <c r="N31" s="35">
        <f t="shared" si="9"/>
        <v>3.3629089756793101E-2</v>
      </c>
      <c r="O31" s="55" t="s">
        <v>133</v>
      </c>
      <c r="P31" s="56" t="s">
        <v>25</v>
      </c>
      <c r="Q31" s="56" t="s">
        <v>136</v>
      </c>
      <c r="R31" s="37" t="s">
        <v>59</v>
      </c>
    </row>
    <row r="32" spans="1:18" s="53" customFormat="1" ht="24.95" customHeight="1" x14ac:dyDescent="0.25">
      <c r="A32" s="295">
        <v>5</v>
      </c>
      <c r="B32" s="30" t="s">
        <v>78</v>
      </c>
      <c r="C32" s="31">
        <v>1307.54</v>
      </c>
      <c r="D32" s="32">
        <v>508.32</v>
      </c>
      <c r="E32" s="32">
        <v>508.32</v>
      </c>
      <c r="F32" s="32">
        <v>17.84</v>
      </c>
      <c r="G32" s="31">
        <v>76.42</v>
      </c>
      <c r="H32" s="54">
        <f t="shared" si="5"/>
        <v>1.0350960025180989</v>
      </c>
      <c r="I32" s="31">
        <v>1363.33</v>
      </c>
      <c r="J32" s="32">
        <v>0.73</v>
      </c>
      <c r="K32" s="34">
        <f t="shared" si="6"/>
        <v>1.4361032420522506E-3</v>
      </c>
      <c r="L32" s="294">
        <f t="shared" si="7"/>
        <v>55.7866</v>
      </c>
      <c r="M32" s="293">
        <f t="shared" si="8"/>
        <v>17.109999999999975</v>
      </c>
      <c r="N32" s="35">
        <f t="shared" si="9"/>
        <v>3.3659899276046533E-2</v>
      </c>
      <c r="O32" s="55" t="s">
        <v>133</v>
      </c>
      <c r="P32" s="56" t="s">
        <v>25</v>
      </c>
      <c r="Q32" s="56" t="s">
        <v>135</v>
      </c>
      <c r="R32" s="37" t="s">
        <v>79</v>
      </c>
    </row>
    <row r="33" spans="1:18" s="53" customFormat="1" ht="24.95" customHeight="1" x14ac:dyDescent="0.25">
      <c r="A33" s="292">
        <v>6</v>
      </c>
      <c r="B33" s="30" t="s">
        <v>83</v>
      </c>
      <c r="C33" s="31">
        <v>1305.28</v>
      </c>
      <c r="D33" s="32">
        <v>453.7</v>
      </c>
      <c r="E33" s="32">
        <v>453.7</v>
      </c>
      <c r="F33" s="32">
        <v>15.92</v>
      </c>
      <c r="G33" s="31">
        <v>85.48</v>
      </c>
      <c r="H33" s="54">
        <f t="shared" si="5"/>
        <v>1.0350892660348248</v>
      </c>
      <c r="I33" s="31">
        <v>1360.84</v>
      </c>
      <c r="J33" s="32">
        <v>0.65</v>
      </c>
      <c r="K33" s="34">
        <f t="shared" si="6"/>
        <v>1.4326647564469916E-3</v>
      </c>
      <c r="L33" s="294">
        <f t="shared" si="7"/>
        <v>55.562000000000005</v>
      </c>
      <c r="M33" s="293">
        <f t="shared" si="8"/>
        <v>15.270000000000016</v>
      </c>
      <c r="N33" s="35">
        <f t="shared" si="9"/>
        <v>3.3656601278377815E-2</v>
      </c>
      <c r="O33" s="55" t="s">
        <v>133</v>
      </c>
      <c r="P33" s="56" t="s">
        <v>25</v>
      </c>
      <c r="Q33" s="56" t="s">
        <v>134</v>
      </c>
      <c r="R33" s="37" t="s">
        <v>84</v>
      </c>
    </row>
    <row r="34" spans="1:18" s="53" customFormat="1" ht="24.95" customHeight="1" x14ac:dyDescent="0.25">
      <c r="A34" s="295">
        <v>7</v>
      </c>
      <c r="B34" s="30" t="s">
        <v>81</v>
      </c>
      <c r="C34" s="31">
        <v>1276.8599999999999</v>
      </c>
      <c r="D34" s="32">
        <v>542.38</v>
      </c>
      <c r="E34" s="32">
        <v>542.38</v>
      </c>
      <c r="F34" s="32">
        <v>16.920000000000002</v>
      </c>
      <c r="G34" s="31">
        <v>78.77</v>
      </c>
      <c r="H34" s="54">
        <f t="shared" si="5"/>
        <v>1.0311958405545927</v>
      </c>
      <c r="I34" s="31">
        <v>1332.79</v>
      </c>
      <c r="J34" s="32">
        <v>0.71</v>
      </c>
      <c r="K34" s="34">
        <f t="shared" si="6"/>
        <v>1.309045318780191E-3</v>
      </c>
      <c r="L34" s="294">
        <f t="shared" si="7"/>
        <v>55.926699999999997</v>
      </c>
      <c r="M34" s="293">
        <f t="shared" si="8"/>
        <v>16.209999999999958</v>
      </c>
      <c r="N34" s="35">
        <f t="shared" si="9"/>
        <v>2.9886795235812454E-2</v>
      </c>
      <c r="O34" s="55" t="s">
        <v>133</v>
      </c>
      <c r="P34" s="56" t="s">
        <v>25</v>
      </c>
      <c r="Q34" s="56" t="s">
        <v>137</v>
      </c>
      <c r="R34" s="37" t="s">
        <v>82</v>
      </c>
    </row>
    <row r="35" spans="1:18" s="53" customFormat="1" ht="24.95" customHeight="1" x14ac:dyDescent="0.25">
      <c r="A35" s="292">
        <v>8</v>
      </c>
      <c r="B35" s="30" t="s">
        <v>70</v>
      </c>
      <c r="C35" s="31">
        <v>1164.25</v>
      </c>
      <c r="D35" s="32">
        <v>38.4</v>
      </c>
      <c r="E35" s="32">
        <v>38.4</v>
      </c>
      <c r="F35" s="32">
        <v>1.5</v>
      </c>
      <c r="G35" s="31">
        <v>814.16</v>
      </c>
      <c r="H35" s="54">
        <f t="shared" si="5"/>
        <v>1.0390625</v>
      </c>
      <c r="I35" s="31">
        <v>1221.24</v>
      </c>
      <c r="J35" s="32">
        <v>7.0000000000000007E-2</v>
      </c>
      <c r="K35" s="34">
        <f t="shared" si="6"/>
        <v>1.8229166666666669E-3</v>
      </c>
      <c r="L35" s="294">
        <f t="shared" si="7"/>
        <v>56.991200000000006</v>
      </c>
      <c r="M35" s="293">
        <f t="shared" si="8"/>
        <v>1.43</v>
      </c>
      <c r="N35" s="35">
        <f t="shared" si="9"/>
        <v>3.7239583333333333E-2</v>
      </c>
      <c r="O35" s="55" t="s">
        <v>133</v>
      </c>
      <c r="P35" s="56" t="s">
        <v>27</v>
      </c>
      <c r="Q35" s="56" t="s">
        <v>590</v>
      </c>
      <c r="R35" s="37" t="s">
        <v>71</v>
      </c>
    </row>
    <row r="36" spans="1:18" s="53" customFormat="1" ht="24.95" customHeight="1" x14ac:dyDescent="0.25">
      <c r="A36" s="295">
        <v>9</v>
      </c>
      <c r="B36" s="30" t="s">
        <v>85</v>
      </c>
      <c r="C36" s="31">
        <v>1148.2</v>
      </c>
      <c r="D36" s="32">
        <v>485.46</v>
      </c>
      <c r="E36" s="32">
        <v>485.46</v>
      </c>
      <c r="F36" s="32">
        <v>15.15</v>
      </c>
      <c r="G36" s="31">
        <v>79.459999999999994</v>
      </c>
      <c r="H36" s="54">
        <f t="shared" si="5"/>
        <v>1.0312075145223087</v>
      </c>
      <c r="I36" s="31">
        <v>1203.82</v>
      </c>
      <c r="J36" s="32">
        <v>0.7</v>
      </c>
      <c r="K36" s="34">
        <f t="shared" si="6"/>
        <v>1.4419313640670704E-3</v>
      </c>
      <c r="L36" s="294">
        <f t="shared" si="7"/>
        <v>55.621999999999993</v>
      </c>
      <c r="M36" s="293">
        <f t="shared" si="8"/>
        <v>14.449999999999978</v>
      </c>
      <c r="N36" s="35">
        <f t="shared" si="9"/>
        <v>2.9765583158241623E-2</v>
      </c>
      <c r="O36" s="55" t="s">
        <v>133</v>
      </c>
      <c r="P36" s="56" t="s">
        <v>25</v>
      </c>
      <c r="Q36" s="56" t="s">
        <v>137</v>
      </c>
      <c r="R36" s="37" t="s">
        <v>86</v>
      </c>
    </row>
    <row r="37" spans="1:18" s="53" customFormat="1" ht="24.95" customHeight="1" thickBot="1" x14ac:dyDescent="0.3">
      <c r="A37" s="296">
        <v>10</v>
      </c>
      <c r="B37" s="40" t="s">
        <v>62</v>
      </c>
      <c r="C37" s="41">
        <v>1021.9300000000001</v>
      </c>
      <c r="D37" s="42">
        <v>294</v>
      </c>
      <c r="E37" s="42">
        <v>294</v>
      </c>
      <c r="F37" s="42">
        <v>25.74</v>
      </c>
      <c r="G37" s="41">
        <v>111.2</v>
      </c>
      <c r="H37" s="58">
        <f t="shared" si="5"/>
        <v>1.0875510204081633</v>
      </c>
      <c r="I37" s="41">
        <v>2862.29</v>
      </c>
      <c r="J37" s="42">
        <v>16.55</v>
      </c>
      <c r="K37" s="44">
        <f t="shared" si="6"/>
        <v>5.6292517006802725E-2</v>
      </c>
      <c r="L37" s="298">
        <f t="shared" si="7"/>
        <v>1840.3600000000001</v>
      </c>
      <c r="M37" s="297">
        <f t="shared" si="8"/>
        <v>9.1900000000000084</v>
      </c>
      <c r="N37" s="45">
        <f t="shared" si="9"/>
        <v>3.125850340136057E-2</v>
      </c>
      <c r="O37" s="59" t="s">
        <v>133</v>
      </c>
      <c r="P37" s="60" t="s">
        <v>25</v>
      </c>
      <c r="Q37" s="60" t="s">
        <v>135</v>
      </c>
      <c r="R37" s="61" t="s">
        <v>63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305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45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060" t="s">
        <v>97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1060"/>
      <c r="B42" s="1061" t="s">
        <v>100</v>
      </c>
      <c r="C42" s="1062" t="s">
        <v>101</v>
      </c>
      <c r="D42" s="1044" t="s">
        <v>267</v>
      </c>
      <c r="E42" s="62"/>
      <c r="G42" s="64"/>
      <c r="H42" s="65"/>
    </row>
    <row r="43" spans="1:18" ht="20.45" customHeight="1" x14ac:dyDescent="0.35">
      <c r="A43" s="1060"/>
      <c r="B43" s="1061"/>
      <c r="C43" s="1062"/>
      <c r="D43" s="1044"/>
      <c r="E43" s="62"/>
      <c r="G43" s="64"/>
      <c r="H43" s="65"/>
    </row>
    <row r="44" spans="1:18" s="68" customFormat="1" ht="24.95" customHeight="1" x14ac:dyDescent="0.35">
      <c r="A44" s="302">
        <v>1</v>
      </c>
      <c r="B44" s="30" t="s">
        <v>58</v>
      </c>
      <c r="C44" s="31">
        <v>923.01</v>
      </c>
      <c r="D44" s="66">
        <f t="shared" ref="D44:D53" si="10">C44/$L$5</f>
        <v>0.24088848523758452</v>
      </c>
      <c r="E44" s="67"/>
      <c r="G44" s="64"/>
      <c r="H44" s="65"/>
    </row>
    <row r="45" spans="1:18" s="68" customFormat="1" ht="24.95" customHeight="1" x14ac:dyDescent="0.35">
      <c r="A45" s="303">
        <v>2</v>
      </c>
      <c r="B45" s="30" t="s">
        <v>61</v>
      </c>
      <c r="C45" s="31">
        <v>550.41999999999996</v>
      </c>
      <c r="D45" s="66">
        <f t="shared" si="10"/>
        <v>0.14364940796358788</v>
      </c>
      <c r="E45" s="67"/>
      <c r="G45" s="64"/>
      <c r="H45" s="65"/>
    </row>
    <row r="46" spans="1:18" s="68" customFormat="1" ht="24.95" customHeight="1" x14ac:dyDescent="0.35">
      <c r="A46" s="303">
        <v>3</v>
      </c>
      <c r="B46" s="30" t="s">
        <v>60</v>
      </c>
      <c r="C46" s="31">
        <v>376.66</v>
      </c>
      <c r="D46" s="66">
        <f t="shared" si="10"/>
        <v>9.8301271762590431E-2</v>
      </c>
      <c r="E46" s="67"/>
      <c r="G46" s="64"/>
      <c r="H46" s="65"/>
    </row>
    <row r="47" spans="1:18" s="68" customFormat="1" ht="24.95" customHeight="1" x14ac:dyDescent="0.35">
      <c r="A47" s="302">
        <v>4</v>
      </c>
      <c r="B47" s="30" t="s">
        <v>65</v>
      </c>
      <c r="C47" s="31">
        <v>266.43</v>
      </c>
      <c r="D47" s="66">
        <f t="shared" si="10"/>
        <v>6.9533286878635817E-2</v>
      </c>
      <c r="E47" s="67"/>
      <c r="G47" s="64"/>
      <c r="H47" s="65"/>
    </row>
    <row r="48" spans="1:18" s="68" customFormat="1" ht="24.95" customHeight="1" x14ac:dyDescent="0.35">
      <c r="A48" s="303">
        <v>5</v>
      </c>
      <c r="B48" s="30" t="s">
        <v>69</v>
      </c>
      <c r="C48" s="31">
        <v>251.09</v>
      </c>
      <c r="D48" s="66">
        <f t="shared" si="10"/>
        <v>6.5529831484279794E-2</v>
      </c>
      <c r="E48" s="67"/>
      <c r="G48" s="64"/>
      <c r="H48" s="65"/>
    </row>
    <row r="49" spans="1:5" s="68" customFormat="1" ht="24.95" customHeight="1" x14ac:dyDescent="0.25">
      <c r="A49" s="302">
        <v>6</v>
      </c>
      <c r="B49" s="30" t="s">
        <v>254</v>
      </c>
      <c r="C49" s="31">
        <v>221.3</v>
      </c>
      <c r="D49" s="66">
        <f t="shared" si="10"/>
        <v>5.7755194183245526E-2</v>
      </c>
      <c r="E49" s="67"/>
    </row>
    <row r="50" spans="1:5" s="68" customFormat="1" ht="24.95" customHeight="1" x14ac:dyDescent="0.25">
      <c r="A50" s="303">
        <v>7</v>
      </c>
      <c r="B50" s="30" t="s">
        <v>531</v>
      </c>
      <c r="C50" s="31">
        <v>59.58</v>
      </c>
      <c r="D50" s="66">
        <f t="shared" si="10"/>
        <v>1.5549274602068543E-2</v>
      </c>
      <c r="E50" s="67"/>
    </row>
    <row r="51" spans="1:5" s="68" customFormat="1" ht="24.95" customHeight="1" x14ac:dyDescent="0.25">
      <c r="A51" s="302">
        <v>8</v>
      </c>
      <c r="B51" s="30" t="s">
        <v>80</v>
      </c>
      <c r="C51" s="31">
        <v>57.99</v>
      </c>
      <c r="D51" s="66">
        <f t="shared" si="10"/>
        <v>1.513431410161052E-2</v>
      </c>
      <c r="E51" s="67"/>
    </row>
    <row r="52" spans="1:5" s="68" customFormat="1" ht="24.95" customHeight="1" x14ac:dyDescent="0.25">
      <c r="A52" s="303">
        <v>9</v>
      </c>
      <c r="B52" s="30" t="s">
        <v>68</v>
      </c>
      <c r="C52" s="31">
        <v>57.99</v>
      </c>
      <c r="D52" s="66">
        <f t="shared" si="10"/>
        <v>1.513431410161052E-2</v>
      </c>
      <c r="E52" s="67"/>
    </row>
    <row r="53" spans="1:5" s="68" customFormat="1" ht="24.95" customHeight="1" thickBot="1" x14ac:dyDescent="0.3">
      <c r="A53" s="304">
        <v>10</v>
      </c>
      <c r="B53" s="40" t="s">
        <v>183</v>
      </c>
      <c r="C53" s="41">
        <v>57.42</v>
      </c>
      <c r="D53" s="69">
        <f t="shared" si="10"/>
        <v>1.4985554676918022E-2</v>
      </c>
      <c r="E53" s="67"/>
    </row>
    <row r="54" spans="1:5" x14ac:dyDescent="0.25">
      <c r="A54" s="614" t="s">
        <v>588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589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493" priority="33" operator="containsText" text="024">
      <formula>NOT(ISERROR(SEARCH("024",A12)))</formula>
    </cfRule>
    <cfRule type="containsText" dxfId="492" priority="34" operator="containsText" text="白醬">
      <formula>NOT(ISERROR(SEARCH("白醬",A12)))</formula>
    </cfRule>
    <cfRule type="containsText" dxfId="491" priority="35" operator="containsText" text="青蔥">
      <formula>NOT(ISERROR(SEARCH("青蔥",A12)))</formula>
    </cfRule>
    <cfRule type="containsText" dxfId="490" priority="36" operator="containsText" text=")川燙小青花菜">
      <formula>NOT(ISERROR(SEARCH(")川燙小青花菜",A12)))</formula>
    </cfRule>
    <cfRule type="containsText" dxfId="489" priority="37" operator="containsText" text="湯凍">
      <formula>NOT(ISERROR(SEARCH("湯凍",A12)))</formula>
    </cfRule>
    <cfRule type="containsText" dxfId="488" priority="38" operator="containsText" text="中華">
      <formula>NOT(ISERROR(SEARCH("中華",A12)))</formula>
    </cfRule>
  </conditionalFormatting>
  <conditionalFormatting sqref="A12:A22">
    <cfRule type="containsText" dxfId="487" priority="31" operator="containsText" text="綠豆芽">
      <formula>NOT(ISERROR(SEARCH("綠豆芽",A12)))</formula>
    </cfRule>
    <cfRule type="containsText" dxfId="486" priority="32" operator="containsText" text="煮白細麵生(方#12)">
      <formula>NOT(ISERROR(SEARCH("煮白細麵生(方#12)",A12)))</formula>
    </cfRule>
  </conditionalFormatting>
  <conditionalFormatting sqref="E5">
    <cfRule type="cellIs" dxfId="485" priority="16" operator="greaterThan">
      <formula>0.0025</formula>
    </cfRule>
    <cfRule type="cellIs" dxfId="484" priority="19" operator="greaterThan">
      <formula>0.0025</formula>
    </cfRule>
    <cfRule type="cellIs" dxfId="483" priority="29" operator="greaterThan">
      <formula>0.072</formula>
    </cfRule>
    <cfRule type="cellIs" dxfId="482" priority="30" operator="greaterThan">
      <formula>7.2</formula>
    </cfRule>
  </conditionalFormatting>
  <conditionalFormatting sqref="E5">
    <cfRule type="cellIs" dxfId="481" priority="28" operator="greaterThan">
      <formula>0.0025</formula>
    </cfRule>
  </conditionalFormatting>
  <conditionalFormatting sqref="A44:A53">
    <cfRule type="containsText" dxfId="480" priority="22" operator="containsText" text="024">
      <formula>NOT(ISERROR(SEARCH("024",A44)))</formula>
    </cfRule>
    <cfRule type="containsText" dxfId="479" priority="23" operator="containsText" text="白醬">
      <formula>NOT(ISERROR(SEARCH("白醬",A44)))</formula>
    </cfRule>
    <cfRule type="containsText" dxfId="478" priority="24" operator="containsText" text="青蔥">
      <formula>NOT(ISERROR(SEARCH("青蔥",A44)))</formula>
    </cfRule>
    <cfRule type="containsText" dxfId="477" priority="25" operator="containsText" text=")川燙小青花菜">
      <formula>NOT(ISERROR(SEARCH(")川燙小青花菜",A44)))</formula>
    </cfRule>
    <cfRule type="containsText" dxfId="476" priority="26" operator="containsText" text="湯凍">
      <formula>NOT(ISERROR(SEARCH("湯凍",A44)))</formula>
    </cfRule>
    <cfRule type="containsText" dxfId="475" priority="27" operator="containsText" text="中華">
      <formula>NOT(ISERROR(SEARCH("中華",A44)))</formula>
    </cfRule>
  </conditionalFormatting>
  <conditionalFormatting sqref="A44:A53">
    <cfRule type="containsText" dxfId="474" priority="20" operator="containsText" text="綠豆芽">
      <formula>NOT(ISERROR(SEARCH("綠豆芽",A44)))</formula>
    </cfRule>
    <cfRule type="containsText" dxfId="473" priority="21" operator="containsText" text="煮白細麵生(方#12)">
      <formula>NOT(ISERROR(SEARCH("煮白細麵生(方#12)",A44)))</formula>
    </cfRule>
  </conditionalFormatting>
  <conditionalFormatting sqref="D44:D53">
    <cfRule type="cellIs" dxfId="472" priority="18" operator="greaterThan">
      <formula>0.146</formula>
    </cfRule>
  </conditionalFormatting>
  <conditionalFormatting sqref="H12:H22">
    <cfRule type="cellIs" dxfId="471" priority="17" operator="greaterThan">
      <formula>1.1</formula>
    </cfRule>
  </conditionalFormatting>
  <conditionalFormatting sqref="I5">
    <cfRule type="cellIs" dxfId="470" priority="15" operator="greaterThan">
      <formula>0.2</formula>
    </cfRule>
  </conditionalFormatting>
  <conditionalFormatting sqref="A28:A37">
    <cfRule type="containsText" dxfId="469" priority="9" operator="containsText" text="024">
      <formula>NOT(ISERROR(SEARCH("024",A28)))</formula>
    </cfRule>
    <cfRule type="containsText" dxfId="468" priority="10" operator="containsText" text="白醬">
      <formula>NOT(ISERROR(SEARCH("白醬",A28)))</formula>
    </cfRule>
    <cfRule type="containsText" dxfId="467" priority="11" operator="containsText" text="青蔥">
      <formula>NOT(ISERROR(SEARCH("青蔥",A28)))</formula>
    </cfRule>
    <cfRule type="containsText" dxfId="466" priority="12" operator="containsText" text=")川燙小青花菜">
      <formula>NOT(ISERROR(SEARCH(")川燙小青花菜",A28)))</formula>
    </cfRule>
    <cfRule type="containsText" dxfId="465" priority="13" operator="containsText" text="湯凍">
      <formula>NOT(ISERROR(SEARCH("湯凍",A28)))</formula>
    </cfRule>
    <cfRule type="containsText" dxfId="464" priority="14" operator="containsText" text="中華">
      <formula>NOT(ISERROR(SEARCH("中華",A28)))</formula>
    </cfRule>
  </conditionalFormatting>
  <conditionalFormatting sqref="A28:A37">
    <cfRule type="containsText" dxfId="463" priority="7" operator="containsText" text="綠豆芽">
      <formula>NOT(ISERROR(SEARCH("綠豆芽",A28)))</formula>
    </cfRule>
    <cfRule type="containsText" dxfId="462" priority="8" operator="containsText" text="煮白細麵生(方#12)">
      <formula>NOT(ISERROR(SEARCH("煮白細麵生(方#12)",A28)))</formula>
    </cfRule>
  </conditionalFormatting>
  <conditionalFormatting sqref="H28:H37">
    <cfRule type="cellIs" dxfId="461" priority="6" operator="greaterThan">
      <formula>1.1</formula>
    </cfRule>
  </conditionalFormatting>
  <conditionalFormatting sqref="G5">
    <cfRule type="cellIs" dxfId="460" priority="1" operator="greaterThan">
      <formula>0.0025</formula>
    </cfRule>
    <cfRule type="cellIs" dxfId="459" priority="2" operator="greaterThan">
      <formula>0.0025</formula>
    </cfRule>
    <cfRule type="cellIs" dxfId="458" priority="4" operator="greaterThan">
      <formula>0.072</formula>
    </cfRule>
    <cfRule type="cellIs" dxfId="457" priority="5" operator="greaterThan">
      <formula>7.2</formula>
    </cfRule>
  </conditionalFormatting>
  <conditionalFormatting sqref="G5">
    <cfRule type="cellIs" dxfId="45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084" t="s">
        <v>31</v>
      </c>
      <c r="B2" s="1085"/>
      <c r="C2" s="269" t="s">
        <v>32</v>
      </c>
      <c r="D2" s="1086" t="s">
        <v>33</v>
      </c>
      <c r="E2" s="1086"/>
      <c r="F2" s="1086" t="s">
        <v>34</v>
      </c>
      <c r="G2" s="1086"/>
      <c r="H2" s="1086" t="s">
        <v>33</v>
      </c>
      <c r="I2" s="1086"/>
      <c r="J2" s="1086" t="s">
        <v>34</v>
      </c>
      <c r="K2" s="1086"/>
      <c r="L2" s="1086" t="s">
        <v>33</v>
      </c>
      <c r="M2" s="1087"/>
      <c r="R2" s="17"/>
    </row>
    <row r="3" spans="1:18" s="18" customFormat="1" ht="28.5" x14ac:dyDescent="0.45">
      <c r="A3" s="1081">
        <v>45912</v>
      </c>
      <c r="B3" s="1082"/>
      <c r="C3" s="1083">
        <v>4572248.96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081"/>
      <c r="B4" s="1082"/>
      <c r="C4" s="108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079" t="s">
        <v>44</v>
      </c>
      <c r="B5" s="1080"/>
      <c r="C5" s="1080"/>
      <c r="D5" s="270">
        <v>11169.539999999999</v>
      </c>
      <c r="E5" s="22">
        <f>D5/C3</f>
        <v>2.4428984724401358E-3</v>
      </c>
      <c r="F5" s="270">
        <v>34705.800000000003</v>
      </c>
      <c r="G5" s="23">
        <f>F5/C3</f>
        <v>7.5905315532074618E-3</v>
      </c>
      <c r="H5" s="24">
        <f>SUM(C12:C21)</f>
        <v>3939.91</v>
      </c>
      <c r="I5" s="25">
        <f>H5/D5</f>
        <v>0.35273699722638535</v>
      </c>
      <c r="J5" s="24">
        <f>SUM(C28:C37)</f>
        <v>11846.59</v>
      </c>
      <c r="K5" s="26">
        <f>J5/F5</f>
        <v>0.34134323369580877</v>
      </c>
      <c r="L5" s="27">
        <v>4417.4199999999992</v>
      </c>
      <c r="M5" s="28">
        <f>L5/D5</f>
        <v>0.39548808634912447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532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533</v>
      </c>
      <c r="B8" s="620"/>
      <c r="C8" s="620"/>
      <c r="D8" s="620" t="s">
        <v>534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535</v>
      </c>
      <c r="P8" s="630" t="s">
        <v>536</v>
      </c>
      <c r="Q8" s="629" t="s">
        <v>537</v>
      </c>
      <c r="R8" s="1066" t="s">
        <v>538</v>
      </c>
    </row>
    <row r="9" spans="1:18" ht="20.45" customHeight="1" x14ac:dyDescent="0.25">
      <c r="A9" s="1067" t="s">
        <v>539</v>
      </c>
      <c r="B9" s="634" t="s">
        <v>540</v>
      </c>
      <c r="C9" s="635"/>
      <c r="D9" s="636" t="s">
        <v>541</v>
      </c>
      <c r="E9" s="636"/>
      <c r="F9" s="636"/>
      <c r="G9" s="636"/>
      <c r="H9" s="636"/>
      <c r="I9" s="636"/>
      <c r="J9" s="637" t="s">
        <v>542</v>
      </c>
      <c r="K9" s="637"/>
      <c r="L9" s="637"/>
      <c r="M9" s="638"/>
      <c r="N9" s="638"/>
      <c r="O9" s="629"/>
      <c r="P9" s="629"/>
      <c r="Q9" s="629"/>
      <c r="R9" s="1066"/>
    </row>
    <row r="10" spans="1:18" ht="20.45" customHeight="1" x14ac:dyDescent="0.3">
      <c r="A10" s="1068"/>
      <c r="B10" s="1070" t="s">
        <v>543</v>
      </c>
      <c r="C10" s="1072" t="s">
        <v>544</v>
      </c>
      <c r="D10" s="1074" t="s">
        <v>545</v>
      </c>
      <c r="E10" s="1074"/>
      <c r="F10" s="1074"/>
      <c r="G10" s="1074"/>
      <c r="H10" s="1074"/>
      <c r="I10" s="1074"/>
      <c r="J10" s="1075" t="s">
        <v>546</v>
      </c>
      <c r="K10" s="1077"/>
      <c r="L10" s="1078" t="s">
        <v>547</v>
      </c>
      <c r="M10" s="1075"/>
      <c r="N10" s="1075"/>
      <c r="O10" s="629"/>
      <c r="P10" s="629"/>
      <c r="Q10" s="629"/>
      <c r="R10" s="1066"/>
    </row>
    <row r="11" spans="1:18" s="29" customFormat="1" ht="47.25" customHeight="1" x14ac:dyDescent="0.25">
      <c r="A11" s="1069"/>
      <c r="B11" s="1071"/>
      <c r="C11" s="1073"/>
      <c r="D11" s="271" t="s">
        <v>548</v>
      </c>
      <c r="E11" s="271" t="s">
        <v>549</v>
      </c>
      <c r="F11" s="271" t="s">
        <v>550</v>
      </c>
      <c r="G11" s="271" t="s">
        <v>551</v>
      </c>
      <c r="H11" s="271" t="s">
        <v>552</v>
      </c>
      <c r="I11" s="271" t="s">
        <v>553</v>
      </c>
      <c r="J11" s="272" t="s">
        <v>554</v>
      </c>
      <c r="K11" s="272" t="s">
        <v>555</v>
      </c>
      <c r="L11" s="272" t="s">
        <v>554</v>
      </c>
      <c r="M11" s="272" t="s">
        <v>555</v>
      </c>
      <c r="N11" s="273" t="s">
        <v>556</v>
      </c>
      <c r="O11" s="629"/>
      <c r="P11" s="629"/>
      <c r="Q11" s="629"/>
      <c r="R11" s="1066"/>
    </row>
    <row r="12" spans="1:18" s="38" customFormat="1" ht="24.95" customHeight="1" x14ac:dyDescent="0.25">
      <c r="A12" s="274">
        <v>1</v>
      </c>
      <c r="B12" s="30" t="s">
        <v>58</v>
      </c>
      <c r="C12" s="31">
        <v>885.66</v>
      </c>
      <c r="D12" s="32">
        <v>11232</v>
      </c>
      <c r="E12" s="32">
        <v>11232</v>
      </c>
      <c r="F12" s="32">
        <v>152.69999999999999</v>
      </c>
      <c r="G12" s="31">
        <v>5.8</v>
      </c>
      <c r="H12" s="33">
        <f t="shared" ref="H12:H21" si="0">(E12+F12)/D12</f>
        <v>1.0135950854700855</v>
      </c>
      <c r="I12" s="31">
        <v>885.66</v>
      </c>
      <c r="J12" s="32">
        <v>152.69999999999999</v>
      </c>
      <c r="K12" s="34">
        <f t="shared" ref="K12:K21" si="1">J12/D12</f>
        <v>1.3595085470085469E-2</v>
      </c>
      <c r="L12" s="275">
        <f t="shared" ref="L12:L21" si="2">((E12+F12)-D12)-J12</f>
        <v>7.3896444519050419E-13</v>
      </c>
      <c r="M12" s="35">
        <f t="shared" ref="M12:M21" si="3">L12/D12</f>
        <v>6.5790994051861125E-17</v>
      </c>
      <c r="N12" s="276">
        <f t="shared" ref="N12:N21" si="4">L12*G12</f>
        <v>4.2859937821049238E-12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277">
        <v>2</v>
      </c>
      <c r="B13" s="30" t="s">
        <v>61</v>
      </c>
      <c r="C13" s="31">
        <v>722.48</v>
      </c>
      <c r="D13" s="32">
        <v>5280</v>
      </c>
      <c r="E13" s="32">
        <v>5280</v>
      </c>
      <c r="F13" s="32">
        <v>109.8</v>
      </c>
      <c r="G13" s="31">
        <v>6.58</v>
      </c>
      <c r="H13" s="33">
        <f t="shared" si="0"/>
        <v>1.0207954545454545</v>
      </c>
      <c r="I13" s="31">
        <v>722.48</v>
      </c>
      <c r="J13" s="32">
        <v>109.8</v>
      </c>
      <c r="K13" s="34">
        <f t="shared" si="1"/>
        <v>2.0795454545454544E-2</v>
      </c>
      <c r="L13" s="275">
        <f t="shared" si="2"/>
        <v>1.8474111129762605E-13</v>
      </c>
      <c r="M13" s="35">
        <f t="shared" si="3"/>
        <v>3.4988846836671597E-17</v>
      </c>
      <c r="N13" s="276">
        <f t="shared" si="4"/>
        <v>1.2155965123383795E-12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277">
        <v>3</v>
      </c>
      <c r="B14" s="30" t="s">
        <v>80</v>
      </c>
      <c r="C14" s="31">
        <v>548.55999999999995</v>
      </c>
      <c r="D14" s="32">
        <v>252.83</v>
      </c>
      <c r="E14" s="32">
        <v>252.83</v>
      </c>
      <c r="F14" s="32">
        <v>9.33</v>
      </c>
      <c r="G14" s="31">
        <v>156.72999999999999</v>
      </c>
      <c r="H14" s="33">
        <f t="shared" si="0"/>
        <v>1.036902266344975</v>
      </c>
      <c r="I14" s="31">
        <v>1462.29</v>
      </c>
      <c r="J14" s="32">
        <v>3.5</v>
      </c>
      <c r="K14" s="34">
        <f t="shared" si="1"/>
        <v>1.3843293912905905E-2</v>
      </c>
      <c r="L14" s="275">
        <f t="shared" si="2"/>
        <v>5.8300000000000125</v>
      </c>
      <c r="M14" s="35">
        <f t="shared" si="3"/>
        <v>2.3058972432069027E-2</v>
      </c>
      <c r="N14" s="276">
        <f t="shared" si="4"/>
        <v>913.73590000000195</v>
      </c>
      <c r="O14" s="36" t="s">
        <v>142</v>
      </c>
      <c r="P14" s="36" t="s">
        <v>26</v>
      </c>
      <c r="Q14" s="36" t="s">
        <v>145</v>
      </c>
      <c r="R14" s="37" t="s">
        <v>59</v>
      </c>
    </row>
    <row r="15" spans="1:18" s="38" customFormat="1" ht="24.95" customHeight="1" x14ac:dyDescent="0.25">
      <c r="A15" s="274">
        <v>4</v>
      </c>
      <c r="B15" s="30" t="s">
        <v>62</v>
      </c>
      <c r="C15" s="31">
        <v>454.81</v>
      </c>
      <c r="D15" s="32">
        <v>282</v>
      </c>
      <c r="E15" s="32">
        <v>282</v>
      </c>
      <c r="F15" s="32">
        <v>8.09</v>
      </c>
      <c r="G15" s="31">
        <v>111.2</v>
      </c>
      <c r="H15" s="33">
        <f t="shared" si="0"/>
        <v>1.0286879432624112</v>
      </c>
      <c r="I15" s="31">
        <v>899.61</v>
      </c>
      <c r="J15" s="32">
        <v>4.09</v>
      </c>
      <c r="K15" s="34">
        <f t="shared" si="1"/>
        <v>1.450354609929078E-2</v>
      </c>
      <c r="L15" s="275">
        <f t="shared" si="2"/>
        <v>3.9999999999999751</v>
      </c>
      <c r="M15" s="35">
        <f t="shared" si="3"/>
        <v>1.4184397163120479E-2</v>
      </c>
      <c r="N15" s="276">
        <f t="shared" si="4"/>
        <v>444.79999999999723</v>
      </c>
      <c r="O15" s="36" t="s">
        <v>139</v>
      </c>
      <c r="P15" s="36" t="s">
        <v>25</v>
      </c>
      <c r="Q15" s="36" t="s">
        <v>144</v>
      </c>
      <c r="R15" s="37" t="s">
        <v>63</v>
      </c>
    </row>
    <row r="16" spans="1:18" s="39" customFormat="1" ht="24.95" customHeight="1" x14ac:dyDescent="0.25">
      <c r="A16" s="277">
        <v>5</v>
      </c>
      <c r="B16" s="30" t="s">
        <v>69</v>
      </c>
      <c r="C16" s="31">
        <v>427</v>
      </c>
      <c r="D16" s="32">
        <v>7910</v>
      </c>
      <c r="E16" s="32">
        <v>7910</v>
      </c>
      <c r="F16" s="32">
        <v>42.4</v>
      </c>
      <c r="G16" s="31">
        <v>7</v>
      </c>
      <c r="H16" s="33">
        <f t="shared" si="0"/>
        <v>1.0053603034134007</v>
      </c>
      <c r="I16" s="31">
        <v>296.8</v>
      </c>
      <c r="J16" s="32">
        <v>61</v>
      </c>
      <c r="K16" s="34">
        <f t="shared" si="1"/>
        <v>7.7117572692793936E-3</v>
      </c>
      <c r="L16" s="275">
        <f t="shared" si="2"/>
        <v>-18.600000000000364</v>
      </c>
      <c r="M16" s="35">
        <f t="shared" si="3"/>
        <v>-2.3514538558786807E-3</v>
      </c>
      <c r="N16" s="276">
        <f t="shared" si="4"/>
        <v>-130.20000000000255</v>
      </c>
      <c r="O16" s="36" t="s">
        <v>142</v>
      </c>
      <c r="P16" s="36" t="s">
        <v>26</v>
      </c>
      <c r="Q16" s="36" t="s">
        <v>143</v>
      </c>
      <c r="R16" s="37" t="s">
        <v>59</v>
      </c>
    </row>
    <row r="17" spans="1:18" s="38" customFormat="1" ht="24.95" customHeight="1" x14ac:dyDescent="0.25">
      <c r="A17" s="274">
        <v>6</v>
      </c>
      <c r="B17" s="30" t="s">
        <v>87</v>
      </c>
      <c r="C17" s="31">
        <v>413.31</v>
      </c>
      <c r="D17" s="32">
        <v>149.88</v>
      </c>
      <c r="E17" s="32">
        <v>149.88</v>
      </c>
      <c r="F17" s="32">
        <v>4.3</v>
      </c>
      <c r="G17" s="31">
        <v>194.04</v>
      </c>
      <c r="H17" s="33">
        <f t="shared" si="0"/>
        <v>1.0286896183613559</v>
      </c>
      <c r="I17" s="31">
        <v>834.37</v>
      </c>
      <c r="J17" s="32">
        <v>2.13</v>
      </c>
      <c r="K17" s="34">
        <f t="shared" si="1"/>
        <v>1.4211369095276221E-2</v>
      </c>
      <c r="L17" s="275">
        <f t="shared" si="2"/>
        <v>2.1700000000000115</v>
      </c>
      <c r="M17" s="35">
        <f t="shared" si="3"/>
        <v>1.4478249266079607E-2</v>
      </c>
      <c r="N17" s="276">
        <f t="shared" si="4"/>
        <v>421.06680000000222</v>
      </c>
      <c r="O17" s="36" t="s">
        <v>139</v>
      </c>
      <c r="P17" s="36" t="s">
        <v>25</v>
      </c>
      <c r="Q17" s="36" t="s">
        <v>144</v>
      </c>
      <c r="R17" s="37" t="s">
        <v>88</v>
      </c>
    </row>
    <row r="18" spans="1:18" s="39" customFormat="1" ht="24.95" customHeight="1" x14ac:dyDescent="0.25">
      <c r="A18" s="277">
        <v>7</v>
      </c>
      <c r="B18" s="30" t="s">
        <v>65</v>
      </c>
      <c r="C18" s="31">
        <v>247.17</v>
      </c>
      <c r="D18" s="32">
        <v>77.150000000000006</v>
      </c>
      <c r="E18" s="32">
        <v>77.150000000000006</v>
      </c>
      <c r="F18" s="32">
        <v>3.17</v>
      </c>
      <c r="G18" s="31">
        <v>160.5</v>
      </c>
      <c r="H18" s="33">
        <f t="shared" si="0"/>
        <v>1.0410887880751782</v>
      </c>
      <c r="I18" s="31">
        <v>508.79</v>
      </c>
      <c r="J18" s="32">
        <v>1.54</v>
      </c>
      <c r="K18" s="34">
        <f t="shared" si="1"/>
        <v>1.9961114711600777E-2</v>
      </c>
      <c r="L18" s="275">
        <f t="shared" si="2"/>
        <v>1.6300000000000017</v>
      </c>
      <c r="M18" s="35">
        <f t="shared" si="3"/>
        <v>2.1127673363577466E-2</v>
      </c>
      <c r="N18" s="276">
        <f t="shared" si="4"/>
        <v>261.61500000000029</v>
      </c>
      <c r="O18" s="36" t="s">
        <v>139</v>
      </c>
      <c r="P18" s="36" t="s">
        <v>25</v>
      </c>
      <c r="Q18" s="36" t="s">
        <v>141</v>
      </c>
      <c r="R18" s="37" t="s">
        <v>59</v>
      </c>
    </row>
    <row r="19" spans="1:18" s="38" customFormat="1" ht="24.95" customHeight="1" x14ac:dyDescent="0.25">
      <c r="A19" s="274">
        <v>8</v>
      </c>
      <c r="B19" s="30" t="s">
        <v>254</v>
      </c>
      <c r="C19" s="31">
        <v>97.99</v>
      </c>
      <c r="D19" s="32">
        <v>102.2</v>
      </c>
      <c r="E19" s="32">
        <v>102.2</v>
      </c>
      <c r="F19" s="32">
        <v>2.93</v>
      </c>
      <c r="G19" s="31">
        <v>110.1</v>
      </c>
      <c r="H19" s="33">
        <f t="shared" si="0"/>
        <v>1.0286692759295499</v>
      </c>
      <c r="I19" s="31">
        <v>322.58999999999997</v>
      </c>
      <c r="J19" s="32">
        <v>0.89</v>
      </c>
      <c r="K19" s="34">
        <f t="shared" si="1"/>
        <v>8.7084148727984336E-3</v>
      </c>
      <c r="L19" s="275">
        <f t="shared" si="2"/>
        <v>2.0400000000000067</v>
      </c>
      <c r="M19" s="35">
        <f t="shared" si="3"/>
        <v>1.9960861056751534E-2</v>
      </c>
      <c r="N19" s="276">
        <f t="shared" si="4"/>
        <v>224.60400000000072</v>
      </c>
      <c r="O19" s="36" t="s">
        <v>139</v>
      </c>
      <c r="P19" s="36" t="s">
        <v>25</v>
      </c>
      <c r="Q19" s="36" t="s">
        <v>141</v>
      </c>
      <c r="R19" s="37" t="s">
        <v>59</v>
      </c>
    </row>
    <row r="20" spans="1:18" s="38" customFormat="1" ht="24.95" customHeight="1" x14ac:dyDescent="0.25">
      <c r="A20" s="277">
        <v>9</v>
      </c>
      <c r="B20" s="30" t="s">
        <v>60</v>
      </c>
      <c r="C20" s="31">
        <v>74.34</v>
      </c>
      <c r="D20" s="32">
        <v>184.8</v>
      </c>
      <c r="E20" s="32">
        <v>184.8</v>
      </c>
      <c r="F20" s="32">
        <v>5.31</v>
      </c>
      <c r="G20" s="31">
        <v>99.12</v>
      </c>
      <c r="H20" s="33">
        <f t="shared" si="0"/>
        <v>1.0287337662337663</v>
      </c>
      <c r="I20" s="31">
        <v>526.33000000000004</v>
      </c>
      <c r="J20" s="32">
        <v>0.75</v>
      </c>
      <c r="K20" s="34">
        <f t="shared" si="1"/>
        <v>4.0584415584415581E-3</v>
      </c>
      <c r="L20" s="275">
        <f t="shared" si="2"/>
        <v>4.5600000000000023</v>
      </c>
      <c r="M20" s="35">
        <f t="shared" si="3"/>
        <v>2.4675324675324687E-2</v>
      </c>
      <c r="N20" s="276">
        <f t="shared" si="4"/>
        <v>451.98720000000026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278">
        <v>10</v>
      </c>
      <c r="B21" s="40" t="s">
        <v>483</v>
      </c>
      <c r="C21" s="41">
        <v>68.59</v>
      </c>
      <c r="D21" s="42">
        <v>4104</v>
      </c>
      <c r="E21" s="42">
        <v>4104</v>
      </c>
      <c r="F21" s="42">
        <v>15.95</v>
      </c>
      <c r="G21" s="41">
        <v>4.3</v>
      </c>
      <c r="H21" s="43">
        <f t="shared" si="0"/>
        <v>1.0038864522417155</v>
      </c>
      <c r="I21" s="41">
        <v>68.58</v>
      </c>
      <c r="J21" s="42">
        <v>15.95</v>
      </c>
      <c r="K21" s="44">
        <f t="shared" si="1"/>
        <v>3.8864522417153993E-3</v>
      </c>
      <c r="L21" s="279">
        <f t="shared" si="2"/>
        <v>-1.8118839761882555E-13</v>
      </c>
      <c r="M21" s="45">
        <f t="shared" si="3"/>
        <v>-4.4149219692696281E-17</v>
      </c>
      <c r="N21" s="280">
        <f t="shared" si="4"/>
        <v>-7.7911010976094979E-13</v>
      </c>
      <c r="O21" s="46" t="s">
        <v>139</v>
      </c>
      <c r="P21" s="46" t="s">
        <v>28</v>
      </c>
      <c r="Q21" s="46" t="s">
        <v>140</v>
      </c>
      <c r="R21" s="47" t="s">
        <v>59</v>
      </c>
    </row>
    <row r="22" spans="1:18" s="53" customFormat="1" ht="24.95" customHeight="1" thickBot="1" x14ac:dyDescent="0.3">
      <c r="A22" s="281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282"/>
      <c r="M22" s="51"/>
      <c r="N22" s="283"/>
      <c r="O22" s="52"/>
      <c r="P22" s="52"/>
      <c r="Q22" s="52"/>
      <c r="R22" s="48"/>
    </row>
    <row r="23" spans="1:18" s="53" customFormat="1" ht="40.5" customHeight="1" x14ac:dyDescent="0.25">
      <c r="A23" s="616" t="s">
        <v>557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533</v>
      </c>
      <c r="B24" s="620"/>
      <c r="C24" s="620"/>
      <c r="D24" s="620" t="s">
        <v>534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535</v>
      </c>
      <c r="P24" s="630" t="s">
        <v>536</v>
      </c>
      <c r="Q24" s="629" t="s">
        <v>537</v>
      </c>
      <c r="R24" s="1066" t="s">
        <v>48</v>
      </c>
    </row>
    <row r="25" spans="1:18" s="53" customFormat="1" ht="24.95" customHeight="1" x14ac:dyDescent="0.25">
      <c r="A25" s="1067" t="s">
        <v>539</v>
      </c>
      <c r="B25" s="634" t="s">
        <v>540</v>
      </c>
      <c r="C25" s="635"/>
      <c r="D25" s="636" t="s">
        <v>541</v>
      </c>
      <c r="E25" s="636"/>
      <c r="F25" s="636"/>
      <c r="G25" s="636"/>
      <c r="H25" s="636"/>
      <c r="I25" s="636"/>
      <c r="J25" s="637" t="s">
        <v>542</v>
      </c>
      <c r="K25" s="637"/>
      <c r="L25" s="637"/>
      <c r="M25" s="638"/>
      <c r="N25" s="638"/>
      <c r="O25" s="629"/>
      <c r="P25" s="629"/>
      <c r="Q25" s="629"/>
      <c r="R25" s="1066"/>
    </row>
    <row r="26" spans="1:18" s="53" customFormat="1" ht="24.95" customHeight="1" x14ac:dyDescent="0.3">
      <c r="A26" s="1068"/>
      <c r="B26" s="1070" t="s">
        <v>543</v>
      </c>
      <c r="C26" s="1072" t="s">
        <v>558</v>
      </c>
      <c r="D26" s="1074" t="s">
        <v>545</v>
      </c>
      <c r="E26" s="1074"/>
      <c r="F26" s="1074"/>
      <c r="G26" s="1074"/>
      <c r="H26" s="1074"/>
      <c r="I26" s="1074"/>
      <c r="J26" s="1075" t="s">
        <v>546</v>
      </c>
      <c r="K26" s="1076"/>
      <c r="L26" s="1077"/>
      <c r="M26" s="1075" t="s">
        <v>547</v>
      </c>
      <c r="N26" s="1077"/>
      <c r="O26" s="629"/>
      <c r="P26" s="629"/>
      <c r="Q26" s="629"/>
      <c r="R26" s="1066"/>
    </row>
    <row r="27" spans="1:18" s="53" customFormat="1" ht="50.1" customHeight="1" x14ac:dyDescent="0.25">
      <c r="A27" s="1069"/>
      <c r="B27" s="1071"/>
      <c r="C27" s="1073"/>
      <c r="D27" s="271" t="s">
        <v>548</v>
      </c>
      <c r="E27" s="271" t="s">
        <v>549</v>
      </c>
      <c r="F27" s="271" t="s">
        <v>550</v>
      </c>
      <c r="G27" s="271" t="s">
        <v>551</v>
      </c>
      <c r="H27" s="271" t="s">
        <v>552</v>
      </c>
      <c r="I27" s="271" t="s">
        <v>553</v>
      </c>
      <c r="J27" s="272" t="s">
        <v>554</v>
      </c>
      <c r="K27" s="272" t="s">
        <v>555</v>
      </c>
      <c r="L27" s="273" t="s">
        <v>556</v>
      </c>
      <c r="M27" s="272" t="s">
        <v>56</v>
      </c>
      <c r="N27" s="272" t="s">
        <v>555</v>
      </c>
      <c r="O27" s="629"/>
      <c r="P27" s="629"/>
      <c r="Q27" s="629"/>
      <c r="R27" s="1066"/>
    </row>
    <row r="28" spans="1:18" s="53" customFormat="1" ht="24.95" customHeight="1" x14ac:dyDescent="0.25">
      <c r="A28" s="274">
        <v>1</v>
      </c>
      <c r="B28" s="30" t="s">
        <v>530</v>
      </c>
      <c r="C28" s="31">
        <v>2137.7800000000002</v>
      </c>
      <c r="D28" s="32">
        <v>994.28</v>
      </c>
      <c r="E28" s="32">
        <v>994.28</v>
      </c>
      <c r="F28" s="32">
        <v>28.54</v>
      </c>
      <c r="G28" s="31">
        <v>77.260000000000005</v>
      </c>
      <c r="H28" s="54">
        <f t="shared" ref="H28:H37" si="5">(E28+F28)/D28</f>
        <v>1.0287041879551031</v>
      </c>
      <c r="I28" s="31">
        <v>2205</v>
      </c>
      <c r="J28" s="32">
        <v>0.87</v>
      </c>
      <c r="K28" s="34">
        <f t="shared" ref="K28:K37" si="6">J28/D28</f>
        <v>8.7500502876453317E-4</v>
      </c>
      <c r="L28" s="276">
        <f t="shared" ref="L28:L37" si="7">J28*G28</f>
        <v>67.216200000000001</v>
      </c>
      <c r="M28" s="275">
        <f t="shared" ref="M28:M37" si="8">((E28+F28)-D28)-J28</f>
        <v>27.669999999999963</v>
      </c>
      <c r="N28" s="35">
        <f t="shared" ref="N28:N37" si="9">M28/D28</f>
        <v>2.7829182926338621E-2</v>
      </c>
      <c r="O28" s="55" t="s">
        <v>133</v>
      </c>
      <c r="P28" s="56" t="s">
        <v>25</v>
      </c>
      <c r="Q28" s="56" t="s">
        <v>134</v>
      </c>
      <c r="R28" s="37" t="s">
        <v>182</v>
      </c>
    </row>
    <row r="29" spans="1:18" s="53" customFormat="1" ht="24.75" customHeight="1" x14ac:dyDescent="0.25">
      <c r="A29" s="277">
        <v>2</v>
      </c>
      <c r="B29" s="30" t="s">
        <v>74</v>
      </c>
      <c r="C29" s="31">
        <v>1309.3499999999999</v>
      </c>
      <c r="D29" s="32">
        <v>278.62</v>
      </c>
      <c r="E29" s="32">
        <v>278.62</v>
      </c>
      <c r="F29" s="32">
        <v>10.28</v>
      </c>
      <c r="G29" s="31">
        <v>133.88</v>
      </c>
      <c r="H29" s="54">
        <f t="shared" si="5"/>
        <v>1.036896130931017</v>
      </c>
      <c r="I29" s="31">
        <v>1376.29</v>
      </c>
      <c r="J29" s="32">
        <v>0.5</v>
      </c>
      <c r="K29" s="34">
        <f t="shared" si="6"/>
        <v>1.7945588974230134E-3</v>
      </c>
      <c r="L29" s="276">
        <f t="shared" si="7"/>
        <v>66.94</v>
      </c>
      <c r="M29" s="275">
        <f t="shared" si="8"/>
        <v>9.7799999999999727</v>
      </c>
      <c r="N29" s="35">
        <f t="shared" si="9"/>
        <v>3.5101572033594042E-2</v>
      </c>
      <c r="O29" s="55" t="s">
        <v>133</v>
      </c>
      <c r="P29" s="56" t="s">
        <v>25</v>
      </c>
      <c r="Q29" s="56" t="s">
        <v>134</v>
      </c>
      <c r="R29" s="37" t="s">
        <v>75</v>
      </c>
    </row>
    <row r="30" spans="1:18" s="53" customFormat="1" ht="24.95" customHeight="1" x14ac:dyDescent="0.25">
      <c r="A30" s="277">
        <v>3</v>
      </c>
      <c r="B30" s="30" t="s">
        <v>76</v>
      </c>
      <c r="C30" s="31">
        <v>1236.4799999999998</v>
      </c>
      <c r="D30" s="32">
        <v>521.91999999999996</v>
      </c>
      <c r="E30" s="32">
        <v>521.91999999999996</v>
      </c>
      <c r="F30" s="32">
        <v>21.4</v>
      </c>
      <c r="G30" s="31">
        <v>60.94</v>
      </c>
      <c r="H30" s="54">
        <f t="shared" si="5"/>
        <v>1.0410024524831392</v>
      </c>
      <c r="I30" s="31">
        <v>1304.1199999999999</v>
      </c>
      <c r="J30" s="57">
        <v>1.1100000000000001</v>
      </c>
      <c r="K30" s="34">
        <f t="shared" si="6"/>
        <v>2.1267627222562847E-3</v>
      </c>
      <c r="L30" s="276">
        <f t="shared" si="7"/>
        <v>67.6434</v>
      </c>
      <c r="M30" s="275">
        <f t="shared" si="8"/>
        <v>20.289999999999978</v>
      </c>
      <c r="N30" s="35">
        <f t="shared" si="9"/>
        <v>3.8875689760882855E-2</v>
      </c>
      <c r="O30" s="55" t="s">
        <v>133</v>
      </c>
      <c r="P30" s="56" t="s">
        <v>25</v>
      </c>
      <c r="Q30" s="56" t="s">
        <v>134</v>
      </c>
      <c r="R30" s="37" t="s">
        <v>77</v>
      </c>
    </row>
    <row r="31" spans="1:18" s="53" customFormat="1" ht="24.95" customHeight="1" x14ac:dyDescent="0.25">
      <c r="A31" s="274">
        <v>4</v>
      </c>
      <c r="B31" s="30" t="s">
        <v>83</v>
      </c>
      <c r="C31" s="31">
        <v>1126.6300000000001</v>
      </c>
      <c r="D31" s="32">
        <v>378.62</v>
      </c>
      <c r="E31" s="32">
        <v>378.62</v>
      </c>
      <c r="F31" s="32">
        <v>13.97</v>
      </c>
      <c r="G31" s="31">
        <v>85.48</v>
      </c>
      <c r="H31" s="54">
        <f t="shared" si="5"/>
        <v>1.036897152818129</v>
      </c>
      <c r="I31" s="31">
        <v>1194.1600000000001</v>
      </c>
      <c r="J31" s="32">
        <v>0.79</v>
      </c>
      <c r="K31" s="34">
        <f t="shared" si="6"/>
        <v>2.0865247477682108E-3</v>
      </c>
      <c r="L31" s="276">
        <f t="shared" si="7"/>
        <v>67.529200000000003</v>
      </c>
      <c r="M31" s="275">
        <f t="shared" si="8"/>
        <v>13.180000000000028</v>
      </c>
      <c r="N31" s="35">
        <f t="shared" si="9"/>
        <v>3.4810628070360859E-2</v>
      </c>
      <c r="O31" s="55" t="s">
        <v>133</v>
      </c>
      <c r="P31" s="56" t="s">
        <v>25</v>
      </c>
      <c r="Q31" s="56" t="s">
        <v>134</v>
      </c>
      <c r="R31" s="37" t="s">
        <v>84</v>
      </c>
    </row>
    <row r="32" spans="1:18" s="53" customFormat="1" ht="24.95" customHeight="1" x14ac:dyDescent="0.25">
      <c r="A32" s="277">
        <v>5</v>
      </c>
      <c r="B32" s="30" t="s">
        <v>81</v>
      </c>
      <c r="C32" s="31">
        <v>1093.33</v>
      </c>
      <c r="D32" s="32">
        <v>449.38</v>
      </c>
      <c r="E32" s="32">
        <v>449.38</v>
      </c>
      <c r="F32" s="32">
        <v>14.74</v>
      </c>
      <c r="G32" s="31">
        <v>78.77</v>
      </c>
      <c r="H32" s="54">
        <f t="shared" si="5"/>
        <v>1.0328007476968268</v>
      </c>
      <c r="I32" s="31">
        <v>1161.07</v>
      </c>
      <c r="J32" s="32">
        <v>0.86</v>
      </c>
      <c r="K32" s="34">
        <f t="shared" si="6"/>
        <v>1.9137478303440296E-3</v>
      </c>
      <c r="L32" s="276">
        <f t="shared" si="7"/>
        <v>67.742199999999997</v>
      </c>
      <c r="M32" s="275">
        <f t="shared" si="8"/>
        <v>13.88000000000001</v>
      </c>
      <c r="N32" s="35">
        <f t="shared" si="9"/>
        <v>3.0886999866482731E-2</v>
      </c>
      <c r="O32" s="55" t="s">
        <v>133</v>
      </c>
      <c r="P32" s="56" t="s">
        <v>25</v>
      </c>
      <c r="Q32" s="56" t="s">
        <v>137</v>
      </c>
      <c r="R32" s="37" t="s">
        <v>82</v>
      </c>
    </row>
    <row r="33" spans="1:18" s="53" customFormat="1" ht="24.95" customHeight="1" x14ac:dyDescent="0.25">
      <c r="A33" s="274">
        <v>6</v>
      </c>
      <c r="B33" s="30" t="s">
        <v>78</v>
      </c>
      <c r="C33" s="31">
        <v>1040.8399999999999</v>
      </c>
      <c r="D33" s="32">
        <v>392.96</v>
      </c>
      <c r="E33" s="32">
        <v>392.96</v>
      </c>
      <c r="F33" s="32">
        <v>14.5</v>
      </c>
      <c r="G33" s="31">
        <v>76.42</v>
      </c>
      <c r="H33" s="54">
        <f t="shared" si="5"/>
        <v>1.0368994299674268</v>
      </c>
      <c r="I33" s="31">
        <v>1108.0899999999999</v>
      </c>
      <c r="J33" s="32">
        <v>0.88</v>
      </c>
      <c r="K33" s="34">
        <f t="shared" si="6"/>
        <v>2.2394136807817591E-3</v>
      </c>
      <c r="L33" s="276">
        <f t="shared" si="7"/>
        <v>67.249600000000001</v>
      </c>
      <c r="M33" s="275">
        <f t="shared" si="8"/>
        <v>13.62</v>
      </c>
      <c r="N33" s="35">
        <f t="shared" si="9"/>
        <v>3.4660016286644953E-2</v>
      </c>
      <c r="O33" s="55" t="s">
        <v>133</v>
      </c>
      <c r="P33" s="56" t="s">
        <v>25</v>
      </c>
      <c r="Q33" s="56" t="s">
        <v>135</v>
      </c>
      <c r="R33" s="37" t="s">
        <v>79</v>
      </c>
    </row>
    <row r="34" spans="1:18" s="53" customFormat="1" ht="24.95" customHeight="1" x14ac:dyDescent="0.25">
      <c r="A34" s="277">
        <v>7</v>
      </c>
      <c r="B34" s="30" t="s">
        <v>85</v>
      </c>
      <c r="C34" s="31">
        <v>1032.98</v>
      </c>
      <c r="D34" s="32">
        <v>422.1</v>
      </c>
      <c r="E34" s="32">
        <v>422.1</v>
      </c>
      <c r="F34" s="32">
        <v>13.85</v>
      </c>
      <c r="G34" s="31">
        <v>79.459999999999994</v>
      </c>
      <c r="H34" s="54">
        <f t="shared" si="5"/>
        <v>1.0328121298270552</v>
      </c>
      <c r="I34" s="31">
        <v>1100.52</v>
      </c>
      <c r="J34" s="32">
        <v>0.85</v>
      </c>
      <c r="K34" s="34">
        <f t="shared" si="6"/>
        <v>2.0137408197109688E-3</v>
      </c>
      <c r="L34" s="276">
        <f t="shared" si="7"/>
        <v>67.540999999999997</v>
      </c>
      <c r="M34" s="275">
        <f t="shared" si="8"/>
        <v>13.000000000000023</v>
      </c>
      <c r="N34" s="35">
        <f t="shared" si="9"/>
        <v>3.0798389007344284E-2</v>
      </c>
      <c r="O34" s="55" t="s">
        <v>133</v>
      </c>
      <c r="P34" s="56" t="s">
        <v>25</v>
      </c>
      <c r="Q34" s="56" t="s">
        <v>137</v>
      </c>
      <c r="R34" s="37" t="s">
        <v>86</v>
      </c>
    </row>
    <row r="35" spans="1:18" s="53" customFormat="1" ht="24.95" customHeight="1" x14ac:dyDescent="0.25">
      <c r="A35" s="274">
        <v>8</v>
      </c>
      <c r="B35" s="30" t="s">
        <v>70</v>
      </c>
      <c r="C35" s="31">
        <v>976.9899999999999</v>
      </c>
      <c r="D35" s="32">
        <v>31.05</v>
      </c>
      <c r="E35" s="32">
        <v>31.05</v>
      </c>
      <c r="F35" s="32">
        <v>1.28</v>
      </c>
      <c r="G35" s="31">
        <v>814.16</v>
      </c>
      <c r="H35" s="54">
        <f t="shared" si="5"/>
        <v>1.0412238325281802</v>
      </c>
      <c r="I35" s="31">
        <v>1042.1199999999999</v>
      </c>
      <c r="J35" s="32">
        <v>0.08</v>
      </c>
      <c r="K35" s="34">
        <f t="shared" si="6"/>
        <v>2.5764895330112722E-3</v>
      </c>
      <c r="L35" s="276">
        <f t="shared" si="7"/>
        <v>65.132800000000003</v>
      </c>
      <c r="M35" s="275">
        <f t="shared" si="8"/>
        <v>1.1999999999999975</v>
      </c>
      <c r="N35" s="35">
        <f t="shared" si="9"/>
        <v>3.8647342995169004E-2</v>
      </c>
      <c r="O35" s="55" t="s">
        <v>133</v>
      </c>
      <c r="P35" s="56" t="s">
        <v>27</v>
      </c>
      <c r="Q35" s="56" t="s">
        <v>590</v>
      </c>
      <c r="R35" s="37" t="s">
        <v>71</v>
      </c>
    </row>
    <row r="36" spans="1:18" s="53" customFormat="1" ht="24.95" customHeight="1" x14ac:dyDescent="0.25">
      <c r="A36" s="277">
        <v>9</v>
      </c>
      <c r="B36" s="30" t="s">
        <v>531</v>
      </c>
      <c r="C36" s="31">
        <v>953.34</v>
      </c>
      <c r="D36" s="32">
        <v>79.2</v>
      </c>
      <c r="E36" s="32">
        <v>79.2</v>
      </c>
      <c r="F36" s="32">
        <v>3.25</v>
      </c>
      <c r="G36" s="31">
        <v>313.60000000000002</v>
      </c>
      <c r="H36" s="54">
        <f t="shared" si="5"/>
        <v>1.0410353535353536</v>
      </c>
      <c r="I36" s="31">
        <v>1019.2</v>
      </c>
      <c r="J36" s="32">
        <v>0.21</v>
      </c>
      <c r="K36" s="34">
        <f t="shared" si="6"/>
        <v>2.6515151515151512E-3</v>
      </c>
      <c r="L36" s="276">
        <f t="shared" si="7"/>
        <v>65.856000000000009</v>
      </c>
      <c r="M36" s="275">
        <f t="shared" si="8"/>
        <v>3.04</v>
      </c>
      <c r="N36" s="35">
        <f t="shared" si="9"/>
        <v>3.8383838383838381E-2</v>
      </c>
      <c r="O36" s="55" t="s">
        <v>133</v>
      </c>
      <c r="P36" s="56" t="s">
        <v>25</v>
      </c>
      <c r="Q36" s="56" t="s">
        <v>136</v>
      </c>
      <c r="R36" s="37" t="s">
        <v>59</v>
      </c>
    </row>
    <row r="37" spans="1:18" s="53" customFormat="1" ht="24.95" customHeight="1" thickBot="1" x14ac:dyDescent="0.3">
      <c r="A37" s="278">
        <v>10</v>
      </c>
      <c r="B37" s="40" t="s">
        <v>68</v>
      </c>
      <c r="C37" s="41">
        <v>938.87</v>
      </c>
      <c r="D37" s="42">
        <v>173.92</v>
      </c>
      <c r="E37" s="42">
        <v>173.92</v>
      </c>
      <c r="F37" s="42">
        <v>6.42</v>
      </c>
      <c r="G37" s="41">
        <v>156.74</v>
      </c>
      <c r="H37" s="58">
        <f t="shared" si="5"/>
        <v>1.0369135234590616</v>
      </c>
      <c r="I37" s="41">
        <v>1006.27</v>
      </c>
      <c r="J37" s="42">
        <v>0.43</v>
      </c>
      <c r="K37" s="44">
        <f t="shared" si="6"/>
        <v>2.4724011039558417E-3</v>
      </c>
      <c r="L37" s="280">
        <f t="shared" si="7"/>
        <v>67.398200000000003</v>
      </c>
      <c r="M37" s="279">
        <f t="shared" si="8"/>
        <v>5.9899999999999878</v>
      </c>
      <c r="N37" s="45">
        <f t="shared" si="9"/>
        <v>3.4441122355105727E-2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559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533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063" t="s">
        <v>539</v>
      </c>
      <c r="B41" s="623" t="s">
        <v>540</v>
      </c>
      <c r="C41" s="623"/>
      <c r="D41" s="624"/>
      <c r="E41" s="62"/>
      <c r="G41" s="64"/>
      <c r="H41" s="65"/>
    </row>
    <row r="42" spans="1:18" ht="20.45" customHeight="1" x14ac:dyDescent="0.35">
      <c r="A42" s="1063"/>
      <c r="B42" s="1064" t="s">
        <v>543</v>
      </c>
      <c r="C42" s="1065" t="s">
        <v>544</v>
      </c>
      <c r="D42" s="1066" t="s">
        <v>560</v>
      </c>
      <c r="E42" s="62"/>
      <c r="G42" s="64"/>
      <c r="H42" s="65"/>
    </row>
    <row r="43" spans="1:18" ht="20.45" customHeight="1" x14ac:dyDescent="0.35">
      <c r="A43" s="1063"/>
      <c r="B43" s="1064"/>
      <c r="C43" s="1065"/>
      <c r="D43" s="1066"/>
      <c r="E43" s="62"/>
      <c r="G43" s="64"/>
      <c r="H43" s="65"/>
    </row>
    <row r="44" spans="1:18" s="68" customFormat="1" ht="24.95" customHeight="1" x14ac:dyDescent="0.35">
      <c r="A44" s="284">
        <v>1</v>
      </c>
      <c r="B44" s="30" t="s">
        <v>58</v>
      </c>
      <c r="C44" s="31">
        <v>885.66</v>
      </c>
      <c r="D44" s="66">
        <f t="shared" ref="D44:D53" si="10">C44/$L$5</f>
        <v>0.20049259522526727</v>
      </c>
      <c r="E44" s="67"/>
      <c r="G44" s="64"/>
      <c r="H44" s="65"/>
    </row>
    <row r="45" spans="1:18" s="68" customFormat="1" ht="24.95" customHeight="1" x14ac:dyDescent="0.35">
      <c r="A45" s="285">
        <v>2</v>
      </c>
      <c r="B45" s="30" t="s">
        <v>61</v>
      </c>
      <c r="C45" s="31">
        <v>722.48</v>
      </c>
      <c r="D45" s="66">
        <f t="shared" si="10"/>
        <v>0.16355248085986845</v>
      </c>
      <c r="E45" s="67"/>
      <c r="G45" s="64"/>
      <c r="H45" s="65"/>
    </row>
    <row r="46" spans="1:18" s="68" customFormat="1" ht="24.95" customHeight="1" x14ac:dyDescent="0.35">
      <c r="A46" s="285">
        <v>3</v>
      </c>
      <c r="B46" s="30" t="s">
        <v>80</v>
      </c>
      <c r="C46" s="31">
        <v>548.55999999999995</v>
      </c>
      <c r="D46" s="66">
        <f t="shared" si="10"/>
        <v>0.12418108307564145</v>
      </c>
      <c r="E46" s="67"/>
      <c r="G46" s="64"/>
      <c r="H46" s="65"/>
    </row>
    <row r="47" spans="1:18" s="68" customFormat="1" ht="24.95" customHeight="1" x14ac:dyDescent="0.35">
      <c r="A47" s="284">
        <v>4</v>
      </c>
      <c r="B47" s="30" t="s">
        <v>69</v>
      </c>
      <c r="C47" s="31">
        <v>427</v>
      </c>
      <c r="D47" s="66">
        <f t="shared" si="10"/>
        <v>9.666275789940737E-2</v>
      </c>
      <c r="E47" s="67"/>
      <c r="G47" s="64"/>
      <c r="H47" s="65"/>
    </row>
    <row r="48" spans="1:18" s="68" customFormat="1" ht="24.95" customHeight="1" x14ac:dyDescent="0.35">
      <c r="A48" s="285">
        <v>5</v>
      </c>
      <c r="B48" s="30" t="s">
        <v>65</v>
      </c>
      <c r="C48" s="31">
        <v>247.17</v>
      </c>
      <c r="D48" s="66">
        <f t="shared" si="10"/>
        <v>5.5953475105378257E-2</v>
      </c>
      <c r="E48" s="67"/>
      <c r="G48" s="64"/>
      <c r="H48" s="65"/>
    </row>
    <row r="49" spans="1:5" s="68" customFormat="1" ht="24.95" customHeight="1" x14ac:dyDescent="0.25">
      <c r="A49" s="284">
        <v>6</v>
      </c>
      <c r="B49" s="30" t="s">
        <v>254</v>
      </c>
      <c r="C49" s="31">
        <v>97.99</v>
      </c>
      <c r="D49" s="66">
        <f t="shared" si="10"/>
        <v>2.2182631490779689E-2</v>
      </c>
      <c r="E49" s="67"/>
    </row>
    <row r="50" spans="1:5" s="68" customFormat="1" ht="24.95" customHeight="1" x14ac:dyDescent="0.25">
      <c r="A50" s="285">
        <v>7</v>
      </c>
      <c r="B50" s="30" t="s">
        <v>60</v>
      </c>
      <c r="C50" s="31">
        <v>74.34</v>
      </c>
      <c r="D50" s="66">
        <f t="shared" si="10"/>
        <v>1.6828827686749284E-2</v>
      </c>
      <c r="E50" s="67"/>
    </row>
    <row r="51" spans="1:5" s="68" customFormat="1" ht="24.95" customHeight="1" x14ac:dyDescent="0.25">
      <c r="A51" s="284">
        <v>8</v>
      </c>
      <c r="B51" s="30" t="s">
        <v>483</v>
      </c>
      <c r="C51" s="31">
        <v>68.59</v>
      </c>
      <c r="D51" s="66">
        <f t="shared" si="10"/>
        <v>1.5527162914099184E-2</v>
      </c>
      <c r="E51" s="67"/>
    </row>
    <row r="52" spans="1:5" s="68" customFormat="1" ht="24.95" customHeight="1" x14ac:dyDescent="0.25">
      <c r="A52" s="285">
        <v>9</v>
      </c>
      <c r="B52" s="30" t="s">
        <v>227</v>
      </c>
      <c r="C52" s="31">
        <v>68.22</v>
      </c>
      <c r="D52" s="66">
        <f t="shared" si="10"/>
        <v>1.5443403615685176E-2</v>
      </c>
      <c r="E52" s="67"/>
    </row>
    <row r="53" spans="1:5" s="68" customFormat="1" ht="24.95" customHeight="1" thickBot="1" x14ac:dyDescent="0.3">
      <c r="A53" s="286">
        <v>10</v>
      </c>
      <c r="B53" s="40" t="s">
        <v>165</v>
      </c>
      <c r="C53" s="41">
        <v>68.16</v>
      </c>
      <c r="D53" s="69">
        <f t="shared" si="10"/>
        <v>1.5429821026753174E-2</v>
      </c>
      <c r="E53" s="67"/>
    </row>
    <row r="54" spans="1:5" x14ac:dyDescent="0.25">
      <c r="A54" s="614" t="s">
        <v>561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562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455" priority="33" operator="containsText" text="024">
      <formula>NOT(ISERROR(SEARCH("024",A12)))</formula>
    </cfRule>
    <cfRule type="containsText" dxfId="454" priority="34" operator="containsText" text="白醬">
      <formula>NOT(ISERROR(SEARCH("白醬",A12)))</formula>
    </cfRule>
    <cfRule type="containsText" dxfId="453" priority="35" operator="containsText" text="青蔥">
      <formula>NOT(ISERROR(SEARCH("青蔥",A12)))</formula>
    </cfRule>
    <cfRule type="containsText" dxfId="452" priority="36" operator="containsText" text=")川燙小青花菜">
      <formula>NOT(ISERROR(SEARCH(")川燙小青花菜",A12)))</formula>
    </cfRule>
    <cfRule type="containsText" dxfId="451" priority="37" operator="containsText" text="湯凍">
      <formula>NOT(ISERROR(SEARCH("湯凍",A12)))</formula>
    </cfRule>
    <cfRule type="containsText" dxfId="450" priority="38" operator="containsText" text="中華">
      <formula>NOT(ISERROR(SEARCH("中華",A12)))</formula>
    </cfRule>
  </conditionalFormatting>
  <conditionalFormatting sqref="A12:A22">
    <cfRule type="containsText" dxfId="449" priority="31" operator="containsText" text="綠豆芽">
      <formula>NOT(ISERROR(SEARCH("綠豆芽",A12)))</formula>
    </cfRule>
    <cfRule type="containsText" dxfId="448" priority="32" operator="containsText" text="煮白細麵生(方#12)">
      <formula>NOT(ISERROR(SEARCH("煮白細麵生(方#12)",A12)))</formula>
    </cfRule>
  </conditionalFormatting>
  <conditionalFormatting sqref="E5">
    <cfRule type="cellIs" dxfId="447" priority="16" operator="greaterThan">
      <formula>0.0025</formula>
    </cfRule>
    <cfRule type="cellIs" dxfId="446" priority="19" operator="greaterThan">
      <formula>0.0025</formula>
    </cfRule>
    <cfRule type="cellIs" dxfId="445" priority="29" operator="greaterThan">
      <formula>0.072</formula>
    </cfRule>
    <cfRule type="cellIs" dxfId="444" priority="30" operator="greaterThan">
      <formula>7.2</formula>
    </cfRule>
  </conditionalFormatting>
  <conditionalFormatting sqref="E5">
    <cfRule type="cellIs" dxfId="443" priority="28" operator="greaterThan">
      <formula>0.0025</formula>
    </cfRule>
  </conditionalFormatting>
  <conditionalFormatting sqref="A44:A53">
    <cfRule type="containsText" dxfId="442" priority="22" operator="containsText" text="024">
      <formula>NOT(ISERROR(SEARCH("024",A44)))</formula>
    </cfRule>
    <cfRule type="containsText" dxfId="441" priority="23" operator="containsText" text="白醬">
      <formula>NOT(ISERROR(SEARCH("白醬",A44)))</formula>
    </cfRule>
    <cfRule type="containsText" dxfId="440" priority="24" operator="containsText" text="青蔥">
      <formula>NOT(ISERROR(SEARCH("青蔥",A44)))</formula>
    </cfRule>
    <cfRule type="containsText" dxfId="439" priority="25" operator="containsText" text=")川燙小青花菜">
      <formula>NOT(ISERROR(SEARCH(")川燙小青花菜",A44)))</formula>
    </cfRule>
    <cfRule type="containsText" dxfId="438" priority="26" operator="containsText" text="湯凍">
      <formula>NOT(ISERROR(SEARCH("湯凍",A44)))</formula>
    </cfRule>
    <cfRule type="containsText" dxfId="437" priority="27" operator="containsText" text="中華">
      <formula>NOT(ISERROR(SEARCH("中華",A44)))</formula>
    </cfRule>
  </conditionalFormatting>
  <conditionalFormatting sqref="A44:A53">
    <cfRule type="containsText" dxfId="436" priority="20" operator="containsText" text="綠豆芽">
      <formula>NOT(ISERROR(SEARCH("綠豆芽",A44)))</formula>
    </cfRule>
    <cfRule type="containsText" dxfId="435" priority="21" operator="containsText" text="煮白細麵生(方#12)">
      <formula>NOT(ISERROR(SEARCH("煮白細麵生(方#12)",A44)))</formula>
    </cfRule>
  </conditionalFormatting>
  <conditionalFormatting sqref="D44:D53">
    <cfRule type="cellIs" dxfId="434" priority="18" operator="greaterThan">
      <formula>0.146</formula>
    </cfRule>
  </conditionalFormatting>
  <conditionalFormatting sqref="H12:H22">
    <cfRule type="cellIs" dxfId="433" priority="17" operator="greaterThan">
      <formula>1.1</formula>
    </cfRule>
  </conditionalFormatting>
  <conditionalFormatting sqref="I5">
    <cfRule type="cellIs" dxfId="432" priority="15" operator="greaterThan">
      <formula>0.2</formula>
    </cfRule>
  </conditionalFormatting>
  <conditionalFormatting sqref="A28:A37">
    <cfRule type="containsText" dxfId="431" priority="9" operator="containsText" text="024">
      <formula>NOT(ISERROR(SEARCH("024",A28)))</formula>
    </cfRule>
    <cfRule type="containsText" dxfId="430" priority="10" operator="containsText" text="白醬">
      <formula>NOT(ISERROR(SEARCH("白醬",A28)))</formula>
    </cfRule>
    <cfRule type="containsText" dxfId="429" priority="11" operator="containsText" text="青蔥">
      <formula>NOT(ISERROR(SEARCH("青蔥",A28)))</formula>
    </cfRule>
    <cfRule type="containsText" dxfId="428" priority="12" operator="containsText" text=")川燙小青花菜">
      <formula>NOT(ISERROR(SEARCH(")川燙小青花菜",A28)))</formula>
    </cfRule>
    <cfRule type="containsText" dxfId="427" priority="13" operator="containsText" text="湯凍">
      <formula>NOT(ISERROR(SEARCH("湯凍",A28)))</formula>
    </cfRule>
    <cfRule type="containsText" dxfId="426" priority="14" operator="containsText" text="中華">
      <formula>NOT(ISERROR(SEARCH("中華",A28)))</formula>
    </cfRule>
  </conditionalFormatting>
  <conditionalFormatting sqref="A28:A37">
    <cfRule type="containsText" dxfId="425" priority="7" operator="containsText" text="綠豆芽">
      <formula>NOT(ISERROR(SEARCH("綠豆芽",A28)))</formula>
    </cfRule>
    <cfRule type="containsText" dxfId="424" priority="8" operator="containsText" text="煮白細麵生(方#12)">
      <formula>NOT(ISERROR(SEARCH("煮白細麵生(方#12)",A28)))</formula>
    </cfRule>
  </conditionalFormatting>
  <conditionalFormatting sqref="H28:H37">
    <cfRule type="cellIs" dxfId="423" priority="6" operator="greaterThan">
      <formula>1.1</formula>
    </cfRule>
  </conditionalFormatting>
  <conditionalFormatting sqref="G5">
    <cfRule type="cellIs" dxfId="422" priority="1" operator="greaterThan">
      <formula>0.0025</formula>
    </cfRule>
    <cfRule type="cellIs" dxfId="421" priority="2" operator="greaterThan">
      <formula>0.0025</formula>
    </cfRule>
    <cfRule type="cellIs" dxfId="420" priority="4" operator="greaterThan">
      <formula>0.072</formula>
    </cfRule>
    <cfRule type="cellIs" dxfId="419" priority="5" operator="greaterThan">
      <formula>7.2</formula>
    </cfRule>
  </conditionalFormatting>
  <conditionalFormatting sqref="G5">
    <cfRule type="cellIs" dxfId="41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7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088" t="s">
        <v>31</v>
      </c>
      <c r="B2" s="1089"/>
      <c r="C2" s="268" t="s">
        <v>32</v>
      </c>
      <c r="D2" s="1090" t="s">
        <v>33</v>
      </c>
      <c r="E2" s="1090"/>
      <c r="F2" s="1090" t="s">
        <v>34</v>
      </c>
      <c r="G2" s="1090"/>
      <c r="H2" s="1090" t="s">
        <v>33</v>
      </c>
      <c r="I2" s="1090"/>
      <c r="J2" s="1090" t="s">
        <v>34</v>
      </c>
      <c r="K2" s="1090"/>
      <c r="L2" s="1090" t="s">
        <v>33</v>
      </c>
      <c r="M2" s="1091"/>
      <c r="R2" s="17"/>
    </row>
    <row r="3" spans="1:18" s="18" customFormat="1" ht="28.5" x14ac:dyDescent="0.45">
      <c r="A3" s="1092">
        <v>45911</v>
      </c>
      <c r="B3" s="1093"/>
      <c r="C3" s="1094">
        <v>5409403.6100000003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092"/>
      <c r="B4" s="1093"/>
      <c r="C4" s="1094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095" t="s">
        <v>44</v>
      </c>
      <c r="B5" s="1096"/>
      <c r="C5" s="1096"/>
      <c r="D5" s="267">
        <v>13174.849999999999</v>
      </c>
      <c r="E5" s="22">
        <f>D5/C3</f>
        <v>2.4355457551077423E-3</v>
      </c>
      <c r="F5" s="267">
        <v>43256.479999999981</v>
      </c>
      <c r="G5" s="23">
        <f>F5/C3</f>
        <v>7.9965340208733252E-3</v>
      </c>
      <c r="H5" s="24">
        <f>SUM(C12:C21)</f>
        <v>4031.6799999999994</v>
      </c>
      <c r="I5" s="25">
        <f>H5/D5</f>
        <v>0.30601335119564926</v>
      </c>
      <c r="J5" s="24">
        <f>SUM(C28:C37)</f>
        <v>18960.46</v>
      </c>
      <c r="K5" s="26">
        <f>J5/F5</f>
        <v>0.43832646576882833</v>
      </c>
      <c r="L5" s="27">
        <v>5740.0500000000011</v>
      </c>
      <c r="M5" s="28">
        <f>L5/D5</f>
        <v>0.43568237968553736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529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128</v>
      </c>
      <c r="B8" s="620"/>
      <c r="C8" s="620"/>
      <c r="D8" s="620" t="s">
        <v>528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527</v>
      </c>
      <c r="Q8" s="629" t="s">
        <v>526</v>
      </c>
      <c r="R8" s="1097" t="s">
        <v>525</v>
      </c>
    </row>
    <row r="9" spans="1:18" ht="20.45" customHeight="1" x14ac:dyDescent="0.25">
      <c r="A9" s="1098" t="s">
        <v>524</v>
      </c>
      <c r="B9" s="634" t="s">
        <v>216</v>
      </c>
      <c r="C9" s="635"/>
      <c r="D9" s="636" t="s">
        <v>523</v>
      </c>
      <c r="E9" s="636"/>
      <c r="F9" s="636"/>
      <c r="G9" s="636"/>
      <c r="H9" s="636"/>
      <c r="I9" s="636"/>
      <c r="J9" s="637" t="s">
        <v>152</v>
      </c>
      <c r="K9" s="637"/>
      <c r="L9" s="637"/>
      <c r="M9" s="638"/>
      <c r="N9" s="638"/>
      <c r="O9" s="629"/>
      <c r="P9" s="629"/>
      <c r="Q9" s="629"/>
      <c r="R9" s="1097"/>
    </row>
    <row r="10" spans="1:18" ht="20.45" customHeight="1" x14ac:dyDescent="0.3">
      <c r="A10" s="1099"/>
      <c r="B10" s="1101" t="s">
        <v>522</v>
      </c>
      <c r="C10" s="1106" t="s">
        <v>521</v>
      </c>
      <c r="D10" s="1108" t="s">
        <v>520</v>
      </c>
      <c r="E10" s="1108"/>
      <c r="F10" s="1108"/>
      <c r="G10" s="1108"/>
      <c r="H10" s="1108"/>
      <c r="I10" s="1108"/>
      <c r="J10" s="1103" t="s">
        <v>519</v>
      </c>
      <c r="K10" s="1104"/>
      <c r="L10" s="1105" t="s">
        <v>518</v>
      </c>
      <c r="M10" s="1103"/>
      <c r="N10" s="1103"/>
      <c r="O10" s="629"/>
      <c r="P10" s="629"/>
      <c r="Q10" s="629"/>
      <c r="R10" s="1097"/>
    </row>
    <row r="11" spans="1:18" s="29" customFormat="1" ht="47.25" customHeight="1" x14ac:dyDescent="0.25">
      <c r="A11" s="1100"/>
      <c r="B11" s="1102"/>
      <c r="C11" s="1107"/>
      <c r="D11" s="263" t="s">
        <v>517</v>
      </c>
      <c r="E11" s="263" t="s">
        <v>516</v>
      </c>
      <c r="F11" s="263" t="s">
        <v>515</v>
      </c>
      <c r="G11" s="263" t="s">
        <v>514</v>
      </c>
      <c r="H11" s="263" t="s">
        <v>495</v>
      </c>
      <c r="I11" s="263" t="s">
        <v>513</v>
      </c>
      <c r="J11" s="261" t="s">
        <v>492</v>
      </c>
      <c r="K11" s="261" t="s">
        <v>491</v>
      </c>
      <c r="L11" s="261" t="s">
        <v>56</v>
      </c>
      <c r="M11" s="261" t="s">
        <v>107</v>
      </c>
      <c r="N11" s="262" t="s">
        <v>512</v>
      </c>
      <c r="O11" s="629"/>
      <c r="P11" s="629"/>
      <c r="Q11" s="629"/>
      <c r="R11" s="1097"/>
    </row>
    <row r="12" spans="1:18" s="38" customFormat="1" ht="24.95" customHeight="1" x14ac:dyDescent="0.25">
      <c r="A12" s="260">
        <v>1</v>
      </c>
      <c r="B12" s="30" t="s">
        <v>58</v>
      </c>
      <c r="C12" s="31">
        <v>1326.92</v>
      </c>
      <c r="D12" s="32">
        <v>13939</v>
      </c>
      <c r="E12" s="32">
        <v>13939</v>
      </c>
      <c r="F12" s="32">
        <v>228.78</v>
      </c>
      <c r="G12" s="31">
        <v>5.8</v>
      </c>
      <c r="H12" s="33">
        <f t="shared" ref="H12:H21" si="0">(E12+F12)/D12</f>
        <v>1.0164129421048855</v>
      </c>
      <c r="I12" s="31">
        <v>1326.92</v>
      </c>
      <c r="J12" s="32">
        <v>228.78</v>
      </c>
      <c r="K12" s="34">
        <f t="shared" ref="K12:K21" si="1">J12/D12</f>
        <v>1.6412942104885572E-2</v>
      </c>
      <c r="L12" s="257">
        <f t="shared" ref="L12:L21" si="2">((E12+F12)-D12)-J12</f>
        <v>6.5369931689929217E-13</v>
      </c>
      <c r="M12" s="35">
        <f t="shared" ref="M12:M21" si="3">L12/D12</f>
        <v>4.6897145914290274E-17</v>
      </c>
      <c r="N12" s="258">
        <f t="shared" ref="N12:N21" si="4">L12*G12</f>
        <v>3.7914560380158948E-12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259">
        <v>2</v>
      </c>
      <c r="B13" s="30" t="s">
        <v>61</v>
      </c>
      <c r="C13" s="31">
        <v>934.29</v>
      </c>
      <c r="D13" s="32">
        <v>6476</v>
      </c>
      <c r="E13" s="32">
        <v>6476</v>
      </c>
      <c r="F13" s="32">
        <v>141.99</v>
      </c>
      <c r="G13" s="31">
        <v>6.58</v>
      </c>
      <c r="H13" s="33">
        <f t="shared" si="0"/>
        <v>1.0219255713403335</v>
      </c>
      <c r="I13" s="31">
        <v>934.29</v>
      </c>
      <c r="J13" s="32">
        <v>141.99</v>
      </c>
      <c r="K13" s="34">
        <f t="shared" si="1"/>
        <v>2.192557134033354E-2</v>
      </c>
      <c r="L13" s="257">
        <f t="shared" si="2"/>
        <v>-2.2737367544323206E-13</v>
      </c>
      <c r="M13" s="35">
        <f t="shared" si="3"/>
        <v>-3.5110203125885126E-17</v>
      </c>
      <c r="N13" s="258">
        <f t="shared" si="4"/>
        <v>-1.496118784416467E-12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259">
        <v>3</v>
      </c>
      <c r="B14" s="30" t="s">
        <v>254</v>
      </c>
      <c r="C14" s="31">
        <v>291.77</v>
      </c>
      <c r="D14" s="32">
        <v>114.06</v>
      </c>
      <c r="E14" s="32">
        <v>114.06</v>
      </c>
      <c r="F14" s="32">
        <v>5.35</v>
      </c>
      <c r="G14" s="31">
        <v>110.1</v>
      </c>
      <c r="H14" s="33">
        <f t="shared" si="0"/>
        <v>1.0469051376468526</v>
      </c>
      <c r="I14" s="31">
        <v>589.03</v>
      </c>
      <c r="J14" s="32">
        <v>2.65</v>
      </c>
      <c r="K14" s="34">
        <f t="shared" si="1"/>
        <v>2.3233385937226021E-2</v>
      </c>
      <c r="L14" s="257">
        <f t="shared" si="2"/>
        <v>2.6999999999999944</v>
      </c>
      <c r="M14" s="35">
        <f t="shared" si="3"/>
        <v>2.3671751709626463E-2</v>
      </c>
      <c r="N14" s="258">
        <f t="shared" si="4"/>
        <v>297.26999999999936</v>
      </c>
      <c r="O14" s="36" t="s">
        <v>139</v>
      </c>
      <c r="P14" s="36" t="s">
        <v>25</v>
      </c>
      <c r="Q14" s="36" t="s">
        <v>141</v>
      </c>
      <c r="R14" s="37" t="s">
        <v>59</v>
      </c>
    </row>
    <row r="15" spans="1:18" s="38" customFormat="1" ht="24.95" customHeight="1" x14ac:dyDescent="0.25">
      <c r="A15" s="260">
        <v>4</v>
      </c>
      <c r="B15" s="30" t="s">
        <v>64</v>
      </c>
      <c r="C15" s="31">
        <v>267.54000000000002</v>
      </c>
      <c r="D15" s="32">
        <v>3576</v>
      </c>
      <c r="E15" s="32">
        <v>3576</v>
      </c>
      <c r="F15" s="32">
        <v>38.22</v>
      </c>
      <c r="G15" s="31">
        <v>7</v>
      </c>
      <c r="H15" s="33">
        <f t="shared" si="0"/>
        <v>1.0106879194630871</v>
      </c>
      <c r="I15" s="31">
        <v>267.54000000000002</v>
      </c>
      <c r="J15" s="32">
        <v>38.22</v>
      </c>
      <c r="K15" s="34">
        <f t="shared" si="1"/>
        <v>1.0687919463087248E-2</v>
      </c>
      <c r="L15" s="257">
        <f t="shared" si="2"/>
        <v>-1.9895196601282805E-13</v>
      </c>
      <c r="M15" s="35">
        <f t="shared" si="3"/>
        <v>-5.5635337251909412E-17</v>
      </c>
      <c r="N15" s="258">
        <f t="shared" si="4"/>
        <v>-1.3926637620897964E-12</v>
      </c>
      <c r="O15" s="36" t="s">
        <v>142</v>
      </c>
      <c r="P15" s="36" t="s">
        <v>26</v>
      </c>
      <c r="Q15" s="36" t="s">
        <v>143</v>
      </c>
      <c r="R15" s="37" t="s">
        <v>59</v>
      </c>
    </row>
    <row r="16" spans="1:18" s="39" customFormat="1" ht="24.95" customHeight="1" x14ac:dyDescent="0.25">
      <c r="A16" s="259">
        <v>5</v>
      </c>
      <c r="B16" s="30" t="s">
        <v>69</v>
      </c>
      <c r="C16" s="31">
        <v>262.85000000000002</v>
      </c>
      <c r="D16" s="32">
        <v>9252</v>
      </c>
      <c r="E16" s="32">
        <v>9252</v>
      </c>
      <c r="F16" s="32">
        <v>37.549999999999997</v>
      </c>
      <c r="G16" s="31">
        <v>7</v>
      </c>
      <c r="H16" s="33">
        <f t="shared" si="0"/>
        <v>1.0040585819282317</v>
      </c>
      <c r="I16" s="31">
        <v>262.85000000000002</v>
      </c>
      <c r="J16" s="32">
        <v>37.549999999999997</v>
      </c>
      <c r="K16" s="34">
        <f t="shared" si="1"/>
        <v>4.0585819282317331E-3</v>
      </c>
      <c r="L16" s="257">
        <f t="shared" si="2"/>
        <v>-7.2475359047530219E-13</v>
      </c>
      <c r="M16" s="35">
        <f t="shared" si="3"/>
        <v>-7.8334802256301582E-17</v>
      </c>
      <c r="N16" s="258">
        <f t="shared" si="4"/>
        <v>-5.0732751333271153E-12</v>
      </c>
      <c r="O16" s="36" t="s">
        <v>142</v>
      </c>
      <c r="P16" s="36" t="s">
        <v>26</v>
      </c>
      <c r="Q16" s="36" t="s">
        <v>143</v>
      </c>
      <c r="R16" s="37" t="s">
        <v>59</v>
      </c>
    </row>
    <row r="17" spans="1:18" s="38" customFormat="1" ht="24.95" customHeight="1" x14ac:dyDescent="0.25">
      <c r="A17" s="260">
        <v>6</v>
      </c>
      <c r="B17" s="30" t="s">
        <v>91</v>
      </c>
      <c r="C17" s="31">
        <v>246.95</v>
      </c>
      <c r="D17" s="32">
        <v>155.69999999999999</v>
      </c>
      <c r="E17" s="32">
        <v>155.69999999999999</v>
      </c>
      <c r="F17" s="32">
        <v>6.26</v>
      </c>
      <c r="G17" s="31">
        <v>212.89</v>
      </c>
      <c r="H17" s="33">
        <f t="shared" si="0"/>
        <v>1.0402055234425176</v>
      </c>
      <c r="I17" s="31">
        <v>1332.69</v>
      </c>
      <c r="J17" s="32">
        <v>1.1599999999999999</v>
      </c>
      <c r="K17" s="34">
        <f t="shared" si="1"/>
        <v>7.4502247912652539E-3</v>
      </c>
      <c r="L17" s="257">
        <f t="shared" si="2"/>
        <v>5.0999999999999908</v>
      </c>
      <c r="M17" s="35">
        <f t="shared" si="3"/>
        <v>3.2755298651252353E-2</v>
      </c>
      <c r="N17" s="258">
        <f t="shared" si="4"/>
        <v>1085.738999999998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259">
        <v>7</v>
      </c>
      <c r="B18" s="30" t="s">
        <v>90</v>
      </c>
      <c r="C18" s="31">
        <v>222.26</v>
      </c>
      <c r="D18" s="32">
        <v>93.8</v>
      </c>
      <c r="E18" s="32">
        <v>93.8</v>
      </c>
      <c r="F18" s="32">
        <v>4.4000000000000004</v>
      </c>
      <c r="G18" s="31">
        <v>104.84</v>
      </c>
      <c r="H18" s="33">
        <f t="shared" si="0"/>
        <v>1.0469083155650321</v>
      </c>
      <c r="I18" s="31">
        <v>461.3</v>
      </c>
      <c r="J18" s="32">
        <v>2.12</v>
      </c>
      <c r="K18" s="34">
        <f t="shared" si="1"/>
        <v>2.2601279317697232E-2</v>
      </c>
      <c r="L18" s="257">
        <f t="shared" si="2"/>
        <v>2.2800000000000056</v>
      </c>
      <c r="M18" s="35">
        <f t="shared" si="3"/>
        <v>2.4307036247334816E-2</v>
      </c>
      <c r="N18" s="258">
        <f t="shared" si="4"/>
        <v>239.0352000000006</v>
      </c>
      <c r="O18" s="36" t="s">
        <v>139</v>
      </c>
      <c r="P18" s="36" t="s">
        <v>25</v>
      </c>
      <c r="Q18" s="36" t="s">
        <v>141</v>
      </c>
      <c r="R18" s="37" t="s">
        <v>59</v>
      </c>
    </row>
    <row r="19" spans="1:18" s="38" customFormat="1" ht="24.95" customHeight="1" x14ac:dyDescent="0.25">
      <c r="A19" s="260">
        <v>8</v>
      </c>
      <c r="B19" s="30" t="s">
        <v>346</v>
      </c>
      <c r="C19" s="31">
        <v>179.24</v>
      </c>
      <c r="D19" s="32">
        <v>35.76</v>
      </c>
      <c r="E19" s="32">
        <v>35.76</v>
      </c>
      <c r="F19" s="32">
        <v>1.68</v>
      </c>
      <c r="G19" s="31">
        <v>271.57</v>
      </c>
      <c r="H19" s="33">
        <f t="shared" si="0"/>
        <v>1.0469798657718121</v>
      </c>
      <c r="I19" s="31">
        <v>456.24</v>
      </c>
      <c r="J19" s="32">
        <v>0.66</v>
      </c>
      <c r="K19" s="34">
        <f t="shared" si="1"/>
        <v>1.8456375838926176E-2</v>
      </c>
      <c r="L19" s="257">
        <f t="shared" si="2"/>
        <v>1.0199999999999996</v>
      </c>
      <c r="M19" s="35">
        <f t="shared" si="3"/>
        <v>2.8523489932885896E-2</v>
      </c>
      <c r="N19" s="258">
        <f t="shared" si="4"/>
        <v>277.00139999999988</v>
      </c>
      <c r="O19" s="36" t="s">
        <v>139</v>
      </c>
      <c r="P19" s="36" t="s">
        <v>25</v>
      </c>
      <c r="Q19" s="36" t="s">
        <v>144</v>
      </c>
      <c r="R19" s="37" t="s">
        <v>59</v>
      </c>
    </row>
    <row r="20" spans="1:18" s="38" customFormat="1" ht="24.95" customHeight="1" x14ac:dyDescent="0.25">
      <c r="A20" s="259">
        <v>9</v>
      </c>
      <c r="B20" s="30" t="s">
        <v>60</v>
      </c>
      <c r="C20" s="31">
        <v>174.45</v>
      </c>
      <c r="D20" s="32">
        <v>226.67</v>
      </c>
      <c r="E20" s="32">
        <v>226.67</v>
      </c>
      <c r="F20" s="32">
        <v>10.63</v>
      </c>
      <c r="G20" s="31">
        <v>99.12</v>
      </c>
      <c r="H20" s="33">
        <f t="shared" si="0"/>
        <v>1.0468963691710416</v>
      </c>
      <c r="I20" s="31">
        <v>1053.6500000000001</v>
      </c>
      <c r="J20" s="32">
        <v>1.76</v>
      </c>
      <c r="K20" s="34">
        <f t="shared" si="1"/>
        <v>7.7645916971809245E-3</v>
      </c>
      <c r="L20" s="257">
        <f t="shared" si="2"/>
        <v>8.8699999999999957</v>
      </c>
      <c r="M20" s="35">
        <f t="shared" si="3"/>
        <v>3.9131777473860659E-2</v>
      </c>
      <c r="N20" s="258">
        <f t="shared" si="4"/>
        <v>879.19439999999963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256">
        <v>10</v>
      </c>
      <c r="B21" s="40" t="s">
        <v>301</v>
      </c>
      <c r="C21" s="41">
        <v>125.41</v>
      </c>
      <c r="D21" s="42">
        <v>7.82</v>
      </c>
      <c r="E21" s="42">
        <v>7.82</v>
      </c>
      <c r="F21" s="42">
        <v>0.26</v>
      </c>
      <c r="G21" s="41">
        <v>1567.63</v>
      </c>
      <c r="H21" s="43">
        <f t="shared" si="0"/>
        <v>1.0332480818414322</v>
      </c>
      <c r="I21" s="41">
        <v>407.58</v>
      </c>
      <c r="J21" s="42">
        <v>0.08</v>
      </c>
      <c r="K21" s="44">
        <f t="shared" si="1"/>
        <v>1.0230179028132991E-2</v>
      </c>
      <c r="L21" s="254">
        <f t="shared" si="2"/>
        <v>0.17999999999999977</v>
      </c>
      <c r="M21" s="45">
        <f t="shared" si="3"/>
        <v>2.3017902813299202E-2</v>
      </c>
      <c r="N21" s="255">
        <f t="shared" si="4"/>
        <v>282.17339999999967</v>
      </c>
      <c r="O21" s="46" t="s">
        <v>139</v>
      </c>
      <c r="P21" s="46" t="s">
        <v>25</v>
      </c>
      <c r="Q21" s="46" t="s">
        <v>141</v>
      </c>
      <c r="R21" s="47" t="s">
        <v>79</v>
      </c>
    </row>
    <row r="22" spans="1:18" s="53" customFormat="1" ht="24.95" customHeight="1" thickBot="1" x14ac:dyDescent="0.3">
      <c r="A22" s="266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265"/>
      <c r="M22" s="51"/>
      <c r="N22" s="264"/>
      <c r="O22" s="52"/>
      <c r="P22" s="52"/>
      <c r="Q22" s="52"/>
      <c r="R22" s="48"/>
    </row>
    <row r="23" spans="1:18" s="53" customFormat="1" ht="40.5" customHeight="1" x14ac:dyDescent="0.25">
      <c r="A23" s="616" t="s">
        <v>511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128</v>
      </c>
      <c r="B24" s="620"/>
      <c r="C24" s="620"/>
      <c r="D24" s="620" t="s">
        <v>510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509</v>
      </c>
      <c r="P24" s="630" t="s">
        <v>508</v>
      </c>
      <c r="Q24" s="629" t="s">
        <v>507</v>
      </c>
      <c r="R24" s="1097" t="s">
        <v>506</v>
      </c>
    </row>
    <row r="25" spans="1:18" s="53" customFormat="1" ht="24.95" customHeight="1" x14ac:dyDescent="0.25">
      <c r="A25" s="1098" t="s">
        <v>488</v>
      </c>
      <c r="B25" s="634" t="s">
        <v>487</v>
      </c>
      <c r="C25" s="635"/>
      <c r="D25" s="636" t="s">
        <v>505</v>
      </c>
      <c r="E25" s="636"/>
      <c r="F25" s="636"/>
      <c r="G25" s="636"/>
      <c r="H25" s="636"/>
      <c r="I25" s="636"/>
      <c r="J25" s="637" t="s">
        <v>504</v>
      </c>
      <c r="K25" s="637"/>
      <c r="L25" s="637"/>
      <c r="M25" s="638"/>
      <c r="N25" s="638"/>
      <c r="O25" s="629"/>
      <c r="P25" s="629"/>
      <c r="Q25" s="629"/>
      <c r="R25" s="1097"/>
    </row>
    <row r="26" spans="1:18" s="53" customFormat="1" ht="24.95" customHeight="1" x14ac:dyDescent="0.3">
      <c r="A26" s="1099"/>
      <c r="B26" s="1101" t="s">
        <v>486</v>
      </c>
      <c r="C26" s="1106" t="s">
        <v>503</v>
      </c>
      <c r="D26" s="1108" t="s">
        <v>502</v>
      </c>
      <c r="E26" s="1108"/>
      <c r="F26" s="1108"/>
      <c r="G26" s="1108"/>
      <c r="H26" s="1108"/>
      <c r="I26" s="1108"/>
      <c r="J26" s="1103" t="s">
        <v>501</v>
      </c>
      <c r="K26" s="1109"/>
      <c r="L26" s="1104"/>
      <c r="M26" s="1103" t="s">
        <v>500</v>
      </c>
      <c r="N26" s="1104"/>
      <c r="O26" s="629"/>
      <c r="P26" s="629"/>
      <c r="Q26" s="629"/>
      <c r="R26" s="1097"/>
    </row>
    <row r="27" spans="1:18" s="53" customFormat="1" ht="50.1" customHeight="1" x14ac:dyDescent="0.25">
      <c r="A27" s="1100"/>
      <c r="B27" s="1102"/>
      <c r="C27" s="1107"/>
      <c r="D27" s="263" t="s">
        <v>499</v>
      </c>
      <c r="E27" s="263" t="s">
        <v>498</v>
      </c>
      <c r="F27" s="263" t="s">
        <v>497</v>
      </c>
      <c r="G27" s="263" t="s">
        <v>496</v>
      </c>
      <c r="H27" s="263" t="s">
        <v>495</v>
      </c>
      <c r="I27" s="263" t="s">
        <v>494</v>
      </c>
      <c r="J27" s="261" t="s">
        <v>492</v>
      </c>
      <c r="K27" s="261" t="s">
        <v>491</v>
      </c>
      <c r="L27" s="262" t="s">
        <v>493</v>
      </c>
      <c r="M27" s="261" t="s">
        <v>492</v>
      </c>
      <c r="N27" s="261" t="s">
        <v>491</v>
      </c>
      <c r="O27" s="629"/>
      <c r="P27" s="629"/>
      <c r="Q27" s="629"/>
      <c r="R27" s="1097"/>
    </row>
    <row r="28" spans="1:18" s="53" customFormat="1" ht="24.95" customHeight="1" x14ac:dyDescent="0.25">
      <c r="A28" s="260">
        <v>1</v>
      </c>
      <c r="B28" s="30" t="s">
        <v>68</v>
      </c>
      <c r="C28" s="31">
        <v>3329.1499999999996</v>
      </c>
      <c r="D28" s="32">
        <v>365.06</v>
      </c>
      <c r="E28" s="32">
        <v>365.06</v>
      </c>
      <c r="F28" s="32">
        <v>22.02</v>
      </c>
      <c r="G28" s="31">
        <v>156.74</v>
      </c>
      <c r="H28" s="54">
        <f t="shared" ref="H28:H37" si="5">(E28+F28)/D28</f>
        <v>1.0603188516956117</v>
      </c>
      <c r="I28" s="31">
        <v>3451.41</v>
      </c>
      <c r="J28" s="32">
        <v>0.78</v>
      </c>
      <c r="K28" s="34">
        <f t="shared" ref="K28:K37" si="6">J28/D28</f>
        <v>2.1366350736865174E-3</v>
      </c>
      <c r="L28" s="258">
        <f t="shared" ref="L28:L37" si="7">J28*G28</f>
        <v>122.25720000000001</v>
      </c>
      <c r="M28" s="257">
        <f t="shared" ref="M28:M37" si="8">((E28+F28)-D28)-J28</f>
        <v>21.239999999999981</v>
      </c>
      <c r="N28" s="35">
        <f t="shared" ref="N28:N37" si="9">M28/D28</f>
        <v>5.8182216621925111E-2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259">
        <v>2</v>
      </c>
      <c r="B29" s="30" t="s">
        <v>80</v>
      </c>
      <c r="C29" s="31">
        <v>3057.8</v>
      </c>
      <c r="D29" s="32">
        <v>336.61</v>
      </c>
      <c r="E29" s="32">
        <v>336.61</v>
      </c>
      <c r="F29" s="32">
        <v>20.29</v>
      </c>
      <c r="G29" s="31">
        <v>156.72999999999999</v>
      </c>
      <c r="H29" s="54">
        <f t="shared" si="5"/>
        <v>1.0602774724458572</v>
      </c>
      <c r="I29" s="31">
        <v>3180.05</v>
      </c>
      <c r="J29" s="32">
        <v>0.78</v>
      </c>
      <c r="K29" s="34">
        <f t="shared" si="6"/>
        <v>2.3172217105849498E-3</v>
      </c>
      <c r="L29" s="258">
        <f t="shared" si="7"/>
        <v>122.24939999999999</v>
      </c>
      <c r="M29" s="257">
        <f t="shared" si="8"/>
        <v>19.510000000000019</v>
      </c>
      <c r="N29" s="35">
        <f t="shared" si="9"/>
        <v>5.7960250735272327E-2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259">
        <v>3</v>
      </c>
      <c r="B30" s="30" t="s">
        <v>74</v>
      </c>
      <c r="C30" s="31">
        <v>2147.44</v>
      </c>
      <c r="D30" s="32">
        <v>281.11</v>
      </c>
      <c r="E30" s="32">
        <v>281.11</v>
      </c>
      <c r="F30" s="32">
        <v>16.95</v>
      </c>
      <c r="G30" s="31">
        <v>133.88</v>
      </c>
      <c r="H30" s="54">
        <f t="shared" si="5"/>
        <v>1.0602966810145493</v>
      </c>
      <c r="I30" s="31">
        <v>2269.27</v>
      </c>
      <c r="J30" s="57">
        <v>0.91</v>
      </c>
      <c r="K30" s="34">
        <f t="shared" si="6"/>
        <v>3.2371669453238943E-3</v>
      </c>
      <c r="L30" s="258">
        <f t="shared" si="7"/>
        <v>121.8308</v>
      </c>
      <c r="M30" s="257">
        <f t="shared" si="8"/>
        <v>16.039999999999988</v>
      </c>
      <c r="N30" s="35">
        <f t="shared" si="9"/>
        <v>5.7059514069225527E-2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260">
        <v>4</v>
      </c>
      <c r="B31" s="30" t="s">
        <v>87</v>
      </c>
      <c r="C31" s="31">
        <v>1888</v>
      </c>
      <c r="D31" s="32">
        <v>220.92</v>
      </c>
      <c r="E31" s="32">
        <v>220.92</v>
      </c>
      <c r="F31" s="32">
        <v>10.36</v>
      </c>
      <c r="G31" s="31">
        <v>194.04</v>
      </c>
      <c r="H31" s="54">
        <f t="shared" si="5"/>
        <v>1.0468948035487959</v>
      </c>
      <c r="I31" s="31">
        <v>2010.25</v>
      </c>
      <c r="J31" s="32">
        <v>0.63</v>
      </c>
      <c r="K31" s="34">
        <f t="shared" si="6"/>
        <v>2.8517110266159697E-3</v>
      </c>
      <c r="L31" s="258">
        <f t="shared" si="7"/>
        <v>122.2452</v>
      </c>
      <c r="M31" s="257">
        <f t="shared" si="8"/>
        <v>9.7299999999999844</v>
      </c>
      <c r="N31" s="35">
        <f t="shared" si="9"/>
        <v>4.4043092522179909E-2</v>
      </c>
      <c r="O31" s="55" t="s">
        <v>133</v>
      </c>
      <c r="P31" s="56" t="s">
        <v>25</v>
      </c>
      <c r="Q31" s="56" t="s">
        <v>135</v>
      </c>
      <c r="R31" s="37" t="s">
        <v>88</v>
      </c>
    </row>
    <row r="32" spans="1:18" s="53" customFormat="1" ht="24.95" customHeight="1" x14ac:dyDescent="0.25">
      <c r="A32" s="259">
        <v>5</v>
      </c>
      <c r="B32" s="30" t="s">
        <v>62</v>
      </c>
      <c r="C32" s="31">
        <v>1591.27</v>
      </c>
      <c r="D32" s="32">
        <v>328.5</v>
      </c>
      <c r="E32" s="32">
        <v>328.5</v>
      </c>
      <c r="F32" s="32">
        <v>15.41</v>
      </c>
      <c r="G32" s="31">
        <v>111.2</v>
      </c>
      <c r="H32" s="54">
        <f t="shared" si="5"/>
        <v>1.046910197869102</v>
      </c>
      <c r="I32" s="31">
        <v>1713.59</v>
      </c>
      <c r="J32" s="32">
        <v>1.1000000000000001</v>
      </c>
      <c r="K32" s="34">
        <f t="shared" si="6"/>
        <v>3.3485540334855404E-3</v>
      </c>
      <c r="L32" s="258">
        <f t="shared" si="7"/>
        <v>122.32000000000001</v>
      </c>
      <c r="M32" s="257">
        <f t="shared" si="8"/>
        <v>14.310000000000025</v>
      </c>
      <c r="N32" s="35">
        <f t="shared" si="9"/>
        <v>4.3561643835616518E-2</v>
      </c>
      <c r="O32" s="55" t="s">
        <v>133</v>
      </c>
      <c r="P32" s="56" t="s">
        <v>25</v>
      </c>
      <c r="Q32" s="56" t="s">
        <v>135</v>
      </c>
      <c r="R32" s="37" t="s">
        <v>63</v>
      </c>
    </row>
    <row r="33" spans="1:18" s="53" customFormat="1" ht="24.95" customHeight="1" x14ac:dyDescent="0.25">
      <c r="A33" s="260">
        <v>6</v>
      </c>
      <c r="B33" s="30" t="s">
        <v>70</v>
      </c>
      <c r="C33" s="31">
        <v>1563.19</v>
      </c>
      <c r="D33" s="32">
        <v>30.91</v>
      </c>
      <c r="E33" s="32">
        <v>30.91</v>
      </c>
      <c r="F33" s="32">
        <v>2.0699999999999998</v>
      </c>
      <c r="G33" s="31">
        <v>814.16</v>
      </c>
      <c r="H33" s="54">
        <f t="shared" si="5"/>
        <v>1.066968618570042</v>
      </c>
      <c r="I33" s="31">
        <v>1685.31</v>
      </c>
      <c r="J33" s="32">
        <v>0.15</v>
      </c>
      <c r="K33" s="34">
        <f t="shared" si="6"/>
        <v>4.8527984471044968E-3</v>
      </c>
      <c r="L33" s="258">
        <f t="shared" si="7"/>
        <v>122.124</v>
      </c>
      <c r="M33" s="257">
        <f t="shared" si="8"/>
        <v>1.9199999999999968</v>
      </c>
      <c r="N33" s="35">
        <f t="shared" si="9"/>
        <v>6.2115820122937461E-2</v>
      </c>
      <c r="O33" s="55" t="s">
        <v>133</v>
      </c>
      <c r="P33" s="56" t="s">
        <v>27</v>
      </c>
      <c r="Q33" s="56" t="s">
        <v>590</v>
      </c>
      <c r="R33" s="37" t="s">
        <v>71</v>
      </c>
    </row>
    <row r="34" spans="1:18" s="53" customFormat="1" ht="24.95" customHeight="1" x14ac:dyDescent="0.25">
      <c r="A34" s="259">
        <v>7</v>
      </c>
      <c r="B34" s="30" t="s">
        <v>183</v>
      </c>
      <c r="C34" s="31">
        <v>1423.25</v>
      </c>
      <c r="D34" s="32">
        <v>93.8</v>
      </c>
      <c r="E34" s="32">
        <v>93.8</v>
      </c>
      <c r="F34" s="32">
        <v>3.77</v>
      </c>
      <c r="G34" s="31">
        <v>410.16</v>
      </c>
      <c r="H34" s="54">
        <f t="shared" si="5"/>
        <v>1.0401918976545841</v>
      </c>
      <c r="I34" s="31">
        <v>1546.3</v>
      </c>
      <c r="J34" s="32">
        <v>0.3</v>
      </c>
      <c r="K34" s="34">
        <f t="shared" si="6"/>
        <v>3.1982942430703624E-3</v>
      </c>
      <c r="L34" s="258">
        <f t="shared" si="7"/>
        <v>123.048</v>
      </c>
      <c r="M34" s="257">
        <f t="shared" si="8"/>
        <v>3.4699999999999962</v>
      </c>
      <c r="N34" s="35">
        <f t="shared" si="9"/>
        <v>3.6993603411513823E-2</v>
      </c>
      <c r="O34" s="55" t="s">
        <v>133</v>
      </c>
      <c r="P34" s="56" t="s">
        <v>27</v>
      </c>
      <c r="Q34" s="56" t="s">
        <v>134</v>
      </c>
      <c r="R34" s="37" t="s">
        <v>59</v>
      </c>
    </row>
    <row r="35" spans="1:18" s="53" customFormat="1" ht="24.95" customHeight="1" x14ac:dyDescent="0.25">
      <c r="A35" s="260">
        <v>8</v>
      </c>
      <c r="B35" s="30" t="s">
        <v>179</v>
      </c>
      <c r="C35" s="31">
        <v>1392.93</v>
      </c>
      <c r="D35" s="32">
        <v>150.91999999999999</v>
      </c>
      <c r="E35" s="32">
        <v>150.91999999999999</v>
      </c>
      <c r="F35" s="32">
        <v>9.1</v>
      </c>
      <c r="G35" s="31">
        <v>166.42</v>
      </c>
      <c r="H35" s="54">
        <f t="shared" si="5"/>
        <v>1.0602968460111317</v>
      </c>
      <c r="I35" s="31">
        <v>1514.42</v>
      </c>
      <c r="J35" s="32">
        <v>0.73</v>
      </c>
      <c r="K35" s="34">
        <f t="shared" si="6"/>
        <v>4.8369997349589191E-3</v>
      </c>
      <c r="L35" s="258">
        <f t="shared" si="7"/>
        <v>121.48659999999998</v>
      </c>
      <c r="M35" s="257">
        <f t="shared" si="8"/>
        <v>8.3699999999999939</v>
      </c>
      <c r="N35" s="35">
        <f t="shared" si="9"/>
        <v>5.5459846276172772E-2</v>
      </c>
      <c r="O35" s="55" t="s">
        <v>133</v>
      </c>
      <c r="P35" s="56" t="s">
        <v>25</v>
      </c>
      <c r="Q35" s="56" t="s">
        <v>135</v>
      </c>
      <c r="R35" s="37" t="s">
        <v>180</v>
      </c>
    </row>
    <row r="36" spans="1:18" s="53" customFormat="1" ht="24.95" customHeight="1" x14ac:dyDescent="0.25">
      <c r="A36" s="259">
        <v>9</v>
      </c>
      <c r="B36" s="30" t="s">
        <v>92</v>
      </c>
      <c r="C36" s="31">
        <v>1339.0300000000002</v>
      </c>
      <c r="D36" s="32">
        <v>107.21</v>
      </c>
      <c r="E36" s="32">
        <v>107.21</v>
      </c>
      <c r="F36" s="32">
        <v>7.18</v>
      </c>
      <c r="G36" s="31">
        <v>203.5</v>
      </c>
      <c r="H36" s="54">
        <f t="shared" si="5"/>
        <v>1.06697136461151</v>
      </c>
      <c r="I36" s="31">
        <v>1461.13</v>
      </c>
      <c r="J36" s="32">
        <v>0.6</v>
      </c>
      <c r="K36" s="34">
        <f t="shared" si="6"/>
        <v>5.5964928644715983E-3</v>
      </c>
      <c r="L36" s="258">
        <f t="shared" si="7"/>
        <v>122.1</v>
      </c>
      <c r="M36" s="257">
        <f t="shared" si="8"/>
        <v>6.579999999999993</v>
      </c>
      <c r="N36" s="35">
        <f t="shared" si="9"/>
        <v>6.1374871747038463E-2</v>
      </c>
      <c r="O36" s="55" t="s">
        <v>133</v>
      </c>
      <c r="P36" s="56" t="s">
        <v>25</v>
      </c>
      <c r="Q36" s="56" t="s">
        <v>136</v>
      </c>
      <c r="R36" s="37" t="s">
        <v>59</v>
      </c>
    </row>
    <row r="37" spans="1:18" s="53" customFormat="1" ht="24.95" customHeight="1" thickBot="1" x14ac:dyDescent="0.3">
      <c r="A37" s="256">
        <v>10</v>
      </c>
      <c r="B37" s="40" t="s">
        <v>263</v>
      </c>
      <c r="C37" s="41">
        <v>1228.4000000000001</v>
      </c>
      <c r="D37" s="42">
        <v>217.7</v>
      </c>
      <c r="E37" s="42">
        <v>217.7</v>
      </c>
      <c r="F37" s="42">
        <v>7.3</v>
      </c>
      <c r="G37" s="41">
        <v>185</v>
      </c>
      <c r="H37" s="58">
        <f t="shared" si="5"/>
        <v>1.0335323840146993</v>
      </c>
      <c r="I37" s="41">
        <v>1350.5</v>
      </c>
      <c r="J37" s="42">
        <v>0.66</v>
      </c>
      <c r="K37" s="44">
        <f t="shared" si="6"/>
        <v>3.0316949931097842E-3</v>
      </c>
      <c r="L37" s="255">
        <f t="shared" si="7"/>
        <v>122.10000000000001</v>
      </c>
      <c r="M37" s="254">
        <f t="shared" si="8"/>
        <v>6.6400000000000112</v>
      </c>
      <c r="N37" s="45">
        <f t="shared" si="9"/>
        <v>3.0500689021589398E-2</v>
      </c>
      <c r="O37" s="59" t="s">
        <v>133</v>
      </c>
      <c r="P37" s="60" t="s">
        <v>25</v>
      </c>
      <c r="Q37" s="60" t="s">
        <v>135</v>
      </c>
      <c r="R37" s="61" t="s">
        <v>264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490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489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110" t="s">
        <v>488</v>
      </c>
      <c r="B41" s="623" t="s">
        <v>487</v>
      </c>
      <c r="C41" s="623"/>
      <c r="D41" s="624"/>
      <c r="E41" s="62"/>
      <c r="G41" s="64"/>
      <c r="H41" s="65"/>
    </row>
    <row r="42" spans="1:18" ht="20.45" customHeight="1" x14ac:dyDescent="0.35">
      <c r="A42" s="1110"/>
      <c r="B42" s="1111" t="s">
        <v>486</v>
      </c>
      <c r="C42" s="1112" t="s">
        <v>485</v>
      </c>
      <c r="D42" s="1097" t="s">
        <v>484</v>
      </c>
      <c r="E42" s="62"/>
      <c r="G42" s="64"/>
      <c r="H42" s="65"/>
    </row>
    <row r="43" spans="1:18" ht="20.45" customHeight="1" x14ac:dyDescent="0.35">
      <c r="A43" s="1110"/>
      <c r="B43" s="1111"/>
      <c r="C43" s="1112"/>
      <c r="D43" s="1097"/>
      <c r="E43" s="62"/>
      <c r="G43" s="64"/>
      <c r="H43" s="65"/>
    </row>
    <row r="44" spans="1:18" s="68" customFormat="1" ht="24.95" customHeight="1" x14ac:dyDescent="0.35">
      <c r="A44" s="253">
        <v>1</v>
      </c>
      <c r="B44" s="30" t="s">
        <v>58</v>
      </c>
      <c r="C44" s="31">
        <v>1326.92</v>
      </c>
      <c r="D44" s="66">
        <f t="shared" ref="D44:D53" si="10">C44/$L$5</f>
        <v>0.23116871804252573</v>
      </c>
      <c r="E44" s="67"/>
      <c r="G44" s="64"/>
      <c r="H44" s="65"/>
    </row>
    <row r="45" spans="1:18" s="68" customFormat="1" ht="24.95" customHeight="1" x14ac:dyDescent="0.35">
      <c r="A45" s="252">
        <v>2</v>
      </c>
      <c r="B45" s="30" t="s">
        <v>61</v>
      </c>
      <c r="C45" s="31">
        <v>934.29</v>
      </c>
      <c r="D45" s="66">
        <f t="shared" si="10"/>
        <v>0.16276687485300648</v>
      </c>
      <c r="E45" s="67"/>
      <c r="G45" s="64"/>
      <c r="H45" s="65"/>
    </row>
    <row r="46" spans="1:18" s="68" customFormat="1" ht="24.95" customHeight="1" x14ac:dyDescent="0.35">
      <c r="A46" s="252">
        <v>3</v>
      </c>
      <c r="B46" s="30" t="s">
        <v>254</v>
      </c>
      <c r="C46" s="31">
        <v>291.77</v>
      </c>
      <c r="D46" s="66">
        <f t="shared" si="10"/>
        <v>5.0830567677981886E-2</v>
      </c>
      <c r="E46" s="67"/>
      <c r="G46" s="64"/>
      <c r="H46" s="65"/>
    </row>
    <row r="47" spans="1:18" s="68" customFormat="1" ht="24.95" customHeight="1" x14ac:dyDescent="0.35">
      <c r="A47" s="253">
        <v>4</v>
      </c>
      <c r="B47" s="30" t="s">
        <v>64</v>
      </c>
      <c r="C47" s="31">
        <v>267.54000000000002</v>
      </c>
      <c r="D47" s="66">
        <f t="shared" si="10"/>
        <v>4.6609350092769224E-2</v>
      </c>
      <c r="E47" s="67"/>
      <c r="G47" s="64"/>
      <c r="H47" s="65"/>
    </row>
    <row r="48" spans="1:18" s="68" customFormat="1" ht="24.95" customHeight="1" x14ac:dyDescent="0.35">
      <c r="A48" s="252">
        <v>5</v>
      </c>
      <c r="B48" s="30" t="s">
        <v>69</v>
      </c>
      <c r="C48" s="31">
        <v>262.85000000000002</v>
      </c>
      <c r="D48" s="66">
        <f t="shared" si="10"/>
        <v>4.5792284039337633E-2</v>
      </c>
      <c r="E48" s="67"/>
      <c r="G48" s="64"/>
      <c r="H48" s="65"/>
    </row>
    <row r="49" spans="1:5" s="68" customFormat="1" ht="24.95" customHeight="1" x14ac:dyDescent="0.25">
      <c r="A49" s="253">
        <v>6</v>
      </c>
      <c r="B49" s="30" t="s">
        <v>91</v>
      </c>
      <c r="C49" s="31">
        <v>246.95</v>
      </c>
      <c r="D49" s="66">
        <f t="shared" si="10"/>
        <v>4.3022273325145244E-2</v>
      </c>
      <c r="E49" s="67"/>
    </row>
    <row r="50" spans="1:5" s="68" customFormat="1" ht="24.95" customHeight="1" x14ac:dyDescent="0.25">
      <c r="A50" s="252">
        <v>7</v>
      </c>
      <c r="B50" s="30" t="s">
        <v>90</v>
      </c>
      <c r="C50" s="31">
        <v>222.26</v>
      </c>
      <c r="D50" s="66">
        <f t="shared" si="10"/>
        <v>3.8720917065182353E-2</v>
      </c>
      <c r="E50" s="67"/>
    </row>
    <row r="51" spans="1:5" s="68" customFormat="1" ht="24.95" customHeight="1" x14ac:dyDescent="0.25">
      <c r="A51" s="253">
        <v>8</v>
      </c>
      <c r="B51" s="30" t="s">
        <v>346</v>
      </c>
      <c r="C51" s="31">
        <v>179.24</v>
      </c>
      <c r="D51" s="66">
        <f t="shared" si="10"/>
        <v>3.1226208830933525E-2</v>
      </c>
      <c r="E51" s="67"/>
    </row>
    <row r="52" spans="1:5" s="68" customFormat="1" ht="24.95" customHeight="1" x14ac:dyDescent="0.25">
      <c r="A52" s="252">
        <v>9</v>
      </c>
      <c r="B52" s="30" t="s">
        <v>60</v>
      </c>
      <c r="C52" s="31">
        <v>174.45</v>
      </c>
      <c r="D52" s="66">
        <f t="shared" si="10"/>
        <v>3.0391721326469275E-2</v>
      </c>
      <c r="E52" s="67"/>
    </row>
    <row r="53" spans="1:5" s="68" customFormat="1" ht="24.95" customHeight="1" thickBot="1" x14ac:dyDescent="0.3">
      <c r="A53" s="251">
        <v>10</v>
      </c>
      <c r="B53" s="40" t="s">
        <v>483</v>
      </c>
      <c r="C53" s="41">
        <v>125.22</v>
      </c>
      <c r="D53" s="69">
        <f t="shared" si="10"/>
        <v>2.1815140983092476E-2</v>
      </c>
      <c r="E53" s="67"/>
    </row>
    <row r="54" spans="1:5" x14ac:dyDescent="0.25">
      <c r="A54" s="614" t="s">
        <v>482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481</v>
      </c>
      <c r="B56" s="615"/>
      <c r="C56" s="615"/>
      <c r="D56" s="615"/>
      <c r="E56" s="615"/>
    </row>
  </sheetData>
  <dataConsolidate/>
  <mergeCells count="56">
    <mergeCell ref="A39:D39"/>
    <mergeCell ref="A23:R23"/>
    <mergeCell ref="A24:C24"/>
    <mergeCell ref="D24:N24"/>
    <mergeCell ref="O24:O27"/>
    <mergeCell ref="Q24:Q27"/>
    <mergeCell ref="R24:R27"/>
    <mergeCell ref="A25:A27"/>
    <mergeCell ref="B25:C25"/>
    <mergeCell ref="D25:I25"/>
    <mergeCell ref="A54:E55"/>
    <mergeCell ref="A56:E56"/>
    <mergeCell ref="A40:D40"/>
    <mergeCell ref="A41:A43"/>
    <mergeCell ref="B41:D41"/>
    <mergeCell ref="B42:B43"/>
    <mergeCell ref="C42:C43"/>
    <mergeCell ref="D42:D43"/>
    <mergeCell ref="J10:K10"/>
    <mergeCell ref="L10:N10"/>
    <mergeCell ref="J25:N25"/>
    <mergeCell ref="B26:B27"/>
    <mergeCell ref="C26:C27"/>
    <mergeCell ref="D26:I26"/>
    <mergeCell ref="J26:L26"/>
    <mergeCell ref="M26:N26"/>
    <mergeCell ref="C10:C11"/>
    <mergeCell ref="D10:I10"/>
    <mergeCell ref="P8:P11"/>
    <mergeCell ref="P24:P27"/>
    <mergeCell ref="J3:K3"/>
    <mergeCell ref="L3:M3"/>
    <mergeCell ref="A5:C5"/>
    <mergeCell ref="A7:R7"/>
    <mergeCell ref="A8:C8"/>
    <mergeCell ref="D8:N8"/>
    <mergeCell ref="O8:O11"/>
    <mergeCell ref="Q8:Q11"/>
    <mergeCell ref="R8:R11"/>
    <mergeCell ref="A9:A11"/>
    <mergeCell ref="B9:C9"/>
    <mergeCell ref="D9:I9"/>
    <mergeCell ref="J9:N9"/>
    <mergeCell ref="B10:B11"/>
    <mergeCell ref="A3:B4"/>
    <mergeCell ref="C3:C4"/>
    <mergeCell ref="D3:E3"/>
    <mergeCell ref="F3:G3"/>
    <mergeCell ref="H3:I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417" priority="33" operator="containsText" text="024">
      <formula>NOT(ISERROR(SEARCH("024",A12)))</formula>
    </cfRule>
    <cfRule type="containsText" dxfId="416" priority="34" operator="containsText" text="白醬">
      <formula>NOT(ISERROR(SEARCH("白醬",A12)))</formula>
    </cfRule>
    <cfRule type="containsText" dxfId="415" priority="35" operator="containsText" text="青蔥">
      <formula>NOT(ISERROR(SEARCH("青蔥",A12)))</formula>
    </cfRule>
    <cfRule type="containsText" dxfId="414" priority="36" operator="containsText" text=")川燙小青花菜">
      <formula>NOT(ISERROR(SEARCH(")川燙小青花菜",A12)))</formula>
    </cfRule>
    <cfRule type="containsText" dxfId="413" priority="37" operator="containsText" text="湯凍">
      <formula>NOT(ISERROR(SEARCH("湯凍",A12)))</formula>
    </cfRule>
    <cfRule type="containsText" dxfId="412" priority="38" operator="containsText" text="中華">
      <formula>NOT(ISERROR(SEARCH("中華",A12)))</formula>
    </cfRule>
  </conditionalFormatting>
  <conditionalFormatting sqref="A12:A22">
    <cfRule type="containsText" dxfId="411" priority="31" operator="containsText" text="綠豆芽">
      <formula>NOT(ISERROR(SEARCH("綠豆芽",A12)))</formula>
    </cfRule>
    <cfRule type="containsText" dxfId="410" priority="32" operator="containsText" text="煮白細麵生(方#12)">
      <formula>NOT(ISERROR(SEARCH("煮白細麵生(方#12)",A12)))</formula>
    </cfRule>
  </conditionalFormatting>
  <conditionalFormatting sqref="E5">
    <cfRule type="cellIs" dxfId="409" priority="16" operator="greaterThan">
      <formula>0.0025</formula>
    </cfRule>
    <cfRule type="cellIs" dxfId="408" priority="19" operator="greaterThan">
      <formula>0.0025</formula>
    </cfRule>
    <cfRule type="cellIs" dxfId="407" priority="29" operator="greaterThan">
      <formula>0.072</formula>
    </cfRule>
    <cfRule type="cellIs" dxfId="406" priority="30" operator="greaterThan">
      <formula>7.2</formula>
    </cfRule>
  </conditionalFormatting>
  <conditionalFormatting sqref="E5">
    <cfRule type="cellIs" dxfId="405" priority="28" operator="greaterThan">
      <formula>0.0025</formula>
    </cfRule>
  </conditionalFormatting>
  <conditionalFormatting sqref="A44:A53">
    <cfRule type="containsText" dxfId="404" priority="22" operator="containsText" text="024">
      <formula>NOT(ISERROR(SEARCH("024",A44)))</formula>
    </cfRule>
    <cfRule type="containsText" dxfId="403" priority="23" operator="containsText" text="白醬">
      <formula>NOT(ISERROR(SEARCH("白醬",A44)))</formula>
    </cfRule>
    <cfRule type="containsText" dxfId="402" priority="24" operator="containsText" text="青蔥">
      <formula>NOT(ISERROR(SEARCH("青蔥",A44)))</formula>
    </cfRule>
    <cfRule type="containsText" dxfId="401" priority="25" operator="containsText" text=")川燙小青花菜">
      <formula>NOT(ISERROR(SEARCH(")川燙小青花菜",A44)))</formula>
    </cfRule>
    <cfRule type="containsText" dxfId="400" priority="26" operator="containsText" text="湯凍">
      <formula>NOT(ISERROR(SEARCH("湯凍",A44)))</formula>
    </cfRule>
    <cfRule type="containsText" dxfId="399" priority="27" operator="containsText" text="中華">
      <formula>NOT(ISERROR(SEARCH("中華",A44)))</formula>
    </cfRule>
  </conditionalFormatting>
  <conditionalFormatting sqref="A44:A53">
    <cfRule type="containsText" dxfId="398" priority="20" operator="containsText" text="綠豆芽">
      <formula>NOT(ISERROR(SEARCH("綠豆芽",A44)))</formula>
    </cfRule>
    <cfRule type="containsText" dxfId="397" priority="21" operator="containsText" text="煮白細麵生(方#12)">
      <formula>NOT(ISERROR(SEARCH("煮白細麵生(方#12)",A44)))</formula>
    </cfRule>
  </conditionalFormatting>
  <conditionalFormatting sqref="D44:D53">
    <cfRule type="cellIs" dxfId="396" priority="18" operator="greaterThan">
      <formula>0.146</formula>
    </cfRule>
  </conditionalFormatting>
  <conditionalFormatting sqref="H12:H22">
    <cfRule type="cellIs" dxfId="395" priority="17" operator="greaterThan">
      <formula>1.1</formula>
    </cfRule>
  </conditionalFormatting>
  <conditionalFormatting sqref="I5">
    <cfRule type="cellIs" dxfId="394" priority="15" operator="greaterThan">
      <formula>0.2</formula>
    </cfRule>
  </conditionalFormatting>
  <conditionalFormatting sqref="A28:A37">
    <cfRule type="containsText" dxfId="393" priority="9" operator="containsText" text="024">
      <formula>NOT(ISERROR(SEARCH("024",A28)))</formula>
    </cfRule>
    <cfRule type="containsText" dxfId="392" priority="10" operator="containsText" text="白醬">
      <formula>NOT(ISERROR(SEARCH("白醬",A28)))</formula>
    </cfRule>
    <cfRule type="containsText" dxfId="391" priority="11" operator="containsText" text="青蔥">
      <formula>NOT(ISERROR(SEARCH("青蔥",A28)))</formula>
    </cfRule>
    <cfRule type="containsText" dxfId="390" priority="12" operator="containsText" text=")川燙小青花菜">
      <formula>NOT(ISERROR(SEARCH(")川燙小青花菜",A28)))</formula>
    </cfRule>
    <cfRule type="containsText" dxfId="389" priority="13" operator="containsText" text="湯凍">
      <formula>NOT(ISERROR(SEARCH("湯凍",A28)))</formula>
    </cfRule>
    <cfRule type="containsText" dxfId="388" priority="14" operator="containsText" text="中華">
      <formula>NOT(ISERROR(SEARCH("中華",A28)))</formula>
    </cfRule>
  </conditionalFormatting>
  <conditionalFormatting sqref="A28:A37">
    <cfRule type="containsText" dxfId="387" priority="7" operator="containsText" text="綠豆芽">
      <formula>NOT(ISERROR(SEARCH("綠豆芽",A28)))</formula>
    </cfRule>
    <cfRule type="containsText" dxfId="386" priority="8" operator="containsText" text="煮白細麵生(方#12)">
      <formula>NOT(ISERROR(SEARCH("煮白細麵生(方#12)",A28)))</formula>
    </cfRule>
  </conditionalFormatting>
  <conditionalFormatting sqref="H28:H37">
    <cfRule type="cellIs" dxfId="385" priority="6" operator="greaterThan">
      <formula>1.1</formula>
    </cfRule>
  </conditionalFormatting>
  <conditionalFormatting sqref="G5">
    <cfRule type="cellIs" dxfId="384" priority="1" operator="greaterThan">
      <formula>0.0025</formula>
    </cfRule>
    <cfRule type="cellIs" dxfId="383" priority="2" operator="greaterThan">
      <formula>0.0025</formula>
    </cfRule>
    <cfRule type="cellIs" dxfId="382" priority="4" operator="greaterThan">
      <formula>0.072</formula>
    </cfRule>
    <cfRule type="cellIs" dxfId="381" priority="5" operator="greaterThan">
      <formula>7.2</formula>
    </cfRule>
  </conditionalFormatting>
  <conditionalFormatting sqref="G5">
    <cfRule type="cellIs" dxfId="38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134" t="s">
        <v>31</v>
      </c>
      <c r="B2" s="1135"/>
      <c r="C2" s="250" t="s">
        <v>32</v>
      </c>
      <c r="D2" s="1136" t="s">
        <v>33</v>
      </c>
      <c r="E2" s="1136"/>
      <c r="F2" s="1136" t="s">
        <v>34</v>
      </c>
      <c r="G2" s="1136"/>
      <c r="H2" s="1136" t="s">
        <v>33</v>
      </c>
      <c r="I2" s="1136"/>
      <c r="J2" s="1136" t="s">
        <v>34</v>
      </c>
      <c r="K2" s="1136"/>
      <c r="L2" s="1136" t="s">
        <v>33</v>
      </c>
      <c r="M2" s="1137"/>
      <c r="R2" s="17"/>
    </row>
    <row r="3" spans="1:18" s="18" customFormat="1" ht="28.5" x14ac:dyDescent="0.45">
      <c r="A3" s="1131">
        <v>45910</v>
      </c>
      <c r="B3" s="1132"/>
      <c r="C3" s="1133">
        <v>5803938.3200000003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131"/>
      <c r="B4" s="1132"/>
      <c r="C4" s="113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129" t="s">
        <v>44</v>
      </c>
      <c r="B5" s="1130"/>
      <c r="C5" s="1130"/>
      <c r="D5" s="249">
        <v>14217.509999999997</v>
      </c>
      <c r="E5" s="22">
        <f>D5/C3</f>
        <v>2.4496314771312033E-3</v>
      </c>
      <c r="F5" s="249">
        <v>46279.44999999999</v>
      </c>
      <c r="G5" s="23">
        <f>F5/C3</f>
        <v>7.9738011412912452E-3</v>
      </c>
      <c r="H5" s="24">
        <f>SUM(C12:C21)</f>
        <v>4922.4799999999996</v>
      </c>
      <c r="I5" s="25">
        <f>H5/D5</f>
        <v>0.34622658960675962</v>
      </c>
      <c r="J5" s="24">
        <f>SUM(C28:C37)</f>
        <v>22167.919999999998</v>
      </c>
      <c r="K5" s="26">
        <f>J5/F5</f>
        <v>0.4790013710188864</v>
      </c>
      <c r="L5" s="27">
        <v>6156.1999999999989</v>
      </c>
      <c r="M5" s="28">
        <f>L5/D5</f>
        <v>0.43300127800156291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45</v>
      </c>
      <c r="B8" s="620"/>
      <c r="C8" s="620"/>
      <c r="D8" s="620" t="s">
        <v>480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479</v>
      </c>
      <c r="P8" s="630" t="s">
        <v>47</v>
      </c>
      <c r="Q8" s="629" t="s">
        <v>96</v>
      </c>
      <c r="R8" s="1113" t="s">
        <v>48</v>
      </c>
    </row>
    <row r="9" spans="1:18" ht="20.45" customHeight="1" x14ac:dyDescent="0.25">
      <c r="A9" s="1114" t="s">
        <v>97</v>
      </c>
      <c r="B9" s="634" t="s">
        <v>98</v>
      </c>
      <c r="C9" s="635"/>
      <c r="D9" s="636" t="s">
        <v>478</v>
      </c>
      <c r="E9" s="636"/>
      <c r="F9" s="636"/>
      <c r="G9" s="636"/>
      <c r="H9" s="636"/>
      <c r="I9" s="636"/>
      <c r="J9" s="637" t="s">
        <v>477</v>
      </c>
      <c r="K9" s="637"/>
      <c r="L9" s="637"/>
      <c r="M9" s="638"/>
      <c r="N9" s="638"/>
      <c r="O9" s="629"/>
      <c r="P9" s="629"/>
      <c r="Q9" s="629"/>
      <c r="R9" s="1113"/>
    </row>
    <row r="10" spans="1:18" ht="20.45" customHeight="1" x14ac:dyDescent="0.3">
      <c r="A10" s="1115"/>
      <c r="B10" s="1123" t="s">
        <v>100</v>
      </c>
      <c r="C10" s="1125" t="s">
        <v>101</v>
      </c>
      <c r="D10" s="1127" t="s">
        <v>50</v>
      </c>
      <c r="E10" s="1127"/>
      <c r="F10" s="1127"/>
      <c r="G10" s="1127"/>
      <c r="H10" s="1127"/>
      <c r="I10" s="1127"/>
      <c r="J10" s="1120" t="s">
        <v>51</v>
      </c>
      <c r="K10" s="1121"/>
      <c r="L10" s="1122" t="s">
        <v>102</v>
      </c>
      <c r="M10" s="1120"/>
      <c r="N10" s="1120"/>
      <c r="O10" s="629"/>
      <c r="P10" s="629"/>
      <c r="Q10" s="629"/>
      <c r="R10" s="1113"/>
    </row>
    <row r="11" spans="1:18" s="29" customFormat="1" ht="47.25" customHeight="1" x14ac:dyDescent="0.25">
      <c r="A11" s="1116"/>
      <c r="B11" s="1124"/>
      <c r="C11" s="1126"/>
      <c r="D11" s="245" t="s">
        <v>103</v>
      </c>
      <c r="E11" s="245" t="s">
        <v>104</v>
      </c>
      <c r="F11" s="245" t="s">
        <v>53</v>
      </c>
      <c r="G11" s="245" t="s">
        <v>476</v>
      </c>
      <c r="H11" s="245" t="s">
        <v>55</v>
      </c>
      <c r="I11" s="245" t="s">
        <v>73</v>
      </c>
      <c r="J11" s="243" t="s">
        <v>56</v>
      </c>
      <c r="K11" s="243" t="s">
        <v>57</v>
      </c>
      <c r="L11" s="243" t="s">
        <v>56</v>
      </c>
      <c r="M11" s="243" t="s">
        <v>57</v>
      </c>
      <c r="N11" s="244" t="s">
        <v>109</v>
      </c>
      <c r="O11" s="629"/>
      <c r="P11" s="629"/>
      <c r="Q11" s="629"/>
      <c r="R11" s="1113"/>
    </row>
    <row r="12" spans="1:18" s="38" customFormat="1" ht="24.95" customHeight="1" x14ac:dyDescent="0.25">
      <c r="A12" s="242">
        <v>1</v>
      </c>
      <c r="B12" s="30" t="s">
        <v>61</v>
      </c>
      <c r="C12" s="31">
        <v>1521.1</v>
      </c>
      <c r="D12" s="32">
        <v>6885</v>
      </c>
      <c r="E12" s="32">
        <v>6885</v>
      </c>
      <c r="F12" s="32">
        <v>231.17</v>
      </c>
      <c r="G12" s="31">
        <v>6.58</v>
      </c>
      <c r="H12" s="33">
        <f t="shared" ref="H12:H21" si="0">(E12+F12)/D12</f>
        <v>1.0335758896151053</v>
      </c>
      <c r="I12" s="31">
        <v>1521.1</v>
      </c>
      <c r="J12" s="32">
        <v>231.17</v>
      </c>
      <c r="K12" s="34">
        <f t="shared" ref="K12:K21" si="1">J12/D12</f>
        <v>3.3575889615105298E-2</v>
      </c>
      <c r="L12" s="239">
        <f t="shared" ref="L12:L21" si="2">((E12+F12)-D12)-J12</f>
        <v>0</v>
      </c>
      <c r="M12" s="35">
        <f t="shared" ref="M12:M21" si="3">L12/D12</f>
        <v>0</v>
      </c>
      <c r="N12" s="240">
        <f t="shared" ref="N12:N21" si="4">L12*G12</f>
        <v>0</v>
      </c>
      <c r="O12" s="36" t="s">
        <v>142</v>
      </c>
      <c r="P12" s="36" t="s">
        <v>26</v>
      </c>
      <c r="Q12" s="36" t="s">
        <v>143</v>
      </c>
      <c r="R12" s="37" t="s">
        <v>59</v>
      </c>
    </row>
    <row r="13" spans="1:18" s="38" customFormat="1" ht="24.95" customHeight="1" x14ac:dyDescent="0.25">
      <c r="A13" s="241">
        <v>2</v>
      </c>
      <c r="B13" s="30" t="s">
        <v>58</v>
      </c>
      <c r="C13" s="31">
        <v>1043.42</v>
      </c>
      <c r="D13" s="32">
        <v>15274</v>
      </c>
      <c r="E13" s="32">
        <v>15274</v>
      </c>
      <c r="F13" s="32">
        <v>179.9</v>
      </c>
      <c r="G13" s="31">
        <v>5.8</v>
      </c>
      <c r="H13" s="33">
        <f t="shared" si="0"/>
        <v>1.0117781851512373</v>
      </c>
      <c r="I13" s="31">
        <v>1043.42</v>
      </c>
      <c r="J13" s="32">
        <v>179.9</v>
      </c>
      <c r="K13" s="34">
        <f t="shared" si="1"/>
        <v>1.1778185151237398E-2</v>
      </c>
      <c r="L13" s="239">
        <f t="shared" si="2"/>
        <v>-3.694822225952521E-13</v>
      </c>
      <c r="M13" s="35">
        <f t="shared" si="3"/>
        <v>-2.4190272528168921E-17</v>
      </c>
      <c r="N13" s="240">
        <f t="shared" si="4"/>
        <v>-2.1429968910524619E-12</v>
      </c>
      <c r="O13" s="36" t="s">
        <v>139</v>
      </c>
      <c r="P13" s="36" t="s">
        <v>28</v>
      </c>
      <c r="Q13" s="36" t="s">
        <v>140</v>
      </c>
      <c r="R13" s="37" t="s">
        <v>59</v>
      </c>
    </row>
    <row r="14" spans="1:18" s="39" customFormat="1" ht="24.95" customHeight="1" x14ac:dyDescent="0.25">
      <c r="A14" s="241">
        <v>3</v>
      </c>
      <c r="B14" s="30" t="s">
        <v>69</v>
      </c>
      <c r="C14" s="31">
        <v>669.34</v>
      </c>
      <c r="D14" s="32">
        <v>9655</v>
      </c>
      <c r="E14" s="32">
        <v>9655</v>
      </c>
      <c r="F14" s="32">
        <v>95.62</v>
      </c>
      <c r="G14" s="31">
        <v>7</v>
      </c>
      <c r="H14" s="33">
        <f t="shared" si="0"/>
        <v>1.0099036768513725</v>
      </c>
      <c r="I14" s="31">
        <v>669.34</v>
      </c>
      <c r="J14" s="32">
        <v>95.62</v>
      </c>
      <c r="K14" s="34">
        <f t="shared" si="1"/>
        <v>9.903676851372346E-3</v>
      </c>
      <c r="L14" s="239">
        <f t="shared" si="2"/>
        <v>7.9580786405131221E-13</v>
      </c>
      <c r="M14" s="35">
        <f t="shared" si="3"/>
        <v>8.2424429212978997E-17</v>
      </c>
      <c r="N14" s="240">
        <f t="shared" si="4"/>
        <v>5.5706550483591855E-12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242">
        <v>4</v>
      </c>
      <c r="B15" s="30" t="s">
        <v>166</v>
      </c>
      <c r="C15" s="31">
        <v>297.97000000000003</v>
      </c>
      <c r="D15" s="32">
        <v>5734</v>
      </c>
      <c r="E15" s="32">
        <v>5734</v>
      </c>
      <c r="F15" s="32">
        <v>67.72</v>
      </c>
      <c r="G15" s="31">
        <v>4.4000000000000004</v>
      </c>
      <c r="H15" s="33">
        <f t="shared" si="0"/>
        <v>1.0118102546215557</v>
      </c>
      <c r="I15" s="31">
        <v>297.97000000000003</v>
      </c>
      <c r="J15" s="32">
        <v>67.72</v>
      </c>
      <c r="K15" s="34">
        <f t="shared" si="1"/>
        <v>1.1810254621555633E-2</v>
      </c>
      <c r="L15" s="239">
        <f t="shared" si="2"/>
        <v>2.5579538487363607E-13</v>
      </c>
      <c r="M15" s="35">
        <f t="shared" si="3"/>
        <v>4.4610286863208246E-17</v>
      </c>
      <c r="N15" s="240">
        <f t="shared" si="4"/>
        <v>1.1254996934439987E-12</v>
      </c>
      <c r="O15" s="36" t="s">
        <v>139</v>
      </c>
      <c r="P15" s="36" t="s">
        <v>28</v>
      </c>
      <c r="Q15" s="36" t="s">
        <v>140</v>
      </c>
      <c r="R15" s="37" t="s">
        <v>59</v>
      </c>
    </row>
    <row r="16" spans="1:18" s="39" customFormat="1" ht="24.95" customHeight="1" x14ac:dyDescent="0.25">
      <c r="A16" s="241">
        <v>5</v>
      </c>
      <c r="B16" s="30" t="s">
        <v>213</v>
      </c>
      <c r="C16" s="31">
        <v>282.14</v>
      </c>
      <c r="D16" s="32">
        <v>4804</v>
      </c>
      <c r="E16" s="32">
        <v>4804</v>
      </c>
      <c r="F16" s="32">
        <v>64.86</v>
      </c>
      <c r="G16" s="31">
        <v>4.3499999999999996</v>
      </c>
      <c r="H16" s="33">
        <f t="shared" si="0"/>
        <v>1.0135012489592006</v>
      </c>
      <c r="I16" s="31">
        <v>282.14</v>
      </c>
      <c r="J16" s="32">
        <v>64.86</v>
      </c>
      <c r="K16" s="34">
        <f t="shared" si="1"/>
        <v>1.3501248959200665E-2</v>
      </c>
      <c r="L16" s="239">
        <f t="shared" si="2"/>
        <v>-3.2684965844964609E-13</v>
      </c>
      <c r="M16" s="35">
        <f t="shared" si="3"/>
        <v>-6.8036981359210255E-17</v>
      </c>
      <c r="N16" s="240">
        <f t="shared" si="4"/>
        <v>-1.4217960142559604E-12</v>
      </c>
      <c r="O16" s="36" t="s">
        <v>139</v>
      </c>
      <c r="P16" s="36" t="s">
        <v>28</v>
      </c>
      <c r="Q16" s="36" t="s">
        <v>140</v>
      </c>
      <c r="R16" s="37" t="s">
        <v>214</v>
      </c>
    </row>
    <row r="17" spans="1:18" s="38" customFormat="1" ht="24.95" customHeight="1" x14ac:dyDescent="0.25">
      <c r="A17" s="242">
        <v>6</v>
      </c>
      <c r="B17" s="30" t="s">
        <v>70</v>
      </c>
      <c r="C17" s="31">
        <v>276.81</v>
      </c>
      <c r="D17" s="32">
        <v>35.340000000000003</v>
      </c>
      <c r="E17" s="32">
        <v>35.340000000000003</v>
      </c>
      <c r="F17" s="32">
        <v>2.44</v>
      </c>
      <c r="G17" s="31">
        <v>814.16</v>
      </c>
      <c r="H17" s="33">
        <f t="shared" si="0"/>
        <v>1.0690435766836446</v>
      </c>
      <c r="I17" s="31">
        <v>1986.55</v>
      </c>
      <c r="J17" s="32">
        <v>0.34</v>
      </c>
      <c r="K17" s="34">
        <f t="shared" si="1"/>
        <v>9.6208262591963786E-3</v>
      </c>
      <c r="L17" s="239">
        <f t="shared" si="2"/>
        <v>2.0999999999999979</v>
      </c>
      <c r="M17" s="35">
        <f t="shared" si="3"/>
        <v>5.9422750424448154E-2</v>
      </c>
      <c r="N17" s="240">
        <f t="shared" si="4"/>
        <v>1709.7359999999983</v>
      </c>
      <c r="O17" s="36" t="s">
        <v>139</v>
      </c>
      <c r="P17" s="36" t="s">
        <v>27</v>
      </c>
      <c r="Q17" s="36" t="s">
        <v>138</v>
      </c>
      <c r="R17" s="37" t="s">
        <v>71</v>
      </c>
    </row>
    <row r="18" spans="1:18" s="39" customFormat="1" ht="24.95" customHeight="1" x14ac:dyDescent="0.25">
      <c r="A18" s="241">
        <v>7</v>
      </c>
      <c r="B18" s="30" t="s">
        <v>60</v>
      </c>
      <c r="C18" s="31">
        <v>248.79</v>
      </c>
      <c r="D18" s="32">
        <v>240.97</v>
      </c>
      <c r="E18" s="32">
        <v>240.97</v>
      </c>
      <c r="F18" s="32">
        <v>11.64</v>
      </c>
      <c r="G18" s="31">
        <v>99.12</v>
      </c>
      <c r="H18" s="33">
        <f t="shared" si="0"/>
        <v>1.0483047682284103</v>
      </c>
      <c r="I18" s="31">
        <v>1153.76</v>
      </c>
      <c r="J18" s="32">
        <v>2.5099999999999998</v>
      </c>
      <c r="K18" s="34">
        <f t="shared" si="1"/>
        <v>1.0416234386023156E-2</v>
      </c>
      <c r="L18" s="239">
        <f t="shared" si="2"/>
        <v>9.130000000000015</v>
      </c>
      <c r="M18" s="35">
        <f t="shared" si="3"/>
        <v>3.7888533842387079E-2</v>
      </c>
      <c r="N18" s="240">
        <f t="shared" si="4"/>
        <v>904.96560000000147</v>
      </c>
      <c r="O18" s="36" t="s">
        <v>139</v>
      </c>
      <c r="P18" s="36" t="s">
        <v>25</v>
      </c>
      <c r="Q18" s="36" t="s">
        <v>141</v>
      </c>
      <c r="R18" s="37" t="s">
        <v>59</v>
      </c>
    </row>
    <row r="19" spans="1:18" s="38" customFormat="1" ht="24.95" customHeight="1" x14ac:dyDescent="0.25">
      <c r="A19" s="242">
        <v>8</v>
      </c>
      <c r="B19" s="30" t="s">
        <v>62</v>
      </c>
      <c r="C19" s="31">
        <v>235.74</v>
      </c>
      <c r="D19" s="32">
        <v>340.2</v>
      </c>
      <c r="E19" s="32">
        <v>340.2</v>
      </c>
      <c r="F19" s="32">
        <v>16.43</v>
      </c>
      <c r="G19" s="31">
        <v>111.2</v>
      </c>
      <c r="H19" s="33">
        <f t="shared" si="0"/>
        <v>1.0482951205173427</v>
      </c>
      <c r="I19" s="31">
        <v>1827.02</v>
      </c>
      <c r="J19" s="32">
        <v>2.12</v>
      </c>
      <c r="K19" s="34">
        <f t="shared" si="1"/>
        <v>6.231628453850677E-3</v>
      </c>
      <c r="L19" s="239">
        <f t="shared" si="2"/>
        <v>14.310000000000006</v>
      </c>
      <c r="M19" s="35">
        <f t="shared" si="3"/>
        <v>4.2063492063492081E-2</v>
      </c>
      <c r="N19" s="240">
        <f t="shared" si="4"/>
        <v>1591.2720000000006</v>
      </c>
      <c r="O19" s="36" t="s">
        <v>139</v>
      </c>
      <c r="P19" s="36" t="s">
        <v>25</v>
      </c>
      <c r="Q19" s="36" t="s">
        <v>144</v>
      </c>
      <c r="R19" s="37" t="s">
        <v>63</v>
      </c>
    </row>
    <row r="20" spans="1:18" s="38" customFormat="1" ht="24.95" customHeight="1" x14ac:dyDescent="0.25">
      <c r="A20" s="241">
        <v>9</v>
      </c>
      <c r="B20" s="30" t="s">
        <v>254</v>
      </c>
      <c r="C20" s="31">
        <v>212.49</v>
      </c>
      <c r="D20" s="32">
        <v>118.36</v>
      </c>
      <c r="E20" s="32">
        <v>118.36</v>
      </c>
      <c r="F20" s="32">
        <v>5.72</v>
      </c>
      <c r="G20" s="31">
        <v>110.1</v>
      </c>
      <c r="H20" s="33">
        <f t="shared" si="0"/>
        <v>1.0483271375464684</v>
      </c>
      <c r="I20" s="31">
        <v>629.77</v>
      </c>
      <c r="J20" s="32">
        <v>1.93</v>
      </c>
      <c r="K20" s="34">
        <f t="shared" si="1"/>
        <v>1.6306184521797905E-2</v>
      </c>
      <c r="L20" s="239">
        <f t="shared" si="2"/>
        <v>3.7899999999999991</v>
      </c>
      <c r="M20" s="35">
        <f t="shared" si="3"/>
        <v>3.2020953024670493E-2</v>
      </c>
      <c r="N20" s="240">
        <f t="shared" si="4"/>
        <v>417.27899999999988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238">
        <v>10</v>
      </c>
      <c r="B21" s="40" t="s">
        <v>445</v>
      </c>
      <c r="C21" s="41">
        <v>134.68</v>
      </c>
      <c r="D21" s="42">
        <v>33.5</v>
      </c>
      <c r="E21" s="42">
        <v>33.5</v>
      </c>
      <c r="F21" s="42">
        <v>2.77</v>
      </c>
      <c r="G21" s="41">
        <v>113.18</v>
      </c>
      <c r="H21" s="43">
        <f t="shared" si="0"/>
        <v>1.0826865671641792</v>
      </c>
      <c r="I21" s="41">
        <v>313.51</v>
      </c>
      <c r="J21" s="42">
        <v>1.19</v>
      </c>
      <c r="K21" s="44">
        <f t="shared" si="1"/>
        <v>3.5522388059701489E-2</v>
      </c>
      <c r="L21" s="236">
        <f t="shared" si="2"/>
        <v>1.5800000000000032</v>
      </c>
      <c r="M21" s="45">
        <f t="shared" si="3"/>
        <v>4.7164179104477705E-2</v>
      </c>
      <c r="N21" s="237">
        <f t="shared" si="4"/>
        <v>178.82440000000037</v>
      </c>
      <c r="O21" s="46" t="s">
        <v>139</v>
      </c>
      <c r="P21" s="46" t="s">
        <v>25</v>
      </c>
      <c r="Q21" s="46" t="s">
        <v>141</v>
      </c>
      <c r="R21" s="47" t="s">
        <v>444</v>
      </c>
    </row>
    <row r="22" spans="1:18" s="53" customFormat="1" ht="24.95" customHeight="1" thickBot="1" x14ac:dyDescent="0.3">
      <c r="A22" s="248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247"/>
      <c r="M22" s="51"/>
      <c r="N22" s="246"/>
      <c r="O22" s="52"/>
      <c r="P22" s="52"/>
      <c r="Q22" s="52"/>
      <c r="R22" s="48"/>
    </row>
    <row r="23" spans="1:18" s="53" customFormat="1" ht="40.5" customHeight="1" x14ac:dyDescent="0.25">
      <c r="A23" s="616" t="s">
        <v>475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453</v>
      </c>
      <c r="B24" s="620"/>
      <c r="C24" s="620"/>
      <c r="D24" s="620" t="s">
        <v>474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473</v>
      </c>
      <c r="P24" s="630" t="s">
        <v>472</v>
      </c>
      <c r="Q24" s="629" t="s">
        <v>471</v>
      </c>
      <c r="R24" s="1113" t="s">
        <v>470</v>
      </c>
    </row>
    <row r="25" spans="1:18" s="53" customFormat="1" ht="24.95" customHeight="1" x14ac:dyDescent="0.25">
      <c r="A25" s="1114" t="s">
        <v>452</v>
      </c>
      <c r="B25" s="634" t="s">
        <v>451</v>
      </c>
      <c r="C25" s="635"/>
      <c r="D25" s="636" t="s">
        <v>469</v>
      </c>
      <c r="E25" s="636"/>
      <c r="F25" s="636"/>
      <c r="G25" s="636"/>
      <c r="H25" s="636"/>
      <c r="I25" s="636"/>
      <c r="J25" s="637" t="s">
        <v>468</v>
      </c>
      <c r="K25" s="637"/>
      <c r="L25" s="637"/>
      <c r="M25" s="638"/>
      <c r="N25" s="638"/>
      <c r="O25" s="629"/>
      <c r="P25" s="629"/>
      <c r="Q25" s="629"/>
      <c r="R25" s="1113"/>
    </row>
    <row r="26" spans="1:18" s="53" customFormat="1" ht="24.95" customHeight="1" x14ac:dyDescent="0.3">
      <c r="A26" s="1115"/>
      <c r="B26" s="1123" t="s">
        <v>450</v>
      </c>
      <c r="C26" s="1125" t="s">
        <v>467</v>
      </c>
      <c r="D26" s="1127" t="s">
        <v>466</v>
      </c>
      <c r="E26" s="1127"/>
      <c r="F26" s="1127"/>
      <c r="G26" s="1127"/>
      <c r="H26" s="1127"/>
      <c r="I26" s="1127"/>
      <c r="J26" s="1120" t="s">
        <v>465</v>
      </c>
      <c r="K26" s="1128"/>
      <c r="L26" s="1121"/>
      <c r="M26" s="1120" t="s">
        <v>464</v>
      </c>
      <c r="N26" s="1121"/>
      <c r="O26" s="629"/>
      <c r="P26" s="629"/>
      <c r="Q26" s="629"/>
      <c r="R26" s="1113"/>
    </row>
    <row r="27" spans="1:18" s="53" customFormat="1" ht="50.1" customHeight="1" x14ac:dyDescent="0.25">
      <c r="A27" s="1116"/>
      <c r="B27" s="1124"/>
      <c r="C27" s="1126"/>
      <c r="D27" s="245" t="s">
        <v>463</v>
      </c>
      <c r="E27" s="245" t="s">
        <v>462</v>
      </c>
      <c r="F27" s="245" t="s">
        <v>461</v>
      </c>
      <c r="G27" s="245" t="s">
        <v>460</v>
      </c>
      <c r="H27" s="245" t="s">
        <v>459</v>
      </c>
      <c r="I27" s="245" t="s">
        <v>458</v>
      </c>
      <c r="J27" s="243" t="s">
        <v>456</v>
      </c>
      <c r="K27" s="243" t="s">
        <v>455</v>
      </c>
      <c r="L27" s="244" t="s">
        <v>457</v>
      </c>
      <c r="M27" s="243" t="s">
        <v>456</v>
      </c>
      <c r="N27" s="243" t="s">
        <v>455</v>
      </c>
      <c r="O27" s="629"/>
      <c r="P27" s="629"/>
      <c r="Q27" s="629"/>
      <c r="R27" s="1113"/>
    </row>
    <row r="28" spans="1:18" s="53" customFormat="1" ht="24.95" customHeight="1" x14ac:dyDescent="0.25">
      <c r="A28" s="242">
        <v>1</v>
      </c>
      <c r="B28" s="30" t="s">
        <v>68</v>
      </c>
      <c r="C28" s="31">
        <v>3799.3799999999997</v>
      </c>
      <c r="D28" s="32">
        <v>385.59</v>
      </c>
      <c r="E28" s="32">
        <v>385.59</v>
      </c>
      <c r="F28" s="32">
        <v>23.94</v>
      </c>
      <c r="G28" s="31">
        <v>156.74</v>
      </c>
      <c r="H28" s="54">
        <f t="shared" ref="H28:H37" si="5">(E28+F28)/D28</f>
        <v>1.0620866723722089</v>
      </c>
      <c r="I28" s="31">
        <v>3752.36</v>
      </c>
      <c r="J28" s="32">
        <v>0.81</v>
      </c>
      <c r="K28" s="34">
        <f t="shared" ref="K28:K37" si="6">J28/D28</f>
        <v>2.1006768847739829E-3</v>
      </c>
      <c r="L28" s="240">
        <f t="shared" ref="L28:L37" si="7">J28*G28</f>
        <v>126.95940000000002</v>
      </c>
      <c r="M28" s="239">
        <f t="shared" ref="M28:M37" si="8">((E28+F28)-D28)-J28</f>
        <v>23.13</v>
      </c>
      <c r="N28" s="35">
        <f t="shared" ref="N28:N37" si="9">M28/D28</f>
        <v>5.9985995487434843E-2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241">
        <v>2</v>
      </c>
      <c r="B29" s="30" t="s">
        <v>80</v>
      </c>
      <c r="C29" s="31">
        <v>3307</v>
      </c>
      <c r="D29" s="32">
        <v>338</v>
      </c>
      <c r="E29" s="32">
        <v>338</v>
      </c>
      <c r="F29" s="32">
        <v>20.99</v>
      </c>
      <c r="G29" s="31">
        <v>156.72999999999999</v>
      </c>
      <c r="H29" s="54">
        <f t="shared" si="5"/>
        <v>1.0621005917159763</v>
      </c>
      <c r="I29" s="31">
        <v>3289.76</v>
      </c>
      <c r="J29" s="32">
        <v>0.81</v>
      </c>
      <c r="K29" s="34">
        <f t="shared" si="6"/>
        <v>2.3964497041420122E-3</v>
      </c>
      <c r="L29" s="240">
        <f t="shared" si="7"/>
        <v>126.9513</v>
      </c>
      <c r="M29" s="239">
        <f t="shared" si="8"/>
        <v>20.18000000000001</v>
      </c>
      <c r="N29" s="35">
        <f t="shared" si="9"/>
        <v>5.9704142011834348E-2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241">
        <v>3</v>
      </c>
      <c r="B30" s="30" t="s">
        <v>70</v>
      </c>
      <c r="C30" s="31">
        <v>2279.65</v>
      </c>
      <c r="D30" s="32">
        <v>35.340000000000003</v>
      </c>
      <c r="E30" s="32">
        <v>35.340000000000003</v>
      </c>
      <c r="F30" s="32">
        <v>2.44</v>
      </c>
      <c r="G30" s="31">
        <v>814.16</v>
      </c>
      <c r="H30" s="54">
        <f t="shared" si="5"/>
        <v>1.0690435766836446</v>
      </c>
      <c r="I30" s="31">
        <v>1986.55</v>
      </c>
      <c r="J30" s="57">
        <v>0.34</v>
      </c>
      <c r="K30" s="34">
        <f t="shared" si="6"/>
        <v>9.6208262591963786E-3</v>
      </c>
      <c r="L30" s="240">
        <f t="shared" si="7"/>
        <v>276.81440000000003</v>
      </c>
      <c r="M30" s="239">
        <f t="shared" si="8"/>
        <v>2.0999999999999979</v>
      </c>
      <c r="N30" s="35">
        <f t="shared" si="9"/>
        <v>5.9422750424448154E-2</v>
      </c>
      <c r="O30" s="55" t="s">
        <v>133</v>
      </c>
      <c r="P30" s="56" t="s">
        <v>27</v>
      </c>
      <c r="Q30" s="56" t="s">
        <v>590</v>
      </c>
      <c r="R30" s="37" t="s">
        <v>71</v>
      </c>
    </row>
    <row r="31" spans="1:18" s="53" customFormat="1" ht="24.95" customHeight="1" x14ac:dyDescent="0.25">
      <c r="A31" s="242">
        <v>4</v>
      </c>
      <c r="B31" s="30" t="s">
        <v>87</v>
      </c>
      <c r="C31" s="31">
        <v>2270.27</v>
      </c>
      <c r="D31" s="32">
        <v>233.64</v>
      </c>
      <c r="E31" s="32">
        <v>233.64</v>
      </c>
      <c r="F31" s="32">
        <v>11.28</v>
      </c>
      <c r="G31" s="31">
        <v>194.04</v>
      </c>
      <c r="H31" s="54">
        <f t="shared" si="5"/>
        <v>1.0482794042116077</v>
      </c>
      <c r="I31" s="31">
        <v>2188.77</v>
      </c>
      <c r="J31" s="32">
        <v>0.65</v>
      </c>
      <c r="K31" s="34">
        <f t="shared" si="6"/>
        <v>2.7820578668036298E-3</v>
      </c>
      <c r="L31" s="240">
        <f t="shared" si="7"/>
        <v>126.126</v>
      </c>
      <c r="M31" s="239">
        <f t="shared" si="8"/>
        <v>10.63</v>
      </c>
      <c r="N31" s="35">
        <f t="shared" si="9"/>
        <v>4.5497346344803978E-2</v>
      </c>
      <c r="O31" s="55" t="s">
        <v>133</v>
      </c>
      <c r="P31" s="56" t="s">
        <v>25</v>
      </c>
      <c r="Q31" s="56" t="s">
        <v>135</v>
      </c>
      <c r="R31" s="37" t="s">
        <v>88</v>
      </c>
    </row>
    <row r="32" spans="1:18" s="53" customFormat="1" ht="24.95" customHeight="1" x14ac:dyDescent="0.25">
      <c r="A32" s="241">
        <v>5</v>
      </c>
      <c r="B32" s="30" t="s">
        <v>62</v>
      </c>
      <c r="C32" s="31">
        <v>1939.33</v>
      </c>
      <c r="D32" s="32">
        <v>340.2</v>
      </c>
      <c r="E32" s="32">
        <v>340.2</v>
      </c>
      <c r="F32" s="32">
        <v>16.43</v>
      </c>
      <c r="G32" s="31">
        <v>111.2</v>
      </c>
      <c r="H32" s="54">
        <f t="shared" si="5"/>
        <v>1.0482951205173427</v>
      </c>
      <c r="I32" s="31">
        <v>1827.02</v>
      </c>
      <c r="J32" s="32">
        <v>2.12</v>
      </c>
      <c r="K32" s="34">
        <f t="shared" si="6"/>
        <v>6.231628453850677E-3</v>
      </c>
      <c r="L32" s="240">
        <f t="shared" si="7"/>
        <v>235.74400000000003</v>
      </c>
      <c r="M32" s="239">
        <f t="shared" si="8"/>
        <v>14.310000000000006</v>
      </c>
      <c r="N32" s="35">
        <f t="shared" si="9"/>
        <v>4.2063492063492081E-2</v>
      </c>
      <c r="O32" s="55" t="s">
        <v>133</v>
      </c>
      <c r="P32" s="56" t="s">
        <v>25</v>
      </c>
      <c r="Q32" s="56" t="s">
        <v>135</v>
      </c>
      <c r="R32" s="37" t="s">
        <v>63</v>
      </c>
    </row>
    <row r="33" spans="1:18" s="53" customFormat="1" ht="24.95" customHeight="1" x14ac:dyDescent="0.25">
      <c r="A33" s="242">
        <v>6</v>
      </c>
      <c r="B33" s="30" t="s">
        <v>179</v>
      </c>
      <c r="C33" s="31">
        <v>1903.84</v>
      </c>
      <c r="D33" s="32">
        <v>162.63999999999999</v>
      </c>
      <c r="E33" s="32">
        <v>162.63999999999999</v>
      </c>
      <c r="F33" s="32">
        <v>10.1</v>
      </c>
      <c r="G33" s="31">
        <v>166.42</v>
      </c>
      <c r="H33" s="54">
        <f t="shared" si="5"/>
        <v>1.0621003443187407</v>
      </c>
      <c r="I33" s="31">
        <v>1680.84</v>
      </c>
      <c r="J33" s="32">
        <v>0.76</v>
      </c>
      <c r="K33" s="34">
        <f t="shared" si="6"/>
        <v>4.6728971962616828E-3</v>
      </c>
      <c r="L33" s="240">
        <f t="shared" si="7"/>
        <v>126.47919999999999</v>
      </c>
      <c r="M33" s="239">
        <f t="shared" si="8"/>
        <v>9.3399999999999945</v>
      </c>
      <c r="N33" s="35">
        <f t="shared" si="9"/>
        <v>5.7427447122479068E-2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241">
        <v>7</v>
      </c>
      <c r="B34" s="30" t="s">
        <v>183</v>
      </c>
      <c r="C34" s="31">
        <v>1775.99</v>
      </c>
      <c r="D34" s="32">
        <v>98.42</v>
      </c>
      <c r="E34" s="32">
        <v>98.42</v>
      </c>
      <c r="F34" s="32">
        <v>4.08</v>
      </c>
      <c r="G34" s="31">
        <v>410.16</v>
      </c>
      <c r="H34" s="54">
        <f t="shared" si="5"/>
        <v>1.0414549888234099</v>
      </c>
      <c r="I34" s="31">
        <v>1673.45</v>
      </c>
      <c r="J34" s="32">
        <v>0.31</v>
      </c>
      <c r="K34" s="34">
        <f t="shared" si="6"/>
        <v>3.1497663076610442E-3</v>
      </c>
      <c r="L34" s="240">
        <f t="shared" si="7"/>
        <v>127.14960000000001</v>
      </c>
      <c r="M34" s="239">
        <f t="shared" si="8"/>
        <v>3.7699999999999982</v>
      </c>
      <c r="N34" s="35">
        <f t="shared" si="9"/>
        <v>3.8305222515748812E-2</v>
      </c>
      <c r="O34" s="55" t="s">
        <v>133</v>
      </c>
      <c r="P34" s="56" t="s">
        <v>27</v>
      </c>
      <c r="Q34" s="56" t="s">
        <v>134</v>
      </c>
      <c r="R34" s="37" t="s">
        <v>59</v>
      </c>
    </row>
    <row r="35" spans="1:18" s="53" customFormat="1" ht="24.95" customHeight="1" x14ac:dyDescent="0.25">
      <c r="A35" s="242">
        <v>8</v>
      </c>
      <c r="B35" s="30" t="s">
        <v>92</v>
      </c>
      <c r="C35" s="31">
        <v>1646.3100000000002</v>
      </c>
      <c r="D35" s="32">
        <v>113.81</v>
      </c>
      <c r="E35" s="32">
        <v>113.81</v>
      </c>
      <c r="F35" s="32">
        <v>7.85</v>
      </c>
      <c r="G35" s="31">
        <v>203.5</v>
      </c>
      <c r="H35" s="54">
        <f t="shared" si="5"/>
        <v>1.0689746068008084</v>
      </c>
      <c r="I35" s="31">
        <v>1597.48</v>
      </c>
      <c r="J35" s="32">
        <v>0.62</v>
      </c>
      <c r="K35" s="34">
        <f t="shared" si="6"/>
        <v>5.4476759511466475E-3</v>
      </c>
      <c r="L35" s="240">
        <f t="shared" si="7"/>
        <v>126.17</v>
      </c>
      <c r="M35" s="239">
        <f t="shared" si="8"/>
        <v>7.2299999999999942</v>
      </c>
      <c r="N35" s="35">
        <f t="shared" si="9"/>
        <v>6.352693084966167E-2</v>
      </c>
      <c r="O35" s="55" t="s">
        <v>133</v>
      </c>
      <c r="P35" s="56" t="s">
        <v>25</v>
      </c>
      <c r="Q35" s="56" t="s">
        <v>136</v>
      </c>
      <c r="R35" s="37" t="s">
        <v>59</v>
      </c>
    </row>
    <row r="36" spans="1:18" s="53" customFormat="1" ht="24.95" customHeight="1" x14ac:dyDescent="0.25">
      <c r="A36" s="241">
        <v>9</v>
      </c>
      <c r="B36" s="30" t="s">
        <v>218</v>
      </c>
      <c r="C36" s="31">
        <v>1645.0100000000002</v>
      </c>
      <c r="D36" s="32">
        <v>200.2</v>
      </c>
      <c r="E36" s="32">
        <v>200.2</v>
      </c>
      <c r="F36" s="32">
        <v>9.67</v>
      </c>
      <c r="G36" s="31">
        <v>147.80000000000001</v>
      </c>
      <c r="H36" s="54">
        <f t="shared" si="5"/>
        <v>1.0483016983016982</v>
      </c>
      <c r="I36" s="31">
        <v>1429.23</v>
      </c>
      <c r="J36" s="32">
        <v>0.86</v>
      </c>
      <c r="K36" s="34">
        <f t="shared" si="6"/>
        <v>4.2957042957042961E-3</v>
      </c>
      <c r="L36" s="240">
        <f t="shared" si="7"/>
        <v>127.108</v>
      </c>
      <c r="M36" s="239">
        <f t="shared" si="8"/>
        <v>8.8099999999999881</v>
      </c>
      <c r="N36" s="35">
        <f t="shared" si="9"/>
        <v>4.4005994005993948E-2</v>
      </c>
      <c r="O36" s="55" t="s">
        <v>133</v>
      </c>
      <c r="P36" s="56" t="s">
        <v>25</v>
      </c>
      <c r="Q36" s="56" t="s">
        <v>135</v>
      </c>
      <c r="R36" s="37" t="s">
        <v>219</v>
      </c>
    </row>
    <row r="37" spans="1:18" s="53" customFormat="1" ht="24.95" customHeight="1" thickBot="1" x14ac:dyDescent="0.3">
      <c r="A37" s="238">
        <v>10</v>
      </c>
      <c r="B37" s="40" t="s">
        <v>304</v>
      </c>
      <c r="C37" s="41">
        <v>1601.1399999999999</v>
      </c>
      <c r="D37" s="42">
        <v>80.48</v>
      </c>
      <c r="E37" s="42">
        <v>80.48</v>
      </c>
      <c r="F37" s="42">
        <v>4.4400000000000004</v>
      </c>
      <c r="G37" s="41">
        <v>318.32</v>
      </c>
      <c r="H37" s="58">
        <f t="shared" si="5"/>
        <v>1.055168986083499</v>
      </c>
      <c r="I37" s="41">
        <v>1413.34</v>
      </c>
      <c r="J37" s="42">
        <v>0.4</v>
      </c>
      <c r="K37" s="44">
        <f t="shared" si="6"/>
        <v>4.970178926441352E-3</v>
      </c>
      <c r="L37" s="237">
        <f t="shared" si="7"/>
        <v>127.328</v>
      </c>
      <c r="M37" s="236">
        <f t="shared" si="8"/>
        <v>4.0399999999999974</v>
      </c>
      <c r="N37" s="45">
        <f t="shared" si="9"/>
        <v>5.0198807157057622E-2</v>
      </c>
      <c r="O37" s="59" t="s">
        <v>133</v>
      </c>
      <c r="P37" s="60" t="s">
        <v>27</v>
      </c>
      <c r="Q37" s="60" t="s">
        <v>138</v>
      </c>
      <c r="R37" s="61" t="s">
        <v>77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454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453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117" t="s">
        <v>452</v>
      </c>
      <c r="B41" s="623" t="s">
        <v>451</v>
      </c>
      <c r="C41" s="623"/>
      <c r="D41" s="624"/>
      <c r="E41" s="62"/>
      <c r="G41" s="64"/>
      <c r="H41" s="65"/>
    </row>
    <row r="42" spans="1:18" ht="20.45" customHeight="1" x14ac:dyDescent="0.35">
      <c r="A42" s="1117"/>
      <c r="B42" s="1118" t="s">
        <v>450</v>
      </c>
      <c r="C42" s="1119" t="s">
        <v>449</v>
      </c>
      <c r="D42" s="1113" t="s">
        <v>448</v>
      </c>
      <c r="E42" s="62"/>
      <c r="G42" s="64"/>
      <c r="H42" s="65"/>
    </row>
    <row r="43" spans="1:18" ht="20.45" customHeight="1" x14ac:dyDescent="0.35">
      <c r="A43" s="1117"/>
      <c r="B43" s="1118"/>
      <c r="C43" s="1119"/>
      <c r="D43" s="1113"/>
      <c r="E43" s="62"/>
      <c r="G43" s="64"/>
      <c r="H43" s="65"/>
    </row>
    <row r="44" spans="1:18" s="68" customFormat="1" ht="24.95" customHeight="1" x14ac:dyDescent="0.35">
      <c r="A44" s="235">
        <v>1</v>
      </c>
      <c r="B44" s="30" t="s">
        <v>61</v>
      </c>
      <c r="C44" s="31">
        <v>1521.1</v>
      </c>
      <c r="D44" s="66">
        <f t="shared" ref="D44:D53" si="10">C44/$L$5</f>
        <v>0.24708424027809367</v>
      </c>
      <c r="E44" s="67"/>
      <c r="G44" s="64"/>
      <c r="H44" s="65"/>
    </row>
    <row r="45" spans="1:18" s="68" customFormat="1" ht="24.95" customHeight="1" x14ac:dyDescent="0.35">
      <c r="A45" s="234">
        <v>2</v>
      </c>
      <c r="B45" s="30" t="s">
        <v>58</v>
      </c>
      <c r="C45" s="31">
        <v>1043.42</v>
      </c>
      <c r="D45" s="66">
        <f t="shared" si="10"/>
        <v>0.16949091972320593</v>
      </c>
      <c r="E45" s="67"/>
      <c r="G45" s="64"/>
      <c r="H45" s="65"/>
    </row>
    <row r="46" spans="1:18" s="68" customFormat="1" ht="24.95" customHeight="1" x14ac:dyDescent="0.35">
      <c r="A46" s="234">
        <v>3</v>
      </c>
      <c r="B46" s="30" t="s">
        <v>69</v>
      </c>
      <c r="C46" s="31">
        <v>669.34</v>
      </c>
      <c r="D46" s="66">
        <f t="shared" si="10"/>
        <v>0.1087261622429421</v>
      </c>
      <c r="E46" s="67"/>
      <c r="G46" s="64"/>
      <c r="H46" s="65"/>
    </row>
    <row r="47" spans="1:18" s="68" customFormat="1" ht="24.95" customHeight="1" x14ac:dyDescent="0.35">
      <c r="A47" s="235">
        <v>4</v>
      </c>
      <c r="B47" s="30" t="s">
        <v>166</v>
      </c>
      <c r="C47" s="31">
        <v>297.97000000000003</v>
      </c>
      <c r="D47" s="66">
        <f t="shared" si="10"/>
        <v>4.8401611383645765E-2</v>
      </c>
      <c r="E47" s="67"/>
      <c r="G47" s="64"/>
      <c r="H47" s="65"/>
    </row>
    <row r="48" spans="1:18" s="68" customFormat="1" ht="24.95" customHeight="1" x14ac:dyDescent="0.35">
      <c r="A48" s="234">
        <v>5</v>
      </c>
      <c r="B48" s="30" t="s">
        <v>60</v>
      </c>
      <c r="C48" s="31">
        <v>248.79</v>
      </c>
      <c r="D48" s="66">
        <f t="shared" si="10"/>
        <v>4.0412917059224854E-2</v>
      </c>
      <c r="E48" s="67"/>
      <c r="G48" s="64"/>
      <c r="H48" s="65"/>
    </row>
    <row r="49" spans="1:5" s="68" customFormat="1" ht="24.95" customHeight="1" x14ac:dyDescent="0.25">
      <c r="A49" s="235">
        <v>6</v>
      </c>
      <c r="B49" s="30" t="s">
        <v>254</v>
      </c>
      <c r="C49" s="31">
        <v>212.49</v>
      </c>
      <c r="D49" s="66">
        <f t="shared" si="10"/>
        <v>3.451642246840584E-2</v>
      </c>
      <c r="E49" s="67"/>
    </row>
    <row r="50" spans="1:5" s="68" customFormat="1" ht="24.95" customHeight="1" x14ac:dyDescent="0.25">
      <c r="A50" s="234">
        <v>7</v>
      </c>
      <c r="B50" s="30" t="s">
        <v>443</v>
      </c>
      <c r="C50" s="31">
        <v>130.34</v>
      </c>
      <c r="D50" s="66">
        <f t="shared" si="10"/>
        <v>2.1172151651993116E-2</v>
      </c>
      <c r="E50" s="67"/>
    </row>
    <row r="51" spans="1:5" s="68" customFormat="1" ht="24.95" customHeight="1" x14ac:dyDescent="0.25">
      <c r="A51" s="235">
        <v>8</v>
      </c>
      <c r="B51" s="30" t="s">
        <v>340</v>
      </c>
      <c r="C51" s="31">
        <v>127.9</v>
      </c>
      <c r="D51" s="66">
        <f t="shared" si="10"/>
        <v>2.0775803255254868E-2</v>
      </c>
      <c r="E51" s="67"/>
    </row>
    <row r="52" spans="1:5" s="68" customFormat="1" ht="24.95" customHeight="1" x14ac:dyDescent="0.25">
      <c r="A52" s="234">
        <v>9</v>
      </c>
      <c r="B52" s="30" t="s">
        <v>91</v>
      </c>
      <c r="C52" s="31">
        <v>127.73</v>
      </c>
      <c r="D52" s="66">
        <f t="shared" si="10"/>
        <v>2.0748188817777204E-2</v>
      </c>
      <c r="E52" s="67"/>
    </row>
    <row r="53" spans="1:5" s="68" customFormat="1" ht="24.95" customHeight="1" thickBot="1" x14ac:dyDescent="0.3">
      <c r="A53" s="233">
        <v>10</v>
      </c>
      <c r="B53" s="40" t="s">
        <v>226</v>
      </c>
      <c r="C53" s="41">
        <v>127.66</v>
      </c>
      <c r="D53" s="69">
        <f t="shared" si="10"/>
        <v>2.0736818167051106E-2</v>
      </c>
      <c r="E53" s="67"/>
    </row>
    <row r="54" spans="1:5" x14ac:dyDescent="0.25">
      <c r="A54" s="614" t="s">
        <v>447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446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A3:B4"/>
    <mergeCell ref="C3:C4"/>
    <mergeCell ref="D3:E3"/>
    <mergeCell ref="F3:G3"/>
    <mergeCell ref="H3:I3"/>
    <mergeCell ref="P8:P11"/>
    <mergeCell ref="P24:P27"/>
    <mergeCell ref="J3:K3"/>
    <mergeCell ref="L3:M3"/>
    <mergeCell ref="A5:C5"/>
    <mergeCell ref="A7:R7"/>
    <mergeCell ref="A8:C8"/>
    <mergeCell ref="D8:N8"/>
    <mergeCell ref="O8:O11"/>
    <mergeCell ref="Q8:Q11"/>
    <mergeCell ref="R8:R11"/>
    <mergeCell ref="A9:A11"/>
    <mergeCell ref="B9:C9"/>
    <mergeCell ref="D9:I9"/>
    <mergeCell ref="J9:N9"/>
    <mergeCell ref="B10:B11"/>
    <mergeCell ref="J10:K10"/>
    <mergeCell ref="L10:N10"/>
    <mergeCell ref="J25:N25"/>
    <mergeCell ref="B26:B27"/>
    <mergeCell ref="C26:C27"/>
    <mergeCell ref="D26:I26"/>
    <mergeCell ref="J26:L26"/>
    <mergeCell ref="M26:N26"/>
    <mergeCell ref="C10:C11"/>
    <mergeCell ref="D10:I10"/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R23"/>
    <mergeCell ref="A24:C24"/>
    <mergeCell ref="D24:N24"/>
    <mergeCell ref="O24:O27"/>
    <mergeCell ref="Q24:Q27"/>
    <mergeCell ref="R24:R27"/>
    <mergeCell ref="A25:A27"/>
    <mergeCell ref="B25:C25"/>
    <mergeCell ref="D25:I25"/>
  </mergeCells>
  <phoneticPr fontId="223" type="noConversion"/>
  <conditionalFormatting sqref="A12:A22">
    <cfRule type="containsText" dxfId="379" priority="33" operator="containsText" text="024">
      <formula>NOT(ISERROR(SEARCH("024",A12)))</formula>
    </cfRule>
    <cfRule type="containsText" dxfId="378" priority="34" operator="containsText" text="白醬">
      <formula>NOT(ISERROR(SEARCH("白醬",A12)))</formula>
    </cfRule>
    <cfRule type="containsText" dxfId="377" priority="35" operator="containsText" text="青蔥">
      <formula>NOT(ISERROR(SEARCH("青蔥",A12)))</formula>
    </cfRule>
    <cfRule type="containsText" dxfId="376" priority="36" operator="containsText" text=")川燙小青花菜">
      <formula>NOT(ISERROR(SEARCH(")川燙小青花菜",A12)))</formula>
    </cfRule>
    <cfRule type="containsText" dxfId="375" priority="37" operator="containsText" text="湯凍">
      <formula>NOT(ISERROR(SEARCH("湯凍",A12)))</formula>
    </cfRule>
    <cfRule type="containsText" dxfId="374" priority="38" operator="containsText" text="中華">
      <formula>NOT(ISERROR(SEARCH("中華",A12)))</formula>
    </cfRule>
  </conditionalFormatting>
  <conditionalFormatting sqref="A12:A22">
    <cfRule type="containsText" dxfId="373" priority="31" operator="containsText" text="綠豆芽">
      <formula>NOT(ISERROR(SEARCH("綠豆芽",A12)))</formula>
    </cfRule>
    <cfRule type="containsText" dxfId="372" priority="32" operator="containsText" text="煮白細麵生(方#12)">
      <formula>NOT(ISERROR(SEARCH("煮白細麵生(方#12)",A12)))</formula>
    </cfRule>
  </conditionalFormatting>
  <conditionalFormatting sqref="E5">
    <cfRule type="cellIs" dxfId="371" priority="16" operator="greaterThan">
      <formula>0.0025</formula>
    </cfRule>
    <cfRule type="cellIs" dxfId="370" priority="19" operator="greaterThan">
      <formula>0.0025</formula>
    </cfRule>
    <cfRule type="cellIs" dxfId="369" priority="29" operator="greaterThan">
      <formula>0.072</formula>
    </cfRule>
    <cfRule type="cellIs" dxfId="368" priority="30" operator="greaterThan">
      <formula>7.2</formula>
    </cfRule>
  </conditionalFormatting>
  <conditionalFormatting sqref="E5">
    <cfRule type="cellIs" dxfId="367" priority="28" operator="greaterThan">
      <formula>0.0025</formula>
    </cfRule>
  </conditionalFormatting>
  <conditionalFormatting sqref="A44:A53">
    <cfRule type="containsText" dxfId="366" priority="22" operator="containsText" text="024">
      <formula>NOT(ISERROR(SEARCH("024",A44)))</formula>
    </cfRule>
    <cfRule type="containsText" dxfId="365" priority="23" operator="containsText" text="白醬">
      <formula>NOT(ISERROR(SEARCH("白醬",A44)))</formula>
    </cfRule>
    <cfRule type="containsText" dxfId="364" priority="24" operator="containsText" text="青蔥">
      <formula>NOT(ISERROR(SEARCH("青蔥",A44)))</formula>
    </cfRule>
    <cfRule type="containsText" dxfId="363" priority="25" operator="containsText" text=")川燙小青花菜">
      <formula>NOT(ISERROR(SEARCH(")川燙小青花菜",A44)))</formula>
    </cfRule>
    <cfRule type="containsText" dxfId="362" priority="26" operator="containsText" text="湯凍">
      <formula>NOT(ISERROR(SEARCH("湯凍",A44)))</formula>
    </cfRule>
    <cfRule type="containsText" dxfId="361" priority="27" operator="containsText" text="中華">
      <formula>NOT(ISERROR(SEARCH("中華",A44)))</formula>
    </cfRule>
  </conditionalFormatting>
  <conditionalFormatting sqref="A44:A53">
    <cfRule type="containsText" dxfId="360" priority="20" operator="containsText" text="綠豆芽">
      <formula>NOT(ISERROR(SEARCH("綠豆芽",A44)))</formula>
    </cfRule>
    <cfRule type="containsText" dxfId="359" priority="21" operator="containsText" text="煮白細麵生(方#12)">
      <formula>NOT(ISERROR(SEARCH("煮白細麵生(方#12)",A44)))</formula>
    </cfRule>
  </conditionalFormatting>
  <conditionalFormatting sqref="D44:D53">
    <cfRule type="cellIs" dxfId="358" priority="18" operator="greaterThan">
      <formula>0.146</formula>
    </cfRule>
  </conditionalFormatting>
  <conditionalFormatting sqref="H12:H22">
    <cfRule type="cellIs" dxfId="357" priority="17" operator="greaterThan">
      <formula>1.1</formula>
    </cfRule>
  </conditionalFormatting>
  <conditionalFormatting sqref="I5">
    <cfRule type="cellIs" dxfId="356" priority="15" operator="greaterThan">
      <formula>0.2</formula>
    </cfRule>
  </conditionalFormatting>
  <conditionalFormatting sqref="A28:A37">
    <cfRule type="containsText" dxfId="355" priority="9" operator="containsText" text="024">
      <formula>NOT(ISERROR(SEARCH("024",A28)))</formula>
    </cfRule>
    <cfRule type="containsText" dxfId="354" priority="10" operator="containsText" text="白醬">
      <formula>NOT(ISERROR(SEARCH("白醬",A28)))</formula>
    </cfRule>
    <cfRule type="containsText" dxfId="353" priority="11" operator="containsText" text="青蔥">
      <formula>NOT(ISERROR(SEARCH("青蔥",A28)))</formula>
    </cfRule>
    <cfRule type="containsText" dxfId="352" priority="12" operator="containsText" text=")川燙小青花菜">
      <formula>NOT(ISERROR(SEARCH(")川燙小青花菜",A28)))</formula>
    </cfRule>
    <cfRule type="containsText" dxfId="351" priority="13" operator="containsText" text="湯凍">
      <formula>NOT(ISERROR(SEARCH("湯凍",A28)))</formula>
    </cfRule>
    <cfRule type="containsText" dxfId="350" priority="14" operator="containsText" text="中華">
      <formula>NOT(ISERROR(SEARCH("中華",A28)))</formula>
    </cfRule>
  </conditionalFormatting>
  <conditionalFormatting sqref="A28:A37">
    <cfRule type="containsText" dxfId="349" priority="7" operator="containsText" text="綠豆芽">
      <formula>NOT(ISERROR(SEARCH("綠豆芽",A28)))</formula>
    </cfRule>
    <cfRule type="containsText" dxfId="348" priority="8" operator="containsText" text="煮白細麵生(方#12)">
      <formula>NOT(ISERROR(SEARCH("煮白細麵生(方#12)",A28)))</formula>
    </cfRule>
  </conditionalFormatting>
  <conditionalFormatting sqref="H28:H37">
    <cfRule type="cellIs" dxfId="347" priority="6" operator="greaterThan">
      <formula>1.1</formula>
    </cfRule>
  </conditionalFormatting>
  <conditionalFormatting sqref="G5">
    <cfRule type="cellIs" dxfId="346" priority="1" operator="greaterThan">
      <formula>0.0025</formula>
    </cfRule>
    <cfRule type="cellIs" dxfId="345" priority="2" operator="greaterThan">
      <formula>0.0025</formula>
    </cfRule>
    <cfRule type="cellIs" dxfId="344" priority="4" operator="greaterThan">
      <formula>0.072</formula>
    </cfRule>
    <cfRule type="cellIs" dxfId="343" priority="5" operator="greaterThan">
      <formula>7.2</formula>
    </cfRule>
  </conditionalFormatting>
  <conditionalFormatting sqref="G5">
    <cfRule type="cellIs" dxfId="34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7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159" t="s">
        <v>31</v>
      </c>
      <c r="B2" s="1160"/>
      <c r="C2" s="215" t="s">
        <v>32</v>
      </c>
      <c r="D2" s="1161" t="s">
        <v>33</v>
      </c>
      <c r="E2" s="1161"/>
      <c r="F2" s="1161" t="s">
        <v>34</v>
      </c>
      <c r="G2" s="1161"/>
      <c r="H2" s="1161" t="s">
        <v>33</v>
      </c>
      <c r="I2" s="1161"/>
      <c r="J2" s="1161" t="s">
        <v>34</v>
      </c>
      <c r="K2" s="1161"/>
      <c r="L2" s="1161" t="s">
        <v>33</v>
      </c>
      <c r="M2" s="1162"/>
      <c r="R2" s="17"/>
    </row>
    <row r="3" spans="1:18" s="18" customFormat="1" ht="28.5" x14ac:dyDescent="0.45">
      <c r="A3" s="1156">
        <v>45909</v>
      </c>
      <c r="B3" s="1157"/>
      <c r="C3" s="1158">
        <v>5945144.4500000002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156"/>
      <c r="B4" s="1157"/>
      <c r="C4" s="115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154" t="s">
        <v>44</v>
      </c>
      <c r="B5" s="1155"/>
      <c r="C5" s="1155"/>
      <c r="D5" s="216">
        <v>14548.479999999996</v>
      </c>
      <c r="E5" s="22">
        <f>D5/C3</f>
        <v>2.447119682684917E-3</v>
      </c>
      <c r="F5" s="216">
        <v>46684.900000000045</v>
      </c>
      <c r="G5" s="23">
        <f>F5/C3</f>
        <v>7.8526098722462561E-3</v>
      </c>
      <c r="H5" s="24">
        <f>SUM(C12:C21)</f>
        <v>4516.7199999999993</v>
      </c>
      <c r="I5" s="25">
        <f>H5/D5</f>
        <v>0.31045992433573821</v>
      </c>
      <c r="J5" s="24">
        <f>SUM(C28:C37)</f>
        <v>18353.61</v>
      </c>
      <c r="K5" s="26">
        <f>J5/F5</f>
        <v>0.39313803820935639</v>
      </c>
      <c r="L5" s="27">
        <v>5807.0999999999995</v>
      </c>
      <c r="M5" s="28">
        <f>L5/D5</f>
        <v>0.39915510073904636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404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405</v>
      </c>
      <c r="B8" s="620"/>
      <c r="C8" s="620"/>
      <c r="D8" s="620" t="s">
        <v>406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111</v>
      </c>
      <c r="P8" s="630" t="s">
        <v>407</v>
      </c>
      <c r="Q8" s="629" t="s">
        <v>96</v>
      </c>
      <c r="R8" s="1141" t="s">
        <v>48</v>
      </c>
    </row>
    <row r="9" spans="1:18" ht="20.45" customHeight="1" x14ac:dyDescent="0.25">
      <c r="A9" s="1142" t="s">
        <v>97</v>
      </c>
      <c r="B9" s="634" t="s">
        <v>408</v>
      </c>
      <c r="C9" s="635"/>
      <c r="D9" s="636" t="s">
        <v>409</v>
      </c>
      <c r="E9" s="636"/>
      <c r="F9" s="636"/>
      <c r="G9" s="636"/>
      <c r="H9" s="636"/>
      <c r="I9" s="636"/>
      <c r="J9" s="637" t="s">
        <v>99</v>
      </c>
      <c r="K9" s="637"/>
      <c r="L9" s="637"/>
      <c r="M9" s="638"/>
      <c r="N9" s="638"/>
      <c r="O9" s="629"/>
      <c r="P9" s="629"/>
      <c r="Q9" s="629"/>
      <c r="R9" s="1141"/>
    </row>
    <row r="10" spans="1:18" ht="20.45" customHeight="1" x14ac:dyDescent="0.3">
      <c r="A10" s="1143"/>
      <c r="B10" s="1145" t="s">
        <v>100</v>
      </c>
      <c r="C10" s="1147" t="s">
        <v>154</v>
      </c>
      <c r="D10" s="1149" t="s">
        <v>410</v>
      </c>
      <c r="E10" s="1149"/>
      <c r="F10" s="1149"/>
      <c r="G10" s="1149"/>
      <c r="H10" s="1149"/>
      <c r="I10" s="1149"/>
      <c r="J10" s="1150" t="s">
        <v>411</v>
      </c>
      <c r="K10" s="1152"/>
      <c r="L10" s="1153" t="s">
        <v>102</v>
      </c>
      <c r="M10" s="1150"/>
      <c r="N10" s="1150"/>
      <c r="O10" s="629"/>
      <c r="P10" s="629"/>
      <c r="Q10" s="629"/>
      <c r="R10" s="1141"/>
    </row>
    <row r="11" spans="1:18" s="29" customFormat="1" ht="47.25" customHeight="1" x14ac:dyDescent="0.25">
      <c r="A11" s="1144"/>
      <c r="B11" s="1146"/>
      <c r="C11" s="1148"/>
      <c r="D11" s="217" t="s">
        <v>52</v>
      </c>
      <c r="E11" s="217" t="s">
        <v>158</v>
      </c>
      <c r="F11" s="217" t="s">
        <v>53</v>
      </c>
      <c r="G11" s="217" t="s">
        <v>412</v>
      </c>
      <c r="H11" s="217" t="s">
        <v>55</v>
      </c>
      <c r="I11" s="217" t="s">
        <v>413</v>
      </c>
      <c r="J11" s="218" t="s">
        <v>414</v>
      </c>
      <c r="K11" s="218" t="s">
        <v>415</v>
      </c>
      <c r="L11" s="218" t="s">
        <v>416</v>
      </c>
      <c r="M11" s="218" t="s">
        <v>417</v>
      </c>
      <c r="N11" s="219" t="s">
        <v>418</v>
      </c>
      <c r="O11" s="629"/>
      <c r="P11" s="629"/>
      <c r="Q11" s="629"/>
      <c r="R11" s="1141"/>
    </row>
    <row r="12" spans="1:18" s="38" customFormat="1" ht="24.95" customHeight="1" x14ac:dyDescent="0.25">
      <c r="A12" s="220">
        <v>1</v>
      </c>
      <c r="B12" s="30" t="s">
        <v>58</v>
      </c>
      <c r="C12" s="31">
        <v>1843.07</v>
      </c>
      <c r="D12" s="32">
        <v>14531</v>
      </c>
      <c r="E12" s="32">
        <v>14531</v>
      </c>
      <c r="F12" s="32">
        <v>317.77</v>
      </c>
      <c r="G12" s="31">
        <v>5.8</v>
      </c>
      <c r="H12" s="33">
        <f t="shared" ref="H12:H21" si="0">(E12+F12)/D12</f>
        <v>1.0218684192416214</v>
      </c>
      <c r="I12" s="31">
        <v>1843.07</v>
      </c>
      <c r="J12" s="32">
        <v>317.77</v>
      </c>
      <c r="K12" s="34">
        <f t="shared" ref="K12:K21" si="1">J12/D12</f>
        <v>2.1868419241621358E-2</v>
      </c>
      <c r="L12" s="221">
        <f t="shared" ref="L12:L21" si="2">((E12+F12)-D12)-J12</f>
        <v>4.5474735088646412E-13</v>
      </c>
      <c r="M12" s="35">
        <f t="shared" ref="M12:M21" si="3">L12/D12</f>
        <v>3.1294979759580491E-17</v>
      </c>
      <c r="N12" s="222">
        <f t="shared" ref="N12:N21" si="4">L12*G12</f>
        <v>2.6375346351414918E-12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223">
        <v>2</v>
      </c>
      <c r="B13" s="30" t="s">
        <v>61</v>
      </c>
      <c r="C13" s="31">
        <v>789.8</v>
      </c>
      <c r="D13" s="32">
        <v>6846</v>
      </c>
      <c r="E13" s="32">
        <v>6846</v>
      </c>
      <c r="F13" s="32">
        <v>120.03</v>
      </c>
      <c r="G13" s="31">
        <v>6.58</v>
      </c>
      <c r="H13" s="33">
        <f t="shared" si="0"/>
        <v>1.017532865907099</v>
      </c>
      <c r="I13" s="31">
        <v>789.8</v>
      </c>
      <c r="J13" s="32">
        <v>120.03</v>
      </c>
      <c r="K13" s="34">
        <f t="shared" si="1"/>
        <v>1.7532865907099036E-2</v>
      </c>
      <c r="L13" s="221">
        <f t="shared" si="2"/>
        <v>-2.5579538487363607E-13</v>
      </c>
      <c r="M13" s="35">
        <f t="shared" si="3"/>
        <v>-3.7364210469418065E-17</v>
      </c>
      <c r="N13" s="222">
        <f t="shared" si="4"/>
        <v>-1.6831336324685253E-12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223">
        <v>3</v>
      </c>
      <c r="B14" s="30" t="s">
        <v>87</v>
      </c>
      <c r="C14" s="31">
        <v>582.12</v>
      </c>
      <c r="D14" s="32">
        <v>234.33</v>
      </c>
      <c r="E14" s="32">
        <v>234.33</v>
      </c>
      <c r="F14" s="32">
        <v>10.17</v>
      </c>
      <c r="G14" s="31">
        <v>194.04</v>
      </c>
      <c r="H14" s="33">
        <f t="shared" si="0"/>
        <v>1.0434003328639099</v>
      </c>
      <c r="I14" s="31">
        <v>1973.39</v>
      </c>
      <c r="J14" s="32">
        <v>3</v>
      </c>
      <c r="K14" s="34">
        <f t="shared" si="1"/>
        <v>1.2802458071949813E-2</v>
      </c>
      <c r="L14" s="221">
        <f t="shared" si="2"/>
        <v>7.1699999999999875</v>
      </c>
      <c r="M14" s="35">
        <f t="shared" si="3"/>
        <v>3.0597874791960002E-2</v>
      </c>
      <c r="N14" s="222">
        <f t="shared" si="4"/>
        <v>1391.2667999999976</v>
      </c>
      <c r="O14" s="36" t="s">
        <v>139</v>
      </c>
      <c r="P14" s="36" t="s">
        <v>25</v>
      </c>
      <c r="Q14" s="36" t="s">
        <v>144</v>
      </c>
      <c r="R14" s="37" t="s">
        <v>88</v>
      </c>
    </row>
    <row r="15" spans="1:18" s="38" customFormat="1" ht="24.95" customHeight="1" x14ac:dyDescent="0.25">
      <c r="A15" s="220">
        <v>4</v>
      </c>
      <c r="B15" s="30" t="s">
        <v>60</v>
      </c>
      <c r="C15" s="31">
        <v>225</v>
      </c>
      <c r="D15" s="32">
        <v>239.61</v>
      </c>
      <c r="E15" s="32">
        <v>239.61</v>
      </c>
      <c r="F15" s="32">
        <v>10.4</v>
      </c>
      <c r="G15" s="31">
        <v>99.12</v>
      </c>
      <c r="H15" s="33">
        <f t="shared" si="0"/>
        <v>1.0434038646133301</v>
      </c>
      <c r="I15" s="31">
        <v>1030.8499999999999</v>
      </c>
      <c r="J15" s="32">
        <v>2.27</v>
      </c>
      <c r="K15" s="34">
        <f t="shared" si="1"/>
        <v>9.4737281415633728E-3</v>
      </c>
      <c r="L15" s="221">
        <f t="shared" si="2"/>
        <v>8.1300000000000061</v>
      </c>
      <c r="M15" s="35">
        <f t="shared" si="3"/>
        <v>3.3930136471766646E-2</v>
      </c>
      <c r="N15" s="222">
        <f t="shared" si="4"/>
        <v>805.84560000000067</v>
      </c>
      <c r="O15" s="36" t="s">
        <v>139</v>
      </c>
      <c r="P15" s="36" t="s">
        <v>25</v>
      </c>
      <c r="Q15" s="36" t="s">
        <v>141</v>
      </c>
      <c r="R15" s="37" t="s">
        <v>59</v>
      </c>
    </row>
    <row r="16" spans="1:18" s="39" customFormat="1" ht="24.95" customHeight="1" x14ac:dyDescent="0.25">
      <c r="A16" s="223">
        <v>5</v>
      </c>
      <c r="B16" s="30" t="s">
        <v>69</v>
      </c>
      <c r="C16" s="31">
        <v>221.83</v>
      </c>
      <c r="D16" s="32">
        <v>9085</v>
      </c>
      <c r="E16" s="32">
        <v>9085</v>
      </c>
      <c r="F16" s="32">
        <v>31.69</v>
      </c>
      <c r="G16" s="31">
        <v>7</v>
      </c>
      <c r="H16" s="33">
        <f t="shared" si="0"/>
        <v>1.0034881673087508</v>
      </c>
      <c r="I16" s="31">
        <v>221.83</v>
      </c>
      <c r="J16" s="32">
        <v>31.69</v>
      </c>
      <c r="K16" s="34">
        <f t="shared" si="1"/>
        <v>3.4881673087506881E-3</v>
      </c>
      <c r="L16" s="221">
        <f t="shared" si="2"/>
        <v>5.0803805606847163E-13</v>
      </c>
      <c r="M16" s="35">
        <f t="shared" si="3"/>
        <v>5.5920534514966611E-17</v>
      </c>
      <c r="N16" s="222">
        <f t="shared" si="4"/>
        <v>3.5562663924793014E-12</v>
      </c>
      <c r="O16" s="36" t="s">
        <v>142</v>
      </c>
      <c r="P16" s="36" t="s">
        <v>26</v>
      </c>
      <c r="Q16" s="36" t="s">
        <v>143</v>
      </c>
      <c r="R16" s="37" t="s">
        <v>59</v>
      </c>
    </row>
    <row r="17" spans="1:18" s="38" customFormat="1" ht="24.95" customHeight="1" x14ac:dyDescent="0.25">
      <c r="A17" s="220">
        <v>6</v>
      </c>
      <c r="B17" s="30" t="s">
        <v>254</v>
      </c>
      <c r="C17" s="31">
        <v>204.79</v>
      </c>
      <c r="D17" s="32">
        <v>106.45</v>
      </c>
      <c r="E17" s="32">
        <v>106.45</v>
      </c>
      <c r="F17" s="32">
        <v>4.62</v>
      </c>
      <c r="G17" s="31">
        <v>110.1</v>
      </c>
      <c r="H17" s="33">
        <f t="shared" si="0"/>
        <v>1.0434006575857211</v>
      </c>
      <c r="I17" s="31">
        <v>508.66</v>
      </c>
      <c r="J17" s="32">
        <v>1.86</v>
      </c>
      <c r="K17" s="34">
        <f t="shared" si="1"/>
        <v>1.7472992015030532E-2</v>
      </c>
      <c r="L17" s="221">
        <f t="shared" si="2"/>
        <v>2.7600000000000042</v>
      </c>
      <c r="M17" s="35">
        <f t="shared" si="3"/>
        <v>2.5927665570690504E-2</v>
      </c>
      <c r="N17" s="222">
        <f t="shared" si="4"/>
        <v>303.87600000000043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223">
        <v>7</v>
      </c>
      <c r="B18" s="30" t="s">
        <v>68</v>
      </c>
      <c r="C18" s="31">
        <v>194.36</v>
      </c>
      <c r="D18" s="32">
        <v>380.23</v>
      </c>
      <c r="E18" s="32">
        <v>380.23</v>
      </c>
      <c r="F18" s="32">
        <v>21.22</v>
      </c>
      <c r="G18" s="31">
        <v>156.74</v>
      </c>
      <c r="H18" s="33">
        <f t="shared" si="0"/>
        <v>1.0558083265392</v>
      </c>
      <c r="I18" s="31">
        <v>3326.02</v>
      </c>
      <c r="J18" s="32">
        <v>1.24</v>
      </c>
      <c r="K18" s="34">
        <f t="shared" si="1"/>
        <v>3.2611840201983008E-3</v>
      </c>
      <c r="L18" s="221">
        <f t="shared" si="2"/>
        <v>19.980000000000029</v>
      </c>
      <c r="M18" s="35">
        <f t="shared" si="3"/>
        <v>5.2547142519001729E-2</v>
      </c>
      <c r="N18" s="222">
        <f t="shared" si="4"/>
        <v>3131.6652000000049</v>
      </c>
      <c r="O18" s="36" t="s">
        <v>142</v>
      </c>
      <c r="P18" s="36" t="s">
        <v>26</v>
      </c>
      <c r="Q18" s="36" t="s">
        <v>145</v>
      </c>
      <c r="R18" s="37" t="s">
        <v>59</v>
      </c>
    </row>
    <row r="19" spans="1:18" s="38" customFormat="1" ht="24.95" customHeight="1" x14ac:dyDescent="0.25">
      <c r="A19" s="220">
        <v>8</v>
      </c>
      <c r="B19" s="30" t="s">
        <v>62</v>
      </c>
      <c r="C19" s="31">
        <v>183.48</v>
      </c>
      <c r="D19" s="32">
        <v>332.7</v>
      </c>
      <c r="E19" s="32">
        <v>332.7</v>
      </c>
      <c r="F19" s="32">
        <v>14.44</v>
      </c>
      <c r="G19" s="31">
        <v>111.2</v>
      </c>
      <c r="H19" s="33">
        <f t="shared" si="0"/>
        <v>1.0434024646828974</v>
      </c>
      <c r="I19" s="31">
        <v>1605.73</v>
      </c>
      <c r="J19" s="32">
        <v>1.65</v>
      </c>
      <c r="K19" s="34">
        <f t="shared" si="1"/>
        <v>4.9594229035166814E-3</v>
      </c>
      <c r="L19" s="221">
        <f t="shared" si="2"/>
        <v>12.789999999999997</v>
      </c>
      <c r="M19" s="35">
        <f t="shared" si="3"/>
        <v>3.8443041779380814E-2</v>
      </c>
      <c r="N19" s="222">
        <f t="shared" si="4"/>
        <v>1422.2479999999998</v>
      </c>
      <c r="O19" s="36" t="s">
        <v>139</v>
      </c>
      <c r="P19" s="36" t="s">
        <v>25</v>
      </c>
      <c r="Q19" s="36" t="s">
        <v>144</v>
      </c>
      <c r="R19" s="37" t="s">
        <v>63</v>
      </c>
    </row>
    <row r="20" spans="1:18" s="38" customFormat="1" ht="24.95" customHeight="1" x14ac:dyDescent="0.25">
      <c r="A20" s="223">
        <v>9</v>
      </c>
      <c r="B20" s="30" t="s">
        <v>419</v>
      </c>
      <c r="C20" s="31">
        <v>146.86000000000001</v>
      </c>
      <c r="D20" s="32">
        <v>73.61</v>
      </c>
      <c r="E20" s="32">
        <v>73.61</v>
      </c>
      <c r="F20" s="32">
        <v>3.65</v>
      </c>
      <c r="G20" s="31">
        <v>90.1</v>
      </c>
      <c r="H20" s="33">
        <f t="shared" si="0"/>
        <v>1.0495856541230812</v>
      </c>
      <c r="I20" s="31">
        <v>328.87</v>
      </c>
      <c r="J20" s="32">
        <v>1.63</v>
      </c>
      <c r="K20" s="34">
        <f t="shared" si="1"/>
        <v>2.214373047140334E-2</v>
      </c>
      <c r="L20" s="221">
        <f t="shared" si="2"/>
        <v>2.0200000000000058</v>
      </c>
      <c r="M20" s="35">
        <f t="shared" si="3"/>
        <v>2.744192365167784E-2</v>
      </c>
      <c r="N20" s="222">
        <f t="shared" si="4"/>
        <v>182.00200000000052</v>
      </c>
      <c r="O20" s="36" t="s">
        <v>142</v>
      </c>
      <c r="P20" s="36" t="s">
        <v>26</v>
      </c>
      <c r="Q20" s="36" t="s">
        <v>619</v>
      </c>
      <c r="R20" s="37" t="s">
        <v>86</v>
      </c>
    </row>
    <row r="21" spans="1:18" s="38" customFormat="1" ht="24.95" customHeight="1" thickBot="1" x14ac:dyDescent="0.3">
      <c r="A21" s="224">
        <v>10</v>
      </c>
      <c r="B21" s="40" t="s">
        <v>301</v>
      </c>
      <c r="C21" s="41">
        <v>125.41</v>
      </c>
      <c r="D21" s="42">
        <v>10.119999999999999</v>
      </c>
      <c r="E21" s="42">
        <v>10.119999999999999</v>
      </c>
      <c r="F21" s="42">
        <v>0.32</v>
      </c>
      <c r="G21" s="41">
        <v>1567.63</v>
      </c>
      <c r="H21" s="43">
        <f t="shared" si="0"/>
        <v>1.0316205533596838</v>
      </c>
      <c r="I21" s="41">
        <v>501.64</v>
      </c>
      <c r="J21" s="42">
        <v>0.08</v>
      </c>
      <c r="K21" s="44">
        <f t="shared" si="1"/>
        <v>7.9051383399209498E-3</v>
      </c>
      <c r="L21" s="225">
        <f t="shared" si="2"/>
        <v>0.24000000000000027</v>
      </c>
      <c r="M21" s="45">
        <f t="shared" si="3"/>
        <v>2.3715415019762875E-2</v>
      </c>
      <c r="N21" s="226">
        <f t="shared" si="4"/>
        <v>376.23120000000046</v>
      </c>
      <c r="O21" s="46" t="s">
        <v>139</v>
      </c>
      <c r="P21" s="46" t="s">
        <v>25</v>
      </c>
      <c r="Q21" s="46" t="s">
        <v>141</v>
      </c>
      <c r="R21" s="47" t="s">
        <v>79</v>
      </c>
    </row>
    <row r="22" spans="1:18" s="53" customFormat="1" ht="24.95" customHeight="1" thickBot="1" x14ac:dyDescent="0.3">
      <c r="A22" s="227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228"/>
      <c r="M22" s="51"/>
      <c r="N22" s="229"/>
      <c r="O22" s="52"/>
      <c r="P22" s="52"/>
      <c r="Q22" s="52"/>
      <c r="R22" s="48"/>
    </row>
    <row r="23" spans="1:18" s="53" customFormat="1" ht="40.5" customHeight="1" x14ac:dyDescent="0.25">
      <c r="A23" s="616" t="s">
        <v>420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94</v>
      </c>
      <c r="B24" s="620"/>
      <c r="C24" s="620"/>
      <c r="D24" s="620" t="s">
        <v>421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111</v>
      </c>
      <c r="P24" s="630" t="s">
        <v>422</v>
      </c>
      <c r="Q24" s="629" t="s">
        <v>423</v>
      </c>
      <c r="R24" s="1141" t="s">
        <v>48</v>
      </c>
    </row>
    <row r="25" spans="1:18" s="53" customFormat="1" ht="24.95" customHeight="1" x14ac:dyDescent="0.25">
      <c r="A25" s="1142" t="s">
        <v>424</v>
      </c>
      <c r="B25" s="634" t="s">
        <v>408</v>
      </c>
      <c r="C25" s="635"/>
      <c r="D25" s="636" t="s">
        <v>425</v>
      </c>
      <c r="E25" s="636"/>
      <c r="F25" s="636"/>
      <c r="G25" s="636"/>
      <c r="H25" s="636"/>
      <c r="I25" s="636"/>
      <c r="J25" s="637" t="s">
        <v>426</v>
      </c>
      <c r="K25" s="637"/>
      <c r="L25" s="637"/>
      <c r="M25" s="638"/>
      <c r="N25" s="638"/>
      <c r="O25" s="629"/>
      <c r="P25" s="629"/>
      <c r="Q25" s="629"/>
      <c r="R25" s="1141"/>
    </row>
    <row r="26" spans="1:18" s="53" customFormat="1" ht="24.95" customHeight="1" x14ac:dyDescent="0.3">
      <c r="A26" s="1143"/>
      <c r="B26" s="1145" t="s">
        <v>427</v>
      </c>
      <c r="C26" s="1147" t="s">
        <v>428</v>
      </c>
      <c r="D26" s="1149" t="s">
        <v>429</v>
      </c>
      <c r="E26" s="1149"/>
      <c r="F26" s="1149"/>
      <c r="G26" s="1149"/>
      <c r="H26" s="1149"/>
      <c r="I26" s="1149"/>
      <c r="J26" s="1150" t="s">
        <v>411</v>
      </c>
      <c r="K26" s="1151"/>
      <c r="L26" s="1152"/>
      <c r="M26" s="1150" t="s">
        <v>430</v>
      </c>
      <c r="N26" s="1152"/>
      <c r="O26" s="629"/>
      <c r="P26" s="629"/>
      <c r="Q26" s="629"/>
      <c r="R26" s="1141"/>
    </row>
    <row r="27" spans="1:18" s="53" customFormat="1" ht="50.1" customHeight="1" x14ac:dyDescent="0.25">
      <c r="A27" s="1144"/>
      <c r="B27" s="1146"/>
      <c r="C27" s="1148"/>
      <c r="D27" s="217" t="s">
        <v>52</v>
      </c>
      <c r="E27" s="217" t="s">
        <v>158</v>
      </c>
      <c r="F27" s="217" t="s">
        <v>431</v>
      </c>
      <c r="G27" s="217" t="s">
        <v>432</v>
      </c>
      <c r="H27" s="217" t="s">
        <v>55</v>
      </c>
      <c r="I27" s="217" t="s">
        <v>73</v>
      </c>
      <c r="J27" s="218" t="s">
        <v>127</v>
      </c>
      <c r="K27" s="218" t="s">
        <v>417</v>
      </c>
      <c r="L27" s="219" t="s">
        <v>433</v>
      </c>
      <c r="M27" s="218" t="s">
        <v>127</v>
      </c>
      <c r="N27" s="218" t="s">
        <v>57</v>
      </c>
      <c r="O27" s="629"/>
      <c r="P27" s="629"/>
      <c r="Q27" s="629"/>
      <c r="R27" s="1141"/>
    </row>
    <row r="28" spans="1:18" s="53" customFormat="1" ht="24.95" customHeight="1" x14ac:dyDescent="0.25">
      <c r="A28" s="220">
        <v>1</v>
      </c>
      <c r="B28" s="30" t="s">
        <v>68</v>
      </c>
      <c r="C28" s="31">
        <v>3131.66</v>
      </c>
      <c r="D28" s="32">
        <v>380.23</v>
      </c>
      <c r="E28" s="32">
        <v>380.23</v>
      </c>
      <c r="F28" s="32">
        <v>21.22</v>
      </c>
      <c r="G28" s="31">
        <v>156.74</v>
      </c>
      <c r="H28" s="54">
        <f t="shared" ref="H28:H37" si="5">(E28+F28)/D28</f>
        <v>1.0558083265392</v>
      </c>
      <c r="I28" s="31">
        <v>3326.02</v>
      </c>
      <c r="J28" s="32">
        <v>1.24</v>
      </c>
      <c r="K28" s="34">
        <f t="shared" ref="K28:K37" si="6">J28/D28</f>
        <v>3.2611840201983008E-3</v>
      </c>
      <c r="L28" s="222">
        <f t="shared" ref="L28:L37" si="7">J28*G28</f>
        <v>194.35760000000002</v>
      </c>
      <c r="M28" s="221">
        <f t="shared" ref="M28:M37" si="8">((E28+F28)-D28)-J28</f>
        <v>19.980000000000029</v>
      </c>
      <c r="N28" s="35">
        <f t="shared" ref="N28:N37" si="9">M28/D28</f>
        <v>5.2547142519001729E-2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223">
        <v>2</v>
      </c>
      <c r="B29" s="30" t="s">
        <v>80</v>
      </c>
      <c r="C29" s="31">
        <v>2766.28</v>
      </c>
      <c r="D29" s="32">
        <v>330.22</v>
      </c>
      <c r="E29" s="32">
        <v>330.22</v>
      </c>
      <c r="F29" s="32">
        <v>18.43</v>
      </c>
      <c r="G29" s="31">
        <v>156.72999999999999</v>
      </c>
      <c r="H29" s="54">
        <f t="shared" si="5"/>
        <v>1.0558112773302646</v>
      </c>
      <c r="I29" s="31">
        <v>2888.53</v>
      </c>
      <c r="J29" s="32">
        <v>0.78</v>
      </c>
      <c r="K29" s="34">
        <f t="shared" si="6"/>
        <v>2.3620616558657865E-3</v>
      </c>
      <c r="L29" s="222">
        <f t="shared" si="7"/>
        <v>122.24939999999999</v>
      </c>
      <c r="M29" s="221">
        <f t="shared" si="8"/>
        <v>17.650000000000006</v>
      </c>
      <c r="N29" s="35">
        <f t="shared" si="9"/>
        <v>5.3449215674398899E-2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223">
        <v>3</v>
      </c>
      <c r="B30" s="30" t="s">
        <v>74</v>
      </c>
      <c r="C30" s="31">
        <v>2441.9699999999998</v>
      </c>
      <c r="D30" s="32">
        <v>343.36</v>
      </c>
      <c r="E30" s="32">
        <v>343.36</v>
      </c>
      <c r="F30" s="32">
        <v>19.16</v>
      </c>
      <c r="G30" s="31">
        <v>133.88</v>
      </c>
      <c r="H30" s="54">
        <f t="shared" si="5"/>
        <v>1.0558014911463187</v>
      </c>
      <c r="I30" s="31">
        <v>2565.14</v>
      </c>
      <c r="J30" s="57">
        <v>0.92</v>
      </c>
      <c r="K30" s="34">
        <f t="shared" si="6"/>
        <v>2.6794035414725069E-3</v>
      </c>
      <c r="L30" s="222">
        <f t="shared" si="7"/>
        <v>123.1696</v>
      </c>
      <c r="M30" s="221">
        <f t="shared" si="8"/>
        <v>18.240000000000023</v>
      </c>
      <c r="N30" s="35">
        <f t="shared" si="9"/>
        <v>5.3122087604846289E-2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220">
        <v>4</v>
      </c>
      <c r="B31" s="30" t="s">
        <v>70</v>
      </c>
      <c r="C31" s="31">
        <v>1880.71</v>
      </c>
      <c r="D31" s="32">
        <v>39.65</v>
      </c>
      <c r="E31" s="32">
        <v>39.65</v>
      </c>
      <c r="F31" s="32">
        <v>2.46</v>
      </c>
      <c r="G31" s="31">
        <v>814.16</v>
      </c>
      <c r="H31" s="54">
        <f t="shared" si="5"/>
        <v>1.0620428751576292</v>
      </c>
      <c r="I31" s="31">
        <v>2002.83</v>
      </c>
      <c r="J31" s="32">
        <v>0.15</v>
      </c>
      <c r="K31" s="34">
        <f t="shared" si="6"/>
        <v>3.7831021437578815E-3</v>
      </c>
      <c r="L31" s="222">
        <f t="shared" si="7"/>
        <v>122.124</v>
      </c>
      <c r="M31" s="221">
        <f t="shared" si="8"/>
        <v>2.3100000000000009</v>
      </c>
      <c r="N31" s="35">
        <f t="shared" si="9"/>
        <v>5.8259773013871398E-2</v>
      </c>
      <c r="O31" s="55" t="s">
        <v>133</v>
      </c>
      <c r="P31" s="56" t="s">
        <v>27</v>
      </c>
      <c r="Q31" s="56" t="s">
        <v>590</v>
      </c>
      <c r="R31" s="37" t="s">
        <v>71</v>
      </c>
    </row>
    <row r="32" spans="1:18" s="53" customFormat="1" ht="24.95" customHeight="1" x14ac:dyDescent="0.25">
      <c r="A32" s="223">
        <v>5</v>
      </c>
      <c r="B32" s="30" t="s">
        <v>62</v>
      </c>
      <c r="C32" s="31">
        <v>1422.25</v>
      </c>
      <c r="D32" s="32">
        <v>332.7</v>
      </c>
      <c r="E32" s="32">
        <v>332.7</v>
      </c>
      <c r="F32" s="32">
        <v>14.44</v>
      </c>
      <c r="G32" s="31">
        <v>111.2</v>
      </c>
      <c r="H32" s="54">
        <f t="shared" si="5"/>
        <v>1.0434024646828974</v>
      </c>
      <c r="I32" s="31">
        <v>1605.73</v>
      </c>
      <c r="J32" s="32">
        <v>1.65</v>
      </c>
      <c r="K32" s="34">
        <f t="shared" si="6"/>
        <v>4.9594229035166814E-3</v>
      </c>
      <c r="L32" s="222">
        <f t="shared" si="7"/>
        <v>183.48</v>
      </c>
      <c r="M32" s="221">
        <f t="shared" si="8"/>
        <v>12.789999999999997</v>
      </c>
      <c r="N32" s="35">
        <f t="shared" si="9"/>
        <v>3.8443041779380814E-2</v>
      </c>
      <c r="O32" s="55" t="s">
        <v>133</v>
      </c>
      <c r="P32" s="56" t="s">
        <v>25</v>
      </c>
      <c r="Q32" s="56" t="s">
        <v>135</v>
      </c>
      <c r="R32" s="37" t="s">
        <v>63</v>
      </c>
    </row>
    <row r="33" spans="1:18" s="53" customFormat="1" ht="24.95" customHeight="1" x14ac:dyDescent="0.25">
      <c r="A33" s="220">
        <v>6</v>
      </c>
      <c r="B33" s="30" t="s">
        <v>179</v>
      </c>
      <c r="C33" s="31">
        <v>1401.26</v>
      </c>
      <c r="D33" s="32">
        <v>164.08</v>
      </c>
      <c r="E33" s="32">
        <v>164.08</v>
      </c>
      <c r="F33" s="32">
        <v>9.16</v>
      </c>
      <c r="G33" s="31">
        <v>166.42</v>
      </c>
      <c r="H33" s="54">
        <f t="shared" si="5"/>
        <v>1.0558264261335935</v>
      </c>
      <c r="I33" s="31">
        <v>1524.41</v>
      </c>
      <c r="J33" s="32">
        <v>0.74</v>
      </c>
      <c r="K33" s="34">
        <f t="shared" si="6"/>
        <v>4.5099951243295945E-3</v>
      </c>
      <c r="L33" s="222">
        <f t="shared" si="7"/>
        <v>123.15079999999999</v>
      </c>
      <c r="M33" s="221">
        <f t="shared" si="8"/>
        <v>8.4199999999999964</v>
      </c>
      <c r="N33" s="35">
        <f t="shared" si="9"/>
        <v>5.1316431009263745E-2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223">
        <v>7</v>
      </c>
      <c r="B34" s="30" t="s">
        <v>87</v>
      </c>
      <c r="C34" s="31">
        <v>1391.27</v>
      </c>
      <c r="D34" s="32">
        <v>234.33</v>
      </c>
      <c r="E34" s="32">
        <v>234.33</v>
      </c>
      <c r="F34" s="32">
        <v>10.17</v>
      </c>
      <c r="G34" s="31">
        <v>194.04</v>
      </c>
      <c r="H34" s="54">
        <f t="shared" si="5"/>
        <v>1.0434003328639099</v>
      </c>
      <c r="I34" s="31">
        <v>1973.39</v>
      </c>
      <c r="J34" s="32">
        <v>3</v>
      </c>
      <c r="K34" s="34">
        <f t="shared" si="6"/>
        <v>1.2802458071949813E-2</v>
      </c>
      <c r="L34" s="222">
        <f t="shared" si="7"/>
        <v>582.12</v>
      </c>
      <c r="M34" s="221">
        <f t="shared" si="8"/>
        <v>7.1699999999999875</v>
      </c>
      <c r="N34" s="35">
        <f t="shared" si="9"/>
        <v>3.0597874791960002E-2</v>
      </c>
      <c r="O34" s="55" t="s">
        <v>133</v>
      </c>
      <c r="P34" s="56" t="s">
        <v>25</v>
      </c>
      <c r="Q34" s="56" t="s">
        <v>135</v>
      </c>
      <c r="R34" s="37" t="s">
        <v>88</v>
      </c>
    </row>
    <row r="35" spans="1:18" s="53" customFormat="1" ht="24.95" customHeight="1" x14ac:dyDescent="0.25">
      <c r="A35" s="220">
        <v>8</v>
      </c>
      <c r="B35" s="30" t="s">
        <v>183</v>
      </c>
      <c r="C35" s="31">
        <v>1349.42</v>
      </c>
      <c r="D35" s="32">
        <v>96.54</v>
      </c>
      <c r="E35" s="32">
        <v>96.54</v>
      </c>
      <c r="F35" s="32">
        <v>3.59</v>
      </c>
      <c r="G35" s="31">
        <v>410.16</v>
      </c>
      <c r="H35" s="54">
        <f t="shared" si="5"/>
        <v>1.0371866583799463</v>
      </c>
      <c r="I35" s="31">
        <v>1472.47</v>
      </c>
      <c r="J35" s="32">
        <v>0.3</v>
      </c>
      <c r="K35" s="34">
        <f t="shared" si="6"/>
        <v>3.1075201988812924E-3</v>
      </c>
      <c r="L35" s="222">
        <f t="shared" si="7"/>
        <v>123.048</v>
      </c>
      <c r="M35" s="221">
        <f t="shared" si="8"/>
        <v>3.2900000000000036</v>
      </c>
      <c r="N35" s="35">
        <f t="shared" si="9"/>
        <v>3.407913818106488E-2</v>
      </c>
      <c r="O35" s="55" t="s">
        <v>133</v>
      </c>
      <c r="P35" s="56" t="s">
        <v>27</v>
      </c>
      <c r="Q35" s="56" t="s">
        <v>134</v>
      </c>
      <c r="R35" s="37" t="s">
        <v>59</v>
      </c>
    </row>
    <row r="36" spans="1:18" s="53" customFormat="1" ht="24.95" customHeight="1" x14ac:dyDescent="0.25">
      <c r="A36" s="223">
        <v>9</v>
      </c>
      <c r="B36" s="30" t="s">
        <v>92</v>
      </c>
      <c r="C36" s="31">
        <v>1314.6100000000001</v>
      </c>
      <c r="D36" s="32">
        <v>113.78</v>
      </c>
      <c r="E36" s="32">
        <v>113.78</v>
      </c>
      <c r="F36" s="32">
        <v>7.06</v>
      </c>
      <c r="G36" s="31">
        <v>203.5</v>
      </c>
      <c r="H36" s="54">
        <f t="shared" si="5"/>
        <v>1.0620495693443488</v>
      </c>
      <c r="I36" s="31">
        <v>1436.71</v>
      </c>
      <c r="J36" s="32">
        <v>0.6</v>
      </c>
      <c r="K36" s="34">
        <f t="shared" si="6"/>
        <v>5.2733345051854457E-3</v>
      </c>
      <c r="L36" s="222">
        <f t="shared" si="7"/>
        <v>122.1</v>
      </c>
      <c r="M36" s="221">
        <f t="shared" si="8"/>
        <v>6.4600000000000026</v>
      </c>
      <c r="N36" s="35">
        <f t="shared" si="9"/>
        <v>5.6776234839163317E-2</v>
      </c>
      <c r="O36" s="55" t="s">
        <v>133</v>
      </c>
      <c r="P36" s="56" t="s">
        <v>25</v>
      </c>
      <c r="Q36" s="56" t="s">
        <v>136</v>
      </c>
      <c r="R36" s="37" t="s">
        <v>59</v>
      </c>
    </row>
    <row r="37" spans="1:18" s="53" customFormat="1" ht="24.95" customHeight="1" thickBot="1" x14ac:dyDescent="0.3">
      <c r="A37" s="224">
        <v>10</v>
      </c>
      <c r="B37" s="40" t="s">
        <v>304</v>
      </c>
      <c r="C37" s="41">
        <v>1254.18</v>
      </c>
      <c r="D37" s="42">
        <v>87.14</v>
      </c>
      <c r="E37" s="42">
        <v>87.14</v>
      </c>
      <c r="F37" s="42">
        <v>4.32</v>
      </c>
      <c r="G37" s="41">
        <v>318.32</v>
      </c>
      <c r="H37" s="58">
        <f t="shared" si="5"/>
        <v>1.0495753959146203</v>
      </c>
      <c r="I37" s="41">
        <v>1375.14</v>
      </c>
      <c r="J37" s="42">
        <v>0.38</v>
      </c>
      <c r="K37" s="44">
        <f t="shared" si="6"/>
        <v>4.360798714711958E-3</v>
      </c>
      <c r="L37" s="226">
        <f t="shared" si="7"/>
        <v>120.9616</v>
      </c>
      <c r="M37" s="225">
        <f t="shared" si="8"/>
        <v>3.9400000000000075</v>
      </c>
      <c r="N37" s="45">
        <f t="shared" si="9"/>
        <v>4.521459719990828E-2</v>
      </c>
      <c r="O37" s="59" t="s">
        <v>133</v>
      </c>
      <c r="P37" s="60" t="s">
        <v>27</v>
      </c>
      <c r="Q37" s="60" t="s">
        <v>138</v>
      </c>
      <c r="R37" s="61" t="s">
        <v>77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434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435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138" t="s">
        <v>97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1138"/>
      <c r="B42" s="1139" t="s">
        <v>436</v>
      </c>
      <c r="C42" s="1140" t="s">
        <v>437</v>
      </c>
      <c r="D42" s="1141" t="s">
        <v>438</v>
      </c>
      <c r="E42" s="62"/>
      <c r="G42" s="64"/>
      <c r="H42" s="65"/>
    </row>
    <row r="43" spans="1:18" ht="20.45" customHeight="1" x14ac:dyDescent="0.35">
      <c r="A43" s="1138"/>
      <c r="B43" s="1139"/>
      <c r="C43" s="1140"/>
      <c r="D43" s="1141"/>
      <c r="E43" s="62"/>
      <c r="G43" s="64"/>
      <c r="H43" s="65"/>
    </row>
    <row r="44" spans="1:18" s="68" customFormat="1" ht="24.95" customHeight="1" x14ac:dyDescent="0.35">
      <c r="A44" s="230">
        <v>1</v>
      </c>
      <c r="B44" s="30" t="s">
        <v>58</v>
      </c>
      <c r="C44" s="31">
        <v>1843.07</v>
      </c>
      <c r="D44" s="66">
        <f t="shared" ref="D44:D53" si="10">C44/$L$5</f>
        <v>0.31738217010211639</v>
      </c>
      <c r="E44" s="67"/>
      <c r="G44" s="64"/>
      <c r="H44" s="65"/>
    </row>
    <row r="45" spans="1:18" s="68" customFormat="1" ht="24.95" customHeight="1" x14ac:dyDescent="0.35">
      <c r="A45" s="231">
        <v>2</v>
      </c>
      <c r="B45" s="30" t="s">
        <v>61</v>
      </c>
      <c r="C45" s="31">
        <v>789.8</v>
      </c>
      <c r="D45" s="66">
        <f t="shared" si="10"/>
        <v>0.13600592378295534</v>
      </c>
      <c r="E45" s="67"/>
      <c r="G45" s="64"/>
      <c r="H45" s="65"/>
    </row>
    <row r="46" spans="1:18" s="68" customFormat="1" ht="24.95" customHeight="1" x14ac:dyDescent="0.35">
      <c r="A46" s="231">
        <v>3</v>
      </c>
      <c r="B46" s="30" t="s">
        <v>60</v>
      </c>
      <c r="C46" s="31">
        <v>225</v>
      </c>
      <c r="D46" s="66">
        <f t="shared" si="10"/>
        <v>3.8745673399803691E-2</v>
      </c>
      <c r="E46" s="67"/>
      <c r="G46" s="64"/>
      <c r="H46" s="65"/>
    </row>
    <row r="47" spans="1:18" s="68" customFormat="1" ht="24.95" customHeight="1" x14ac:dyDescent="0.35">
      <c r="A47" s="230">
        <v>4</v>
      </c>
      <c r="B47" s="30" t="s">
        <v>69</v>
      </c>
      <c r="C47" s="31">
        <v>221.83</v>
      </c>
      <c r="D47" s="66">
        <f t="shared" si="10"/>
        <v>3.8199789912348681E-2</v>
      </c>
      <c r="E47" s="67"/>
      <c r="G47" s="64"/>
      <c r="H47" s="65"/>
    </row>
    <row r="48" spans="1:18" s="68" customFormat="1" ht="24.95" customHeight="1" x14ac:dyDescent="0.35">
      <c r="A48" s="231">
        <v>5</v>
      </c>
      <c r="B48" s="30" t="s">
        <v>254</v>
      </c>
      <c r="C48" s="31">
        <v>204.79</v>
      </c>
      <c r="D48" s="66">
        <f t="shared" si="10"/>
        <v>3.5265450913536882E-2</v>
      </c>
      <c r="E48" s="67"/>
      <c r="G48" s="64"/>
      <c r="H48" s="65"/>
    </row>
    <row r="49" spans="1:5" s="68" customFormat="1" ht="24.95" customHeight="1" x14ac:dyDescent="0.25">
      <c r="A49" s="230">
        <v>6</v>
      </c>
      <c r="B49" s="30" t="s">
        <v>68</v>
      </c>
      <c r="C49" s="31">
        <v>194.36</v>
      </c>
      <c r="D49" s="66">
        <f t="shared" si="10"/>
        <v>3.3469373697714869E-2</v>
      </c>
      <c r="E49" s="67"/>
    </row>
    <row r="50" spans="1:5" s="68" customFormat="1" ht="24.95" customHeight="1" x14ac:dyDescent="0.25">
      <c r="A50" s="231">
        <v>7</v>
      </c>
      <c r="B50" s="30" t="s">
        <v>91</v>
      </c>
      <c r="C50" s="31">
        <v>123.48</v>
      </c>
      <c r="D50" s="66">
        <f t="shared" si="10"/>
        <v>2.1263625561812268E-2</v>
      </c>
      <c r="E50" s="67"/>
    </row>
    <row r="51" spans="1:5" s="68" customFormat="1" ht="24.95" customHeight="1" x14ac:dyDescent="0.25">
      <c r="A51" s="230">
        <v>8</v>
      </c>
      <c r="B51" s="30" t="s">
        <v>340</v>
      </c>
      <c r="C51" s="31">
        <v>123.25</v>
      </c>
      <c r="D51" s="66">
        <f t="shared" si="10"/>
        <v>2.1224018873448023E-2</v>
      </c>
      <c r="E51" s="67"/>
    </row>
    <row r="52" spans="1:5" s="68" customFormat="1" ht="24.95" customHeight="1" x14ac:dyDescent="0.25">
      <c r="A52" s="231">
        <v>9</v>
      </c>
      <c r="B52" s="30" t="s">
        <v>439</v>
      </c>
      <c r="C52" s="31">
        <v>123.21</v>
      </c>
      <c r="D52" s="66">
        <f t="shared" si="10"/>
        <v>2.1217130753732501E-2</v>
      </c>
      <c r="E52" s="67"/>
    </row>
    <row r="53" spans="1:5" s="68" customFormat="1" ht="24.95" customHeight="1" thickBot="1" x14ac:dyDescent="0.3">
      <c r="A53" s="232">
        <v>10</v>
      </c>
      <c r="B53" s="40" t="s">
        <v>183</v>
      </c>
      <c r="C53" s="41">
        <v>123.05</v>
      </c>
      <c r="D53" s="69">
        <f t="shared" si="10"/>
        <v>2.1189578274870419E-2</v>
      </c>
      <c r="E53" s="67"/>
    </row>
    <row r="54" spans="1:5" x14ac:dyDescent="0.25">
      <c r="A54" s="614" t="s">
        <v>440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14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341" priority="33" operator="containsText" text="024">
      <formula>NOT(ISERROR(SEARCH("024",A12)))</formula>
    </cfRule>
    <cfRule type="containsText" dxfId="340" priority="34" operator="containsText" text="白醬">
      <formula>NOT(ISERROR(SEARCH("白醬",A12)))</formula>
    </cfRule>
    <cfRule type="containsText" dxfId="339" priority="35" operator="containsText" text="青蔥">
      <formula>NOT(ISERROR(SEARCH("青蔥",A12)))</formula>
    </cfRule>
    <cfRule type="containsText" dxfId="338" priority="36" operator="containsText" text=")川燙小青花菜">
      <formula>NOT(ISERROR(SEARCH(")川燙小青花菜",A12)))</formula>
    </cfRule>
    <cfRule type="containsText" dxfId="337" priority="37" operator="containsText" text="湯凍">
      <formula>NOT(ISERROR(SEARCH("湯凍",A12)))</formula>
    </cfRule>
    <cfRule type="containsText" dxfId="336" priority="38" operator="containsText" text="中華">
      <formula>NOT(ISERROR(SEARCH("中華",A12)))</formula>
    </cfRule>
  </conditionalFormatting>
  <conditionalFormatting sqref="A12:A22">
    <cfRule type="containsText" dxfId="335" priority="31" operator="containsText" text="綠豆芽">
      <formula>NOT(ISERROR(SEARCH("綠豆芽",A12)))</formula>
    </cfRule>
    <cfRule type="containsText" dxfId="334" priority="32" operator="containsText" text="煮白細麵生(方#12)">
      <formula>NOT(ISERROR(SEARCH("煮白細麵生(方#12)",A12)))</formula>
    </cfRule>
  </conditionalFormatting>
  <conditionalFormatting sqref="E5">
    <cfRule type="cellIs" dxfId="333" priority="16" operator="greaterThan">
      <formula>0.0025</formula>
    </cfRule>
    <cfRule type="cellIs" dxfId="332" priority="19" operator="greaterThan">
      <formula>0.0025</formula>
    </cfRule>
    <cfRule type="cellIs" dxfId="331" priority="29" operator="greaterThan">
      <formula>0.072</formula>
    </cfRule>
    <cfRule type="cellIs" dxfId="330" priority="30" operator="greaterThan">
      <formula>7.2</formula>
    </cfRule>
  </conditionalFormatting>
  <conditionalFormatting sqref="E5">
    <cfRule type="cellIs" dxfId="329" priority="28" operator="greaterThan">
      <formula>0.0025</formula>
    </cfRule>
  </conditionalFormatting>
  <conditionalFormatting sqref="A44:A53">
    <cfRule type="containsText" dxfId="328" priority="22" operator="containsText" text="024">
      <formula>NOT(ISERROR(SEARCH("024",A44)))</formula>
    </cfRule>
    <cfRule type="containsText" dxfId="327" priority="23" operator="containsText" text="白醬">
      <formula>NOT(ISERROR(SEARCH("白醬",A44)))</formula>
    </cfRule>
    <cfRule type="containsText" dxfId="326" priority="24" operator="containsText" text="青蔥">
      <formula>NOT(ISERROR(SEARCH("青蔥",A44)))</formula>
    </cfRule>
    <cfRule type="containsText" dxfId="325" priority="25" operator="containsText" text=")川燙小青花菜">
      <formula>NOT(ISERROR(SEARCH(")川燙小青花菜",A44)))</formula>
    </cfRule>
    <cfRule type="containsText" dxfId="324" priority="26" operator="containsText" text="湯凍">
      <formula>NOT(ISERROR(SEARCH("湯凍",A44)))</formula>
    </cfRule>
    <cfRule type="containsText" dxfId="323" priority="27" operator="containsText" text="中華">
      <formula>NOT(ISERROR(SEARCH("中華",A44)))</formula>
    </cfRule>
  </conditionalFormatting>
  <conditionalFormatting sqref="A44:A53">
    <cfRule type="containsText" dxfId="322" priority="20" operator="containsText" text="綠豆芽">
      <formula>NOT(ISERROR(SEARCH("綠豆芽",A44)))</formula>
    </cfRule>
    <cfRule type="containsText" dxfId="321" priority="21" operator="containsText" text="煮白細麵生(方#12)">
      <formula>NOT(ISERROR(SEARCH("煮白細麵生(方#12)",A44)))</formula>
    </cfRule>
  </conditionalFormatting>
  <conditionalFormatting sqref="D44:D53">
    <cfRule type="cellIs" dxfId="320" priority="18" operator="greaterThan">
      <formula>0.146</formula>
    </cfRule>
  </conditionalFormatting>
  <conditionalFormatting sqref="H12:H22">
    <cfRule type="cellIs" dxfId="319" priority="17" operator="greaterThan">
      <formula>1.1</formula>
    </cfRule>
  </conditionalFormatting>
  <conditionalFormatting sqref="I5">
    <cfRule type="cellIs" dxfId="318" priority="15" operator="greaterThan">
      <formula>0.2</formula>
    </cfRule>
  </conditionalFormatting>
  <conditionalFormatting sqref="A28:A37">
    <cfRule type="containsText" dxfId="317" priority="9" operator="containsText" text="024">
      <formula>NOT(ISERROR(SEARCH("024",A28)))</formula>
    </cfRule>
    <cfRule type="containsText" dxfId="316" priority="10" operator="containsText" text="白醬">
      <formula>NOT(ISERROR(SEARCH("白醬",A28)))</formula>
    </cfRule>
    <cfRule type="containsText" dxfId="315" priority="11" operator="containsText" text="青蔥">
      <formula>NOT(ISERROR(SEARCH("青蔥",A28)))</formula>
    </cfRule>
    <cfRule type="containsText" dxfId="314" priority="12" operator="containsText" text=")川燙小青花菜">
      <formula>NOT(ISERROR(SEARCH(")川燙小青花菜",A28)))</formula>
    </cfRule>
    <cfRule type="containsText" dxfId="313" priority="13" operator="containsText" text="湯凍">
      <formula>NOT(ISERROR(SEARCH("湯凍",A28)))</formula>
    </cfRule>
    <cfRule type="containsText" dxfId="312" priority="14" operator="containsText" text="中華">
      <formula>NOT(ISERROR(SEARCH("中華",A28)))</formula>
    </cfRule>
  </conditionalFormatting>
  <conditionalFormatting sqref="A28:A37">
    <cfRule type="containsText" dxfId="311" priority="7" operator="containsText" text="綠豆芽">
      <formula>NOT(ISERROR(SEARCH("綠豆芽",A28)))</formula>
    </cfRule>
    <cfRule type="containsText" dxfId="310" priority="8" operator="containsText" text="煮白細麵生(方#12)">
      <formula>NOT(ISERROR(SEARCH("煮白細麵生(方#12)",A28)))</formula>
    </cfRule>
  </conditionalFormatting>
  <conditionalFormatting sqref="H28:H37">
    <cfRule type="cellIs" dxfId="309" priority="6" operator="greaterThan">
      <formula>1.1</formula>
    </cfRule>
  </conditionalFormatting>
  <conditionalFormatting sqref="G5">
    <cfRule type="cellIs" dxfId="308" priority="1" operator="greaterThan">
      <formula>0.0025</formula>
    </cfRule>
    <cfRule type="cellIs" dxfId="307" priority="2" operator="greaterThan">
      <formula>0.0025</formula>
    </cfRule>
    <cfRule type="cellIs" dxfId="306" priority="4" operator="greaterThan">
      <formula>0.072</formula>
    </cfRule>
    <cfRule type="cellIs" dxfId="305" priority="5" operator="greaterThan">
      <formula>7.2</formula>
    </cfRule>
  </conditionalFormatting>
  <conditionalFormatting sqref="G5">
    <cfRule type="cellIs" dxfId="30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7" zoomScale="60" zoomScaleNormal="60" zoomScaleSheetLayoutView="70" workbookViewId="0">
      <selection activeCell="Q30" sqref="Q3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163" t="s">
        <v>31</v>
      </c>
      <c r="B2" s="1164"/>
      <c r="C2" s="214" t="s">
        <v>32</v>
      </c>
      <c r="D2" s="1165" t="s">
        <v>33</v>
      </c>
      <c r="E2" s="1165"/>
      <c r="F2" s="1165" t="s">
        <v>34</v>
      </c>
      <c r="G2" s="1165"/>
      <c r="H2" s="1165" t="s">
        <v>33</v>
      </c>
      <c r="I2" s="1165"/>
      <c r="J2" s="1165" t="s">
        <v>34</v>
      </c>
      <c r="K2" s="1165"/>
      <c r="L2" s="1165" t="s">
        <v>33</v>
      </c>
      <c r="M2" s="1166"/>
      <c r="R2" s="17"/>
    </row>
    <row r="3" spans="1:18" s="18" customFormat="1" ht="28.5" x14ac:dyDescent="0.45">
      <c r="A3" s="1173">
        <v>45908</v>
      </c>
      <c r="B3" s="1174"/>
      <c r="C3" s="1175">
        <v>6172069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173"/>
      <c r="B4" s="1174"/>
      <c r="C4" s="117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167" t="s">
        <v>44</v>
      </c>
      <c r="B5" s="1168"/>
      <c r="C5" s="1168"/>
      <c r="D5" s="213">
        <v>15101.960000000003</v>
      </c>
      <c r="E5" s="22">
        <f>D5/C3</f>
        <v>2.4468229373326841E-3</v>
      </c>
      <c r="F5" s="213">
        <v>48706.270000000004</v>
      </c>
      <c r="G5" s="23">
        <f>F5/C3</f>
        <v>7.8914007604257187E-3</v>
      </c>
      <c r="H5" s="24">
        <f>SUM(C12:C21)</f>
        <v>5091.8899999999994</v>
      </c>
      <c r="I5" s="25">
        <f>H5/D5</f>
        <v>0.33716749349091102</v>
      </c>
      <c r="J5" s="24">
        <f>SUM(C28:C37)</f>
        <v>22167.919999999998</v>
      </c>
      <c r="K5" s="26">
        <f>J5/F5</f>
        <v>0.45513483171673785</v>
      </c>
      <c r="L5" s="27">
        <v>6595.1400000000012</v>
      </c>
      <c r="M5" s="28">
        <f>L5/D5</f>
        <v>0.43670755319177113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45</v>
      </c>
      <c r="B8" s="620"/>
      <c r="C8" s="620"/>
      <c r="D8" s="620" t="s">
        <v>95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47</v>
      </c>
      <c r="Q8" s="629" t="s">
        <v>96</v>
      </c>
      <c r="R8" s="1169" t="s">
        <v>48</v>
      </c>
    </row>
    <row r="9" spans="1:18" ht="20.45" customHeight="1" x14ac:dyDescent="0.25">
      <c r="A9" s="1170" t="s">
        <v>97</v>
      </c>
      <c r="B9" s="634" t="s">
        <v>98</v>
      </c>
      <c r="C9" s="635"/>
      <c r="D9" s="636" t="s">
        <v>49</v>
      </c>
      <c r="E9" s="636"/>
      <c r="F9" s="636"/>
      <c r="G9" s="636"/>
      <c r="H9" s="636"/>
      <c r="I9" s="636"/>
      <c r="J9" s="637" t="s">
        <v>99</v>
      </c>
      <c r="K9" s="637"/>
      <c r="L9" s="637"/>
      <c r="M9" s="638"/>
      <c r="N9" s="638"/>
      <c r="O9" s="629"/>
      <c r="P9" s="629"/>
      <c r="Q9" s="629"/>
      <c r="R9" s="1169"/>
    </row>
    <row r="10" spans="1:18" ht="20.45" customHeight="1" x14ac:dyDescent="0.3">
      <c r="A10" s="1171"/>
      <c r="B10" s="1176" t="s">
        <v>100</v>
      </c>
      <c r="C10" s="1178" t="s">
        <v>101</v>
      </c>
      <c r="D10" s="1180" t="s">
        <v>50</v>
      </c>
      <c r="E10" s="1180"/>
      <c r="F10" s="1180"/>
      <c r="G10" s="1180"/>
      <c r="H10" s="1180"/>
      <c r="I10" s="1180"/>
      <c r="J10" s="1181" t="s">
        <v>51</v>
      </c>
      <c r="K10" s="1182"/>
      <c r="L10" s="1183" t="s">
        <v>102</v>
      </c>
      <c r="M10" s="1181"/>
      <c r="N10" s="1181"/>
      <c r="O10" s="629"/>
      <c r="P10" s="629"/>
      <c r="Q10" s="629"/>
      <c r="R10" s="1169"/>
    </row>
    <row r="11" spans="1:18" s="29" customFormat="1" ht="47.25" customHeight="1" x14ac:dyDescent="0.25">
      <c r="A11" s="1172"/>
      <c r="B11" s="1177"/>
      <c r="C11" s="1179"/>
      <c r="D11" s="209" t="s">
        <v>52</v>
      </c>
      <c r="E11" s="209" t="s">
        <v>123</v>
      </c>
      <c r="F11" s="209" t="s">
        <v>124</v>
      </c>
      <c r="G11" s="209" t="s">
        <v>105</v>
      </c>
      <c r="H11" s="209" t="s">
        <v>55</v>
      </c>
      <c r="I11" s="209" t="s">
        <v>73</v>
      </c>
      <c r="J11" s="207" t="s">
        <v>108</v>
      </c>
      <c r="K11" s="207" t="s">
        <v>57</v>
      </c>
      <c r="L11" s="207" t="s">
        <v>108</v>
      </c>
      <c r="M11" s="207" t="s">
        <v>57</v>
      </c>
      <c r="N11" s="208" t="s">
        <v>109</v>
      </c>
      <c r="O11" s="629"/>
      <c r="P11" s="629"/>
      <c r="Q11" s="629"/>
      <c r="R11" s="1169"/>
    </row>
    <row r="12" spans="1:18" s="38" customFormat="1" ht="24.95" customHeight="1" x14ac:dyDescent="0.25">
      <c r="A12" s="206">
        <v>1</v>
      </c>
      <c r="B12" s="30" t="s">
        <v>58</v>
      </c>
      <c r="C12" s="31">
        <v>2044.09</v>
      </c>
      <c r="D12" s="32">
        <v>14678</v>
      </c>
      <c r="E12" s="32">
        <v>14678</v>
      </c>
      <c r="F12" s="32">
        <v>352.43</v>
      </c>
      <c r="G12" s="31">
        <v>5.8</v>
      </c>
      <c r="H12" s="33">
        <f t="shared" ref="H12:H21" si="0">(E12+F12)/D12</f>
        <v>1.0240107644093202</v>
      </c>
      <c r="I12" s="31">
        <v>2044.09</v>
      </c>
      <c r="J12" s="32">
        <v>352.43</v>
      </c>
      <c r="K12" s="34">
        <f t="shared" ref="K12:K21" si="1">J12/D12</f>
        <v>2.4010764409320071E-2</v>
      </c>
      <c r="L12" s="203">
        <f t="shared" ref="L12:L21" si="2">((E12+F12)-D12)-J12</f>
        <v>0</v>
      </c>
      <c r="M12" s="35">
        <f t="shared" ref="M12:M21" si="3">L12/D12</f>
        <v>0</v>
      </c>
      <c r="N12" s="204">
        <f t="shared" ref="N12:N21" si="4">L12*G12</f>
        <v>0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205">
        <v>2</v>
      </c>
      <c r="B13" s="30" t="s">
        <v>68</v>
      </c>
      <c r="C13" s="31">
        <v>681.82</v>
      </c>
      <c r="D13" s="32">
        <v>402.09</v>
      </c>
      <c r="E13" s="32">
        <v>402.09</v>
      </c>
      <c r="F13" s="32">
        <v>28.59</v>
      </c>
      <c r="G13" s="31">
        <v>156.74</v>
      </c>
      <c r="H13" s="33">
        <f t="shared" si="0"/>
        <v>1.0711034842945608</v>
      </c>
      <c r="I13" s="31">
        <v>4481.2</v>
      </c>
      <c r="J13" s="32">
        <v>4.3499999999999996</v>
      </c>
      <c r="K13" s="34">
        <f t="shared" si="1"/>
        <v>1.0818473476087442E-2</v>
      </c>
      <c r="L13" s="203">
        <f t="shared" si="2"/>
        <v>24.239999999999974</v>
      </c>
      <c r="M13" s="35">
        <f t="shared" si="3"/>
        <v>6.0285010818473414E-2</v>
      </c>
      <c r="N13" s="204">
        <f t="shared" si="4"/>
        <v>3799.3775999999962</v>
      </c>
      <c r="O13" s="36" t="s">
        <v>142</v>
      </c>
      <c r="P13" s="36" t="s">
        <v>26</v>
      </c>
      <c r="Q13" s="36" t="s">
        <v>145</v>
      </c>
      <c r="R13" s="37" t="s">
        <v>59</v>
      </c>
    </row>
    <row r="14" spans="1:18" s="39" customFormat="1" ht="24.95" customHeight="1" x14ac:dyDescent="0.25">
      <c r="A14" s="205">
        <v>3</v>
      </c>
      <c r="B14" s="30" t="s">
        <v>80</v>
      </c>
      <c r="C14" s="31">
        <v>609.67999999999995</v>
      </c>
      <c r="D14" s="32">
        <v>351.39</v>
      </c>
      <c r="E14" s="32">
        <v>351.39</v>
      </c>
      <c r="F14" s="32">
        <v>24.99</v>
      </c>
      <c r="G14" s="31">
        <v>156.72999999999999</v>
      </c>
      <c r="H14" s="33">
        <f t="shared" si="0"/>
        <v>1.0711175616835995</v>
      </c>
      <c r="I14" s="31">
        <v>3916.68</v>
      </c>
      <c r="J14" s="32">
        <v>3.89</v>
      </c>
      <c r="K14" s="34">
        <f t="shared" si="1"/>
        <v>1.1070320726258574E-2</v>
      </c>
      <c r="L14" s="203">
        <f t="shared" si="2"/>
        <v>21.100000000000009</v>
      </c>
      <c r="M14" s="35">
        <f t="shared" si="3"/>
        <v>6.0047240957340875E-2</v>
      </c>
      <c r="N14" s="204">
        <f t="shared" si="4"/>
        <v>3307.0030000000011</v>
      </c>
      <c r="O14" s="36" t="s">
        <v>142</v>
      </c>
      <c r="P14" s="36" t="s">
        <v>26</v>
      </c>
      <c r="Q14" s="36" t="s">
        <v>145</v>
      </c>
      <c r="R14" s="37" t="s">
        <v>59</v>
      </c>
    </row>
    <row r="15" spans="1:18" s="38" customFormat="1" ht="24.95" customHeight="1" x14ac:dyDescent="0.25">
      <c r="A15" s="206">
        <v>4</v>
      </c>
      <c r="B15" s="30" t="s">
        <v>69</v>
      </c>
      <c r="C15" s="31">
        <v>315</v>
      </c>
      <c r="D15" s="32">
        <v>9768</v>
      </c>
      <c r="E15" s="32">
        <v>9768</v>
      </c>
      <c r="F15" s="32">
        <v>45</v>
      </c>
      <c r="G15" s="31">
        <v>7</v>
      </c>
      <c r="H15" s="33">
        <f t="shared" si="0"/>
        <v>1.0046068796068797</v>
      </c>
      <c r="I15" s="31">
        <v>315</v>
      </c>
      <c r="J15" s="32">
        <v>45</v>
      </c>
      <c r="K15" s="34">
        <f t="shared" si="1"/>
        <v>4.6068796068796068E-3</v>
      </c>
      <c r="L15" s="203">
        <f t="shared" si="2"/>
        <v>0</v>
      </c>
      <c r="M15" s="35">
        <f t="shared" si="3"/>
        <v>0</v>
      </c>
      <c r="N15" s="204">
        <f t="shared" si="4"/>
        <v>0</v>
      </c>
      <c r="O15" s="36" t="s">
        <v>142</v>
      </c>
      <c r="P15" s="36" t="s">
        <v>26</v>
      </c>
      <c r="Q15" s="36" t="s">
        <v>143</v>
      </c>
      <c r="R15" s="37" t="s">
        <v>59</v>
      </c>
    </row>
    <row r="16" spans="1:18" s="39" customFormat="1" ht="24.95" customHeight="1" x14ac:dyDescent="0.25">
      <c r="A16" s="205">
        <v>5</v>
      </c>
      <c r="B16" s="30" t="s">
        <v>254</v>
      </c>
      <c r="C16" s="31">
        <v>284.06</v>
      </c>
      <c r="D16" s="32">
        <v>117.66</v>
      </c>
      <c r="E16" s="32">
        <v>117.66</v>
      </c>
      <c r="F16" s="32">
        <v>6.51</v>
      </c>
      <c r="G16" s="31">
        <v>110.1</v>
      </c>
      <c r="H16" s="33">
        <f t="shared" si="0"/>
        <v>1.0553289138194799</v>
      </c>
      <c r="I16" s="31">
        <v>716.75</v>
      </c>
      <c r="J16" s="32">
        <v>2.58</v>
      </c>
      <c r="K16" s="34">
        <f t="shared" si="1"/>
        <v>2.1927587965323816E-2</v>
      </c>
      <c r="L16" s="203">
        <f t="shared" si="2"/>
        <v>3.930000000000005</v>
      </c>
      <c r="M16" s="35">
        <f t="shared" si="3"/>
        <v>3.3401325854156089E-2</v>
      </c>
      <c r="N16" s="204">
        <f t="shared" si="4"/>
        <v>432.69300000000055</v>
      </c>
      <c r="O16" s="36" t="s">
        <v>139</v>
      </c>
      <c r="P16" s="36" t="s">
        <v>25</v>
      </c>
      <c r="Q16" s="36" t="s">
        <v>141</v>
      </c>
      <c r="R16" s="37" t="s">
        <v>59</v>
      </c>
    </row>
    <row r="17" spans="1:18" s="38" customFormat="1" ht="24.95" customHeight="1" x14ac:dyDescent="0.25">
      <c r="A17" s="206">
        <v>6</v>
      </c>
      <c r="B17" s="30" t="s">
        <v>62</v>
      </c>
      <c r="C17" s="31">
        <v>265.77</v>
      </c>
      <c r="D17" s="32">
        <v>358.5</v>
      </c>
      <c r="E17" s="32">
        <v>358.5</v>
      </c>
      <c r="F17" s="32">
        <v>19.829999999999998</v>
      </c>
      <c r="G17" s="31">
        <v>111.2</v>
      </c>
      <c r="H17" s="33">
        <f t="shared" si="0"/>
        <v>1.0553138075313806</v>
      </c>
      <c r="I17" s="31">
        <v>2205.1</v>
      </c>
      <c r="J17" s="32">
        <v>2.39</v>
      </c>
      <c r="K17" s="34">
        <f t="shared" si="1"/>
        <v>6.6666666666666671E-3</v>
      </c>
      <c r="L17" s="203">
        <f t="shared" si="2"/>
        <v>17.439999999999984</v>
      </c>
      <c r="M17" s="35">
        <f t="shared" si="3"/>
        <v>4.8647140864714042E-2</v>
      </c>
      <c r="N17" s="204">
        <f t="shared" si="4"/>
        <v>1939.3279999999982</v>
      </c>
      <c r="O17" s="36" t="s">
        <v>139</v>
      </c>
      <c r="P17" s="36" t="s">
        <v>25</v>
      </c>
      <c r="Q17" s="36" t="s">
        <v>144</v>
      </c>
      <c r="R17" s="37" t="s">
        <v>63</v>
      </c>
    </row>
    <row r="18" spans="1:18" s="39" customFormat="1" ht="24.95" customHeight="1" x14ac:dyDescent="0.25">
      <c r="A18" s="205">
        <v>7</v>
      </c>
      <c r="B18" s="30" t="s">
        <v>253</v>
      </c>
      <c r="C18" s="31">
        <v>252.65</v>
      </c>
      <c r="D18" s="32">
        <v>310.98</v>
      </c>
      <c r="E18" s="32">
        <v>310.98</v>
      </c>
      <c r="F18" s="32">
        <v>14.74</v>
      </c>
      <c r="G18" s="31">
        <v>95.34</v>
      </c>
      <c r="H18" s="33">
        <f t="shared" si="0"/>
        <v>1.0473985465303235</v>
      </c>
      <c r="I18" s="31">
        <v>1405.31</v>
      </c>
      <c r="J18" s="32">
        <v>2.65</v>
      </c>
      <c r="K18" s="34">
        <f t="shared" si="1"/>
        <v>8.5214483246511021E-3</v>
      </c>
      <c r="L18" s="203">
        <f t="shared" si="2"/>
        <v>12.090000000000009</v>
      </c>
      <c r="M18" s="35">
        <f t="shared" si="3"/>
        <v>3.8877098205672415E-2</v>
      </c>
      <c r="N18" s="204">
        <f t="shared" si="4"/>
        <v>1152.6606000000008</v>
      </c>
      <c r="O18" s="36" t="s">
        <v>139</v>
      </c>
      <c r="P18" s="36" t="s">
        <v>25</v>
      </c>
      <c r="Q18" s="36" t="s">
        <v>144</v>
      </c>
      <c r="R18" s="37" t="s">
        <v>59</v>
      </c>
    </row>
    <row r="19" spans="1:18" s="38" customFormat="1" ht="24.95" customHeight="1" x14ac:dyDescent="0.25">
      <c r="A19" s="206">
        <v>8</v>
      </c>
      <c r="B19" s="30" t="s">
        <v>64</v>
      </c>
      <c r="C19" s="31">
        <v>232.19</v>
      </c>
      <c r="D19" s="32">
        <v>3995</v>
      </c>
      <c r="E19" s="32">
        <v>3995</v>
      </c>
      <c r="F19" s="32">
        <v>33.17</v>
      </c>
      <c r="G19" s="31">
        <v>7</v>
      </c>
      <c r="H19" s="33">
        <f t="shared" si="0"/>
        <v>1.0083028785982477</v>
      </c>
      <c r="I19" s="31">
        <v>232.19</v>
      </c>
      <c r="J19" s="32">
        <v>33.17</v>
      </c>
      <c r="K19" s="34">
        <f t="shared" si="1"/>
        <v>8.3028785982478103E-3</v>
      </c>
      <c r="L19" s="203">
        <f t="shared" si="2"/>
        <v>7.1054273576010019E-14</v>
      </c>
      <c r="M19" s="35">
        <f t="shared" si="3"/>
        <v>1.7785800644808516E-17</v>
      </c>
      <c r="N19" s="204">
        <f t="shared" si="4"/>
        <v>4.9737991503207013E-13</v>
      </c>
      <c r="O19" s="36" t="s">
        <v>142</v>
      </c>
      <c r="P19" s="36" t="s">
        <v>26</v>
      </c>
      <c r="Q19" s="36" t="s">
        <v>143</v>
      </c>
      <c r="R19" s="37" t="s">
        <v>59</v>
      </c>
    </row>
    <row r="20" spans="1:18" s="38" customFormat="1" ht="24.95" customHeight="1" x14ac:dyDescent="0.25">
      <c r="A20" s="205">
        <v>9</v>
      </c>
      <c r="B20" s="30" t="s">
        <v>166</v>
      </c>
      <c r="C20" s="31">
        <v>206.18</v>
      </c>
      <c r="D20" s="32">
        <v>6025</v>
      </c>
      <c r="E20" s="32">
        <v>6025</v>
      </c>
      <c r="F20" s="32">
        <v>46.86</v>
      </c>
      <c r="G20" s="31">
        <v>4.4000000000000004</v>
      </c>
      <c r="H20" s="33">
        <f t="shared" si="0"/>
        <v>1.0077775933609958</v>
      </c>
      <c r="I20" s="31">
        <v>206.18</v>
      </c>
      <c r="J20" s="32">
        <v>46.86</v>
      </c>
      <c r="K20" s="34">
        <f t="shared" si="1"/>
        <v>7.7775933609958506E-3</v>
      </c>
      <c r="L20" s="203">
        <f t="shared" si="2"/>
        <v>-3.2684965844964609E-13</v>
      </c>
      <c r="M20" s="35">
        <f t="shared" si="3"/>
        <v>-5.4248905966746235E-17</v>
      </c>
      <c r="N20" s="204">
        <f t="shared" si="4"/>
        <v>-1.4381384971784428E-12</v>
      </c>
      <c r="O20" s="36" t="s">
        <v>139</v>
      </c>
      <c r="P20" s="36" t="s">
        <v>28</v>
      </c>
      <c r="Q20" s="36" t="s">
        <v>140</v>
      </c>
      <c r="R20" s="37" t="s">
        <v>59</v>
      </c>
    </row>
    <row r="21" spans="1:18" s="38" customFormat="1" ht="24.95" customHeight="1" thickBot="1" x14ac:dyDescent="0.3">
      <c r="A21" s="202">
        <v>10</v>
      </c>
      <c r="B21" s="40" t="s">
        <v>213</v>
      </c>
      <c r="C21" s="41">
        <v>200.45</v>
      </c>
      <c r="D21" s="42">
        <v>4869</v>
      </c>
      <c r="E21" s="42">
        <v>4869</v>
      </c>
      <c r="F21" s="42">
        <v>46.08</v>
      </c>
      <c r="G21" s="41">
        <v>4.3499999999999996</v>
      </c>
      <c r="H21" s="43">
        <f t="shared" si="0"/>
        <v>1.0094639556377079</v>
      </c>
      <c r="I21" s="41">
        <v>200.45</v>
      </c>
      <c r="J21" s="42">
        <v>46.08</v>
      </c>
      <c r="K21" s="44">
        <f t="shared" si="1"/>
        <v>9.4639556377079485E-3</v>
      </c>
      <c r="L21" s="200">
        <f t="shared" si="2"/>
        <v>-7.1054273576010019E-14</v>
      </c>
      <c r="M21" s="45">
        <f t="shared" si="3"/>
        <v>-1.4593196462520029E-17</v>
      </c>
      <c r="N21" s="201">
        <f t="shared" si="4"/>
        <v>-3.0908609005564358E-13</v>
      </c>
      <c r="O21" s="46" t="s">
        <v>139</v>
      </c>
      <c r="P21" s="46" t="s">
        <v>28</v>
      </c>
      <c r="Q21" s="46" t="s">
        <v>140</v>
      </c>
      <c r="R21" s="47" t="s">
        <v>214</v>
      </c>
    </row>
    <row r="22" spans="1:18" s="53" customFormat="1" ht="24.95" customHeight="1" thickBot="1" x14ac:dyDescent="0.3">
      <c r="A22" s="212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211"/>
      <c r="M22" s="51"/>
      <c r="N22" s="210"/>
      <c r="O22" s="52"/>
      <c r="P22" s="52"/>
      <c r="Q22" s="52"/>
      <c r="R22" s="48"/>
    </row>
    <row r="23" spans="1:18" s="53" customFormat="1" ht="40.5" customHeight="1" x14ac:dyDescent="0.25">
      <c r="A23" s="616" t="s">
        <v>403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389</v>
      </c>
      <c r="B24" s="620"/>
      <c r="C24" s="620"/>
      <c r="D24" s="620" t="s">
        <v>402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72</v>
      </c>
      <c r="P24" s="630" t="s">
        <v>47</v>
      </c>
      <c r="Q24" s="629" t="s">
        <v>96</v>
      </c>
      <c r="R24" s="1169" t="s">
        <v>48</v>
      </c>
    </row>
    <row r="25" spans="1:18" s="53" customFormat="1" ht="24.95" customHeight="1" x14ac:dyDescent="0.25">
      <c r="A25" s="1170" t="s">
        <v>97</v>
      </c>
      <c r="B25" s="634" t="s">
        <v>98</v>
      </c>
      <c r="C25" s="635"/>
      <c r="D25" s="636" t="s">
        <v>49</v>
      </c>
      <c r="E25" s="636"/>
      <c r="F25" s="636"/>
      <c r="G25" s="636"/>
      <c r="H25" s="636"/>
      <c r="I25" s="636"/>
      <c r="J25" s="637" t="s">
        <v>99</v>
      </c>
      <c r="K25" s="637"/>
      <c r="L25" s="637"/>
      <c r="M25" s="638"/>
      <c r="N25" s="638"/>
      <c r="O25" s="629"/>
      <c r="P25" s="629"/>
      <c r="Q25" s="629"/>
      <c r="R25" s="1169"/>
    </row>
    <row r="26" spans="1:18" s="53" customFormat="1" ht="24.95" customHeight="1" x14ac:dyDescent="0.3">
      <c r="A26" s="1171"/>
      <c r="B26" s="1176" t="s">
        <v>386</v>
      </c>
      <c r="C26" s="1178" t="s">
        <v>401</v>
      </c>
      <c r="D26" s="1180" t="s">
        <v>400</v>
      </c>
      <c r="E26" s="1180"/>
      <c r="F26" s="1180"/>
      <c r="G26" s="1180"/>
      <c r="H26" s="1180"/>
      <c r="I26" s="1180"/>
      <c r="J26" s="1181" t="s">
        <v>399</v>
      </c>
      <c r="K26" s="1187"/>
      <c r="L26" s="1182"/>
      <c r="M26" s="1181" t="s">
        <v>398</v>
      </c>
      <c r="N26" s="1182"/>
      <c r="O26" s="629"/>
      <c r="P26" s="629"/>
      <c r="Q26" s="629"/>
      <c r="R26" s="1169"/>
    </row>
    <row r="27" spans="1:18" s="53" customFormat="1" ht="50.1" customHeight="1" x14ac:dyDescent="0.25">
      <c r="A27" s="1172"/>
      <c r="B27" s="1177"/>
      <c r="C27" s="1179"/>
      <c r="D27" s="209" t="s">
        <v>397</v>
      </c>
      <c r="E27" s="209" t="s">
        <v>396</v>
      </c>
      <c r="F27" s="209" t="s">
        <v>395</v>
      </c>
      <c r="G27" s="209" t="s">
        <v>394</v>
      </c>
      <c r="H27" s="209" t="s">
        <v>55</v>
      </c>
      <c r="I27" s="209" t="s">
        <v>393</v>
      </c>
      <c r="J27" s="207" t="s">
        <v>108</v>
      </c>
      <c r="K27" s="207" t="s">
        <v>57</v>
      </c>
      <c r="L27" s="208" t="s">
        <v>392</v>
      </c>
      <c r="M27" s="207" t="s">
        <v>108</v>
      </c>
      <c r="N27" s="207" t="s">
        <v>391</v>
      </c>
      <c r="O27" s="629"/>
      <c r="P27" s="629"/>
      <c r="Q27" s="629"/>
      <c r="R27" s="1169"/>
    </row>
    <row r="28" spans="1:18" s="53" customFormat="1" ht="24.95" customHeight="1" x14ac:dyDescent="0.25">
      <c r="A28" s="206">
        <v>1</v>
      </c>
      <c r="B28" s="30" t="s">
        <v>68</v>
      </c>
      <c r="C28" s="31">
        <v>3799.3799999999997</v>
      </c>
      <c r="D28" s="32">
        <v>402.09</v>
      </c>
      <c r="E28" s="32">
        <v>402.09</v>
      </c>
      <c r="F28" s="32">
        <v>28.59</v>
      </c>
      <c r="G28" s="31">
        <v>156.74</v>
      </c>
      <c r="H28" s="54">
        <f t="shared" ref="H28:H37" si="5">(E28+F28)/D28</f>
        <v>1.0711034842945608</v>
      </c>
      <c r="I28" s="31">
        <v>4481.2</v>
      </c>
      <c r="J28" s="32">
        <v>4.3499999999999996</v>
      </c>
      <c r="K28" s="34">
        <f t="shared" ref="K28:K37" si="6">J28/D28</f>
        <v>1.0818473476087442E-2</v>
      </c>
      <c r="L28" s="204">
        <f t="shared" ref="L28:L37" si="7">J28*G28</f>
        <v>681.81899999999996</v>
      </c>
      <c r="M28" s="203">
        <f t="shared" ref="M28:M37" si="8">((E28+F28)-D28)-J28</f>
        <v>24.239999999999974</v>
      </c>
      <c r="N28" s="35">
        <f t="shared" ref="N28:N37" si="9">M28/D28</f>
        <v>6.0285010818473414E-2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205">
        <v>2</v>
      </c>
      <c r="B29" s="30" t="s">
        <v>80</v>
      </c>
      <c r="C29" s="31">
        <v>3307</v>
      </c>
      <c r="D29" s="32">
        <v>351.39</v>
      </c>
      <c r="E29" s="32">
        <v>351.39</v>
      </c>
      <c r="F29" s="32">
        <v>24.99</v>
      </c>
      <c r="G29" s="31">
        <v>156.72999999999999</v>
      </c>
      <c r="H29" s="54">
        <f t="shared" si="5"/>
        <v>1.0711175616835995</v>
      </c>
      <c r="I29" s="31">
        <v>3916.68</v>
      </c>
      <c r="J29" s="32">
        <v>3.89</v>
      </c>
      <c r="K29" s="34">
        <f t="shared" si="6"/>
        <v>1.1070320726258574E-2</v>
      </c>
      <c r="L29" s="204">
        <f t="shared" si="7"/>
        <v>609.67970000000003</v>
      </c>
      <c r="M29" s="203">
        <f t="shared" si="8"/>
        <v>21.100000000000009</v>
      </c>
      <c r="N29" s="35">
        <f t="shared" si="9"/>
        <v>6.0047240957340875E-2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205">
        <v>3</v>
      </c>
      <c r="B30" s="30" t="s">
        <v>70</v>
      </c>
      <c r="C30" s="31">
        <v>2279.65</v>
      </c>
      <c r="D30" s="32">
        <v>38.46</v>
      </c>
      <c r="E30" s="32">
        <v>38.46</v>
      </c>
      <c r="F30" s="32">
        <v>3.04</v>
      </c>
      <c r="G30" s="31">
        <v>814.16</v>
      </c>
      <c r="H30" s="54">
        <f t="shared" si="5"/>
        <v>1.0790431617264691</v>
      </c>
      <c r="I30" s="31">
        <v>2475.0500000000002</v>
      </c>
      <c r="J30" s="57">
        <v>0.24</v>
      </c>
      <c r="K30" s="34">
        <f t="shared" si="6"/>
        <v>6.2402496099843987E-3</v>
      </c>
      <c r="L30" s="204">
        <f t="shared" si="7"/>
        <v>195.39839999999998</v>
      </c>
      <c r="M30" s="203">
        <f t="shared" si="8"/>
        <v>2.7999999999999989</v>
      </c>
      <c r="N30" s="35">
        <f t="shared" si="9"/>
        <v>7.2802912116484625E-2</v>
      </c>
      <c r="O30" s="55" t="s">
        <v>133</v>
      </c>
      <c r="P30" s="56" t="s">
        <v>441</v>
      </c>
      <c r="Q30" s="56" t="s">
        <v>590</v>
      </c>
      <c r="R30" s="37" t="s">
        <v>71</v>
      </c>
    </row>
    <row r="31" spans="1:18" s="53" customFormat="1" ht="24.95" customHeight="1" x14ac:dyDescent="0.25">
      <c r="A31" s="206">
        <v>4</v>
      </c>
      <c r="B31" s="30" t="s">
        <v>87</v>
      </c>
      <c r="C31" s="31">
        <v>2270.27</v>
      </c>
      <c r="D31" s="32">
        <v>229.77</v>
      </c>
      <c r="E31" s="32">
        <v>229.77</v>
      </c>
      <c r="F31" s="32">
        <v>12.7</v>
      </c>
      <c r="G31" s="31">
        <v>194.04</v>
      </c>
      <c r="H31" s="54">
        <f t="shared" si="5"/>
        <v>1.0552726639683161</v>
      </c>
      <c r="I31" s="31">
        <v>2464.31</v>
      </c>
      <c r="J31" s="32">
        <v>1</v>
      </c>
      <c r="K31" s="34">
        <f t="shared" si="6"/>
        <v>4.352178265221743E-3</v>
      </c>
      <c r="L31" s="204">
        <f t="shared" si="7"/>
        <v>194.04</v>
      </c>
      <c r="M31" s="203">
        <f t="shared" si="8"/>
        <v>11.699999999999989</v>
      </c>
      <c r="N31" s="35">
        <f t="shared" si="9"/>
        <v>5.0920485703094348E-2</v>
      </c>
      <c r="O31" s="55" t="s">
        <v>133</v>
      </c>
      <c r="P31" s="56" t="s">
        <v>25</v>
      </c>
      <c r="Q31" s="56" t="s">
        <v>135</v>
      </c>
      <c r="R31" s="37" t="s">
        <v>88</v>
      </c>
    </row>
    <row r="32" spans="1:18" s="53" customFormat="1" ht="24.95" customHeight="1" x14ac:dyDescent="0.25">
      <c r="A32" s="205">
        <v>5</v>
      </c>
      <c r="B32" s="30" t="s">
        <v>62</v>
      </c>
      <c r="C32" s="31">
        <v>1939.33</v>
      </c>
      <c r="D32" s="32">
        <v>358.5</v>
      </c>
      <c r="E32" s="32">
        <v>358.5</v>
      </c>
      <c r="F32" s="32">
        <v>19.829999999999998</v>
      </c>
      <c r="G32" s="31">
        <v>111.2</v>
      </c>
      <c r="H32" s="54">
        <f t="shared" si="5"/>
        <v>1.0553138075313806</v>
      </c>
      <c r="I32" s="31">
        <v>2205.1</v>
      </c>
      <c r="J32" s="32">
        <v>2.39</v>
      </c>
      <c r="K32" s="34">
        <f t="shared" si="6"/>
        <v>6.6666666666666671E-3</v>
      </c>
      <c r="L32" s="204">
        <f t="shared" si="7"/>
        <v>265.76800000000003</v>
      </c>
      <c r="M32" s="203">
        <f t="shared" si="8"/>
        <v>17.439999999999984</v>
      </c>
      <c r="N32" s="35">
        <f t="shared" si="9"/>
        <v>4.8647140864714042E-2</v>
      </c>
      <c r="O32" s="55" t="s">
        <v>133</v>
      </c>
      <c r="P32" s="56" t="s">
        <v>25</v>
      </c>
      <c r="Q32" s="56" t="s">
        <v>135</v>
      </c>
      <c r="R32" s="37" t="s">
        <v>63</v>
      </c>
    </row>
    <row r="33" spans="1:18" s="53" customFormat="1" ht="24.95" customHeight="1" x14ac:dyDescent="0.25">
      <c r="A33" s="206">
        <v>6</v>
      </c>
      <c r="B33" s="30" t="s">
        <v>179</v>
      </c>
      <c r="C33" s="31">
        <v>1903.84</v>
      </c>
      <c r="D33" s="32">
        <v>177.2</v>
      </c>
      <c r="E33" s="32">
        <v>177.2</v>
      </c>
      <c r="F33" s="32">
        <v>12.6</v>
      </c>
      <c r="G33" s="31">
        <v>166.42</v>
      </c>
      <c r="H33" s="54">
        <f t="shared" si="5"/>
        <v>1.0711060948081264</v>
      </c>
      <c r="I33" s="31">
        <v>2096.89</v>
      </c>
      <c r="J33" s="32">
        <v>1.1599999999999999</v>
      </c>
      <c r="K33" s="34">
        <f t="shared" si="6"/>
        <v>6.5462753950338596E-3</v>
      </c>
      <c r="L33" s="204">
        <f t="shared" si="7"/>
        <v>193.04719999999998</v>
      </c>
      <c r="M33" s="203">
        <f t="shared" si="8"/>
        <v>11.439999999999994</v>
      </c>
      <c r="N33" s="35">
        <f t="shared" si="9"/>
        <v>6.4559819413092523E-2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205">
        <v>7</v>
      </c>
      <c r="B34" s="30" t="s">
        <v>183</v>
      </c>
      <c r="C34" s="31">
        <v>1775.99</v>
      </c>
      <c r="D34" s="32">
        <v>101.24</v>
      </c>
      <c r="E34" s="32">
        <v>101.24</v>
      </c>
      <c r="F34" s="32">
        <v>4.8</v>
      </c>
      <c r="G34" s="31">
        <v>410.16</v>
      </c>
      <c r="H34" s="54">
        <f t="shared" si="5"/>
        <v>1.0474120900829711</v>
      </c>
      <c r="I34" s="31">
        <v>1968.77</v>
      </c>
      <c r="J34" s="32">
        <v>0.47</v>
      </c>
      <c r="K34" s="34">
        <f t="shared" si="6"/>
        <v>4.6424338206242591E-3</v>
      </c>
      <c r="L34" s="204">
        <f t="shared" si="7"/>
        <v>192.77520000000001</v>
      </c>
      <c r="M34" s="203">
        <f t="shared" si="8"/>
        <v>4.3299999999999974</v>
      </c>
      <c r="N34" s="35">
        <f t="shared" si="9"/>
        <v>4.2769656262346877E-2</v>
      </c>
      <c r="O34" s="55" t="s">
        <v>133</v>
      </c>
      <c r="P34" s="56" t="s">
        <v>27</v>
      </c>
      <c r="Q34" s="56" t="s">
        <v>134</v>
      </c>
      <c r="R34" s="37" t="s">
        <v>59</v>
      </c>
    </row>
    <row r="35" spans="1:18" s="53" customFormat="1" ht="24.95" customHeight="1" x14ac:dyDescent="0.25">
      <c r="A35" s="206">
        <v>8</v>
      </c>
      <c r="B35" s="30" t="s">
        <v>92</v>
      </c>
      <c r="C35" s="31">
        <v>1646.3100000000002</v>
      </c>
      <c r="D35" s="32">
        <v>114.35</v>
      </c>
      <c r="E35" s="32">
        <v>114.35</v>
      </c>
      <c r="F35" s="32">
        <v>9.0399999999999991</v>
      </c>
      <c r="G35" s="31">
        <v>203.5</v>
      </c>
      <c r="H35" s="54">
        <f t="shared" si="5"/>
        <v>1.079055531263664</v>
      </c>
      <c r="I35" s="31">
        <v>1839.64</v>
      </c>
      <c r="J35" s="32">
        <v>0.95</v>
      </c>
      <c r="K35" s="34">
        <f t="shared" si="6"/>
        <v>8.3078268473983381E-3</v>
      </c>
      <c r="L35" s="204">
        <f t="shared" si="7"/>
        <v>193.32499999999999</v>
      </c>
      <c r="M35" s="203">
        <f t="shared" si="8"/>
        <v>8.0899999999999928</v>
      </c>
      <c r="N35" s="35">
        <f t="shared" si="9"/>
        <v>7.0747704416265794E-2</v>
      </c>
      <c r="O35" s="55" t="s">
        <v>133</v>
      </c>
      <c r="P35" s="56" t="s">
        <v>25</v>
      </c>
      <c r="Q35" s="56" t="s">
        <v>136</v>
      </c>
      <c r="R35" s="37" t="s">
        <v>59</v>
      </c>
    </row>
    <row r="36" spans="1:18" s="53" customFormat="1" ht="24.95" customHeight="1" x14ac:dyDescent="0.25">
      <c r="A36" s="205">
        <v>9</v>
      </c>
      <c r="B36" s="30" t="s">
        <v>218</v>
      </c>
      <c r="C36" s="31">
        <v>1645.0100000000002</v>
      </c>
      <c r="D36" s="32">
        <v>225.01</v>
      </c>
      <c r="E36" s="32">
        <v>225.01</v>
      </c>
      <c r="F36" s="32">
        <v>12.44</v>
      </c>
      <c r="G36" s="31">
        <v>147.80000000000001</v>
      </c>
      <c r="H36" s="54">
        <f t="shared" si="5"/>
        <v>1.0552864317141459</v>
      </c>
      <c r="I36" s="31">
        <v>1838.63</v>
      </c>
      <c r="J36" s="32">
        <v>1.31</v>
      </c>
      <c r="K36" s="34">
        <f t="shared" si="6"/>
        <v>5.8219634682902983E-3</v>
      </c>
      <c r="L36" s="204">
        <f t="shared" si="7"/>
        <v>193.61800000000002</v>
      </c>
      <c r="M36" s="203">
        <f t="shared" si="8"/>
        <v>11.129999999999997</v>
      </c>
      <c r="N36" s="35">
        <f t="shared" si="9"/>
        <v>4.9464468245855729E-2</v>
      </c>
      <c r="O36" s="55" t="s">
        <v>133</v>
      </c>
      <c r="P36" s="56" t="s">
        <v>25</v>
      </c>
      <c r="Q36" s="56" t="s">
        <v>135</v>
      </c>
      <c r="R36" s="37" t="s">
        <v>219</v>
      </c>
    </row>
    <row r="37" spans="1:18" s="53" customFormat="1" ht="24.95" customHeight="1" thickBot="1" x14ac:dyDescent="0.3">
      <c r="A37" s="202">
        <v>10</v>
      </c>
      <c r="B37" s="40" t="s">
        <v>304</v>
      </c>
      <c r="C37" s="41">
        <v>1601.1399999999999</v>
      </c>
      <c r="D37" s="42">
        <v>89.24</v>
      </c>
      <c r="E37" s="42">
        <v>89.24</v>
      </c>
      <c r="F37" s="42">
        <v>5.64</v>
      </c>
      <c r="G37" s="41">
        <v>318.32</v>
      </c>
      <c r="H37" s="58">
        <f t="shared" si="5"/>
        <v>1.0632003585835947</v>
      </c>
      <c r="I37" s="41">
        <v>1795.32</v>
      </c>
      <c r="J37" s="42">
        <v>0.61</v>
      </c>
      <c r="K37" s="44">
        <f t="shared" si="6"/>
        <v>6.8354997758852537E-3</v>
      </c>
      <c r="L37" s="201">
        <f t="shared" si="7"/>
        <v>194.17519999999999</v>
      </c>
      <c r="M37" s="200">
        <f t="shared" si="8"/>
        <v>5.03</v>
      </c>
      <c r="N37" s="45">
        <f t="shared" si="9"/>
        <v>5.6364858807709556E-2</v>
      </c>
      <c r="O37" s="59" t="s">
        <v>133</v>
      </c>
      <c r="P37" s="60" t="s">
        <v>27</v>
      </c>
      <c r="Q37" s="60" t="s">
        <v>138</v>
      </c>
      <c r="R37" s="61" t="s">
        <v>77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390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389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184" t="s">
        <v>388</v>
      </c>
      <c r="B41" s="623" t="s">
        <v>387</v>
      </c>
      <c r="C41" s="623"/>
      <c r="D41" s="624"/>
      <c r="E41" s="62"/>
      <c r="G41" s="64"/>
      <c r="H41" s="65"/>
    </row>
    <row r="42" spans="1:18" ht="20.45" customHeight="1" x14ac:dyDescent="0.35">
      <c r="A42" s="1184"/>
      <c r="B42" s="1185" t="s">
        <v>386</v>
      </c>
      <c r="C42" s="1186" t="s">
        <v>385</v>
      </c>
      <c r="D42" s="1169" t="s">
        <v>384</v>
      </c>
      <c r="E42" s="62"/>
      <c r="G42" s="64"/>
      <c r="H42" s="65"/>
    </row>
    <row r="43" spans="1:18" ht="20.45" customHeight="1" x14ac:dyDescent="0.35">
      <c r="A43" s="1184"/>
      <c r="B43" s="1185"/>
      <c r="C43" s="1186"/>
      <c r="D43" s="1169"/>
      <c r="E43" s="62"/>
      <c r="G43" s="64"/>
      <c r="H43" s="65"/>
    </row>
    <row r="44" spans="1:18" s="68" customFormat="1" ht="24.95" customHeight="1" x14ac:dyDescent="0.35">
      <c r="A44" s="199">
        <v>1</v>
      </c>
      <c r="B44" s="30" t="s">
        <v>58</v>
      </c>
      <c r="C44" s="31">
        <v>2044.09</v>
      </c>
      <c r="D44" s="66">
        <f t="shared" ref="D44:D53" si="10">C44/$L$5</f>
        <v>0.30993883374727443</v>
      </c>
      <c r="E44" s="67"/>
      <c r="G44" s="64"/>
      <c r="H44" s="65"/>
    </row>
    <row r="45" spans="1:18" s="68" customFormat="1" ht="24.95" customHeight="1" x14ac:dyDescent="0.35">
      <c r="A45" s="198">
        <v>2</v>
      </c>
      <c r="B45" s="30" t="s">
        <v>68</v>
      </c>
      <c r="C45" s="31">
        <v>681.82</v>
      </c>
      <c r="D45" s="66">
        <f t="shared" si="10"/>
        <v>0.10338218748957564</v>
      </c>
      <c r="E45" s="67"/>
      <c r="G45" s="64"/>
      <c r="H45" s="65"/>
    </row>
    <row r="46" spans="1:18" s="68" customFormat="1" ht="24.95" customHeight="1" x14ac:dyDescent="0.35">
      <c r="A46" s="198">
        <v>3</v>
      </c>
      <c r="B46" s="30" t="s">
        <v>80</v>
      </c>
      <c r="C46" s="31">
        <v>609.67999999999995</v>
      </c>
      <c r="D46" s="66">
        <f t="shared" si="10"/>
        <v>9.244382985046562E-2</v>
      </c>
      <c r="E46" s="67"/>
      <c r="G46" s="64"/>
      <c r="H46" s="65"/>
    </row>
    <row r="47" spans="1:18" s="68" customFormat="1" ht="24.95" customHeight="1" x14ac:dyDescent="0.35">
      <c r="A47" s="199">
        <v>4</v>
      </c>
      <c r="B47" s="30" t="s">
        <v>69</v>
      </c>
      <c r="C47" s="31">
        <v>315</v>
      </c>
      <c r="D47" s="66">
        <f t="shared" si="10"/>
        <v>4.7762443253668602E-2</v>
      </c>
      <c r="E47" s="67"/>
      <c r="G47" s="64"/>
      <c r="H47" s="65"/>
    </row>
    <row r="48" spans="1:18" s="68" customFormat="1" ht="24.95" customHeight="1" x14ac:dyDescent="0.35">
      <c r="A48" s="198">
        <v>5</v>
      </c>
      <c r="B48" s="30" t="s">
        <v>254</v>
      </c>
      <c r="C48" s="31">
        <v>284.06</v>
      </c>
      <c r="D48" s="66">
        <f t="shared" si="10"/>
        <v>4.3071109938530486E-2</v>
      </c>
      <c r="E48" s="67"/>
      <c r="G48" s="64"/>
      <c r="H48" s="65"/>
    </row>
    <row r="49" spans="1:5" s="68" customFormat="1" ht="24.95" customHeight="1" x14ac:dyDescent="0.25">
      <c r="A49" s="199">
        <v>6</v>
      </c>
      <c r="B49" s="30" t="s">
        <v>253</v>
      </c>
      <c r="C49" s="31">
        <v>252.65</v>
      </c>
      <c r="D49" s="66">
        <f t="shared" si="10"/>
        <v>3.8308512025521817E-2</v>
      </c>
      <c r="E49" s="67"/>
    </row>
    <row r="50" spans="1:5" s="68" customFormat="1" ht="24.95" customHeight="1" x14ac:dyDescent="0.25">
      <c r="A50" s="198">
        <v>7</v>
      </c>
      <c r="B50" s="30" t="s">
        <v>64</v>
      </c>
      <c r="C50" s="31">
        <v>232.19</v>
      </c>
      <c r="D50" s="66">
        <f t="shared" si="10"/>
        <v>3.5206227616093058E-2</v>
      </c>
      <c r="E50" s="67"/>
    </row>
    <row r="51" spans="1:5" s="68" customFormat="1" ht="24.95" customHeight="1" x14ac:dyDescent="0.25">
      <c r="A51" s="199">
        <v>8</v>
      </c>
      <c r="B51" s="30" t="s">
        <v>166</v>
      </c>
      <c r="C51" s="31">
        <v>206.18</v>
      </c>
      <c r="D51" s="66">
        <f t="shared" si="10"/>
        <v>3.1262414444575851E-2</v>
      </c>
      <c r="E51" s="67"/>
    </row>
    <row r="52" spans="1:5" s="68" customFormat="1" ht="24.95" customHeight="1" x14ac:dyDescent="0.25">
      <c r="A52" s="198">
        <v>9</v>
      </c>
      <c r="B52" s="30" t="s">
        <v>268</v>
      </c>
      <c r="C52" s="31">
        <v>193.91</v>
      </c>
      <c r="D52" s="66">
        <f t="shared" si="10"/>
        <v>2.9401953559742473E-2</v>
      </c>
      <c r="E52" s="67"/>
    </row>
    <row r="53" spans="1:5" s="68" customFormat="1" ht="24.95" customHeight="1" thickBot="1" x14ac:dyDescent="0.3">
      <c r="A53" s="197">
        <v>10</v>
      </c>
      <c r="B53" s="40" t="s">
        <v>91</v>
      </c>
      <c r="C53" s="41">
        <v>193.73</v>
      </c>
      <c r="D53" s="69">
        <f t="shared" si="10"/>
        <v>2.9374660735026089E-2</v>
      </c>
      <c r="E53" s="67"/>
    </row>
    <row r="54" spans="1:5" x14ac:dyDescent="0.25">
      <c r="A54" s="614" t="s">
        <v>383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382</v>
      </c>
      <c r="B56" s="615"/>
      <c r="C56" s="615"/>
      <c r="D56" s="615"/>
      <c r="E56" s="615"/>
    </row>
  </sheetData>
  <dataConsolidate/>
  <mergeCells count="56">
    <mergeCell ref="A39:D39"/>
    <mergeCell ref="A23:R23"/>
    <mergeCell ref="A24:C24"/>
    <mergeCell ref="D24:N24"/>
    <mergeCell ref="O24:O27"/>
    <mergeCell ref="Q24:Q27"/>
    <mergeCell ref="R24:R27"/>
    <mergeCell ref="D26:I26"/>
    <mergeCell ref="J26:L26"/>
    <mergeCell ref="M26:N26"/>
    <mergeCell ref="P8:P11"/>
    <mergeCell ref="P24:P27"/>
    <mergeCell ref="A54:E55"/>
    <mergeCell ref="A56:E56"/>
    <mergeCell ref="A40:D40"/>
    <mergeCell ref="A41:A43"/>
    <mergeCell ref="B41:D41"/>
    <mergeCell ref="B42:B43"/>
    <mergeCell ref="C42:C43"/>
    <mergeCell ref="D42:D43"/>
    <mergeCell ref="A25:A27"/>
    <mergeCell ref="B25:C25"/>
    <mergeCell ref="D25:I25"/>
    <mergeCell ref="J25:N25"/>
    <mergeCell ref="B26:B27"/>
    <mergeCell ref="C26:C27"/>
    <mergeCell ref="D9:I9"/>
    <mergeCell ref="J9:N9"/>
    <mergeCell ref="B10:B11"/>
    <mergeCell ref="C10:C11"/>
    <mergeCell ref="D10:I10"/>
    <mergeCell ref="J10:K10"/>
    <mergeCell ref="L10:N10"/>
    <mergeCell ref="J3:K3"/>
    <mergeCell ref="L3:M3"/>
    <mergeCell ref="A5:C5"/>
    <mergeCell ref="A7:R7"/>
    <mergeCell ref="A8:C8"/>
    <mergeCell ref="D8:N8"/>
    <mergeCell ref="O8:O11"/>
    <mergeCell ref="Q8:Q11"/>
    <mergeCell ref="R8:R11"/>
    <mergeCell ref="A9:A11"/>
    <mergeCell ref="B9:C9"/>
    <mergeCell ref="A3:B4"/>
    <mergeCell ref="C3:C4"/>
    <mergeCell ref="D3:E3"/>
    <mergeCell ref="F3:G3"/>
    <mergeCell ref="H3:I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303" priority="33" operator="containsText" text="024">
      <formula>NOT(ISERROR(SEARCH("024",A12)))</formula>
    </cfRule>
    <cfRule type="containsText" dxfId="302" priority="34" operator="containsText" text="白醬">
      <formula>NOT(ISERROR(SEARCH("白醬",A12)))</formula>
    </cfRule>
    <cfRule type="containsText" dxfId="301" priority="35" operator="containsText" text="青蔥">
      <formula>NOT(ISERROR(SEARCH("青蔥",A12)))</formula>
    </cfRule>
    <cfRule type="containsText" dxfId="300" priority="36" operator="containsText" text=")川燙小青花菜">
      <formula>NOT(ISERROR(SEARCH(")川燙小青花菜",A12)))</formula>
    </cfRule>
    <cfRule type="containsText" dxfId="299" priority="37" operator="containsText" text="湯凍">
      <formula>NOT(ISERROR(SEARCH("湯凍",A12)))</formula>
    </cfRule>
    <cfRule type="containsText" dxfId="298" priority="38" operator="containsText" text="中華">
      <formula>NOT(ISERROR(SEARCH("中華",A12)))</formula>
    </cfRule>
  </conditionalFormatting>
  <conditionalFormatting sqref="A12:A22">
    <cfRule type="containsText" dxfId="297" priority="31" operator="containsText" text="綠豆芽">
      <formula>NOT(ISERROR(SEARCH("綠豆芽",A12)))</formula>
    </cfRule>
    <cfRule type="containsText" dxfId="296" priority="32" operator="containsText" text="煮白細麵生(方#12)">
      <formula>NOT(ISERROR(SEARCH("煮白細麵生(方#12)",A12)))</formula>
    </cfRule>
  </conditionalFormatting>
  <conditionalFormatting sqref="E5">
    <cfRule type="cellIs" dxfId="295" priority="16" operator="greaterThan">
      <formula>0.0025</formula>
    </cfRule>
    <cfRule type="cellIs" dxfId="294" priority="19" operator="greaterThan">
      <formula>0.0025</formula>
    </cfRule>
    <cfRule type="cellIs" dxfId="293" priority="29" operator="greaterThan">
      <formula>0.072</formula>
    </cfRule>
    <cfRule type="cellIs" dxfId="292" priority="30" operator="greaterThan">
      <formula>7.2</formula>
    </cfRule>
  </conditionalFormatting>
  <conditionalFormatting sqref="E5">
    <cfRule type="cellIs" dxfId="291" priority="28" operator="greaterThan">
      <formula>0.0025</formula>
    </cfRule>
  </conditionalFormatting>
  <conditionalFormatting sqref="A44:A53">
    <cfRule type="containsText" dxfId="290" priority="22" operator="containsText" text="024">
      <formula>NOT(ISERROR(SEARCH("024",A44)))</formula>
    </cfRule>
    <cfRule type="containsText" dxfId="289" priority="23" operator="containsText" text="白醬">
      <formula>NOT(ISERROR(SEARCH("白醬",A44)))</formula>
    </cfRule>
    <cfRule type="containsText" dxfId="288" priority="24" operator="containsText" text="青蔥">
      <formula>NOT(ISERROR(SEARCH("青蔥",A44)))</formula>
    </cfRule>
    <cfRule type="containsText" dxfId="287" priority="25" operator="containsText" text=")川燙小青花菜">
      <formula>NOT(ISERROR(SEARCH(")川燙小青花菜",A44)))</formula>
    </cfRule>
    <cfRule type="containsText" dxfId="286" priority="26" operator="containsText" text="湯凍">
      <formula>NOT(ISERROR(SEARCH("湯凍",A44)))</formula>
    </cfRule>
    <cfRule type="containsText" dxfId="285" priority="27" operator="containsText" text="中華">
      <formula>NOT(ISERROR(SEARCH("中華",A44)))</formula>
    </cfRule>
  </conditionalFormatting>
  <conditionalFormatting sqref="A44:A53">
    <cfRule type="containsText" dxfId="284" priority="20" operator="containsText" text="綠豆芽">
      <formula>NOT(ISERROR(SEARCH("綠豆芽",A44)))</formula>
    </cfRule>
    <cfRule type="containsText" dxfId="283" priority="21" operator="containsText" text="煮白細麵生(方#12)">
      <formula>NOT(ISERROR(SEARCH("煮白細麵生(方#12)",A44)))</formula>
    </cfRule>
  </conditionalFormatting>
  <conditionalFormatting sqref="D44:D53">
    <cfRule type="cellIs" dxfId="282" priority="18" operator="greaterThan">
      <formula>0.146</formula>
    </cfRule>
  </conditionalFormatting>
  <conditionalFormatting sqref="H12:H22">
    <cfRule type="cellIs" dxfId="281" priority="17" operator="greaterThan">
      <formula>1.1</formula>
    </cfRule>
  </conditionalFormatting>
  <conditionalFormatting sqref="I5">
    <cfRule type="cellIs" dxfId="280" priority="15" operator="greaterThan">
      <formula>0.2</formula>
    </cfRule>
  </conditionalFormatting>
  <conditionalFormatting sqref="A28:A37">
    <cfRule type="containsText" dxfId="279" priority="9" operator="containsText" text="024">
      <formula>NOT(ISERROR(SEARCH("024",A28)))</formula>
    </cfRule>
    <cfRule type="containsText" dxfId="278" priority="10" operator="containsText" text="白醬">
      <formula>NOT(ISERROR(SEARCH("白醬",A28)))</formula>
    </cfRule>
    <cfRule type="containsText" dxfId="277" priority="11" operator="containsText" text="青蔥">
      <formula>NOT(ISERROR(SEARCH("青蔥",A28)))</formula>
    </cfRule>
    <cfRule type="containsText" dxfId="276" priority="12" operator="containsText" text=")川燙小青花菜">
      <formula>NOT(ISERROR(SEARCH(")川燙小青花菜",A28)))</formula>
    </cfRule>
    <cfRule type="containsText" dxfId="275" priority="13" operator="containsText" text="湯凍">
      <formula>NOT(ISERROR(SEARCH("湯凍",A28)))</formula>
    </cfRule>
    <cfRule type="containsText" dxfId="274" priority="14" operator="containsText" text="中華">
      <formula>NOT(ISERROR(SEARCH("中華",A28)))</formula>
    </cfRule>
  </conditionalFormatting>
  <conditionalFormatting sqref="A28:A37">
    <cfRule type="containsText" dxfId="273" priority="7" operator="containsText" text="綠豆芽">
      <formula>NOT(ISERROR(SEARCH("綠豆芽",A28)))</formula>
    </cfRule>
    <cfRule type="containsText" dxfId="272" priority="8" operator="containsText" text="煮白細麵生(方#12)">
      <formula>NOT(ISERROR(SEARCH("煮白細麵生(方#12)",A28)))</formula>
    </cfRule>
  </conditionalFormatting>
  <conditionalFormatting sqref="H28:H37">
    <cfRule type="cellIs" dxfId="271" priority="6" operator="greaterThan">
      <formula>1.1</formula>
    </cfRule>
  </conditionalFormatting>
  <conditionalFormatting sqref="G5">
    <cfRule type="cellIs" dxfId="270" priority="1" operator="greaterThan">
      <formula>0.0025</formula>
    </cfRule>
    <cfRule type="cellIs" dxfId="269" priority="2" operator="greaterThan">
      <formula>0.0025</formula>
    </cfRule>
    <cfRule type="cellIs" dxfId="268" priority="4" operator="greaterThan">
      <formula>0.072</formula>
    </cfRule>
    <cfRule type="cellIs" dxfId="267" priority="5" operator="greaterThan">
      <formula>7.2</formula>
    </cfRule>
  </conditionalFormatting>
  <conditionalFormatting sqref="G5">
    <cfRule type="cellIs" dxfId="26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5" zoomScale="60" zoomScaleNormal="60" zoomScaleSheetLayoutView="70" workbookViewId="0">
      <selection activeCell="Q31" sqref="Q3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209" t="s">
        <v>31</v>
      </c>
      <c r="B2" s="1210"/>
      <c r="C2" s="179" t="s">
        <v>32</v>
      </c>
      <c r="D2" s="1211" t="s">
        <v>33</v>
      </c>
      <c r="E2" s="1211"/>
      <c r="F2" s="1211" t="s">
        <v>34</v>
      </c>
      <c r="G2" s="1211"/>
      <c r="H2" s="1211" t="s">
        <v>33</v>
      </c>
      <c r="I2" s="1211"/>
      <c r="J2" s="1211" t="s">
        <v>34</v>
      </c>
      <c r="K2" s="1211"/>
      <c r="L2" s="1211" t="s">
        <v>33</v>
      </c>
      <c r="M2" s="1212"/>
      <c r="R2" s="17"/>
    </row>
    <row r="3" spans="1:18" s="18" customFormat="1" ht="28.5" x14ac:dyDescent="0.45">
      <c r="A3" s="1206">
        <v>45907</v>
      </c>
      <c r="B3" s="1207"/>
      <c r="C3" s="1208">
        <v>6259452.2499999981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206"/>
      <c r="B4" s="1207"/>
      <c r="C4" s="1208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204" t="s">
        <v>44</v>
      </c>
      <c r="B5" s="1205"/>
      <c r="C5" s="1205"/>
      <c r="D5" s="180">
        <v>15270.669999999995</v>
      </c>
      <c r="E5" s="22">
        <f>D5/C3</f>
        <v>2.4396176198963732E-3</v>
      </c>
      <c r="F5" s="180">
        <v>48749.270000000019</v>
      </c>
      <c r="G5" s="23">
        <f>F5/C3</f>
        <v>7.7881047818521235E-3</v>
      </c>
      <c r="H5" s="24">
        <f>SUM(C12:C21)</f>
        <v>4584.7599999999993</v>
      </c>
      <c r="I5" s="25">
        <f>H5/D5</f>
        <v>0.3002330611557974</v>
      </c>
      <c r="J5" s="24">
        <f>SUM(C28:C37)</f>
        <v>21761.21</v>
      </c>
      <c r="K5" s="26">
        <f>J5/F5</f>
        <v>0.44639047928307418</v>
      </c>
      <c r="L5" s="27">
        <v>4706.2600000000011</v>
      </c>
      <c r="M5" s="28">
        <f>L5/D5</f>
        <v>0.30818949004857044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347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348</v>
      </c>
      <c r="B8" s="620"/>
      <c r="C8" s="620"/>
      <c r="D8" s="620" t="s">
        <v>349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350</v>
      </c>
      <c r="P8" s="630" t="s">
        <v>351</v>
      </c>
      <c r="Q8" s="629" t="s">
        <v>352</v>
      </c>
      <c r="R8" s="1191" t="s">
        <v>353</v>
      </c>
    </row>
    <row r="9" spans="1:18" ht="20.45" customHeight="1" x14ac:dyDescent="0.25">
      <c r="A9" s="1192" t="s">
        <v>354</v>
      </c>
      <c r="B9" s="634" t="s">
        <v>355</v>
      </c>
      <c r="C9" s="635"/>
      <c r="D9" s="636" t="s">
        <v>356</v>
      </c>
      <c r="E9" s="636"/>
      <c r="F9" s="636"/>
      <c r="G9" s="636"/>
      <c r="H9" s="636"/>
      <c r="I9" s="636"/>
      <c r="J9" s="637" t="s">
        <v>357</v>
      </c>
      <c r="K9" s="637"/>
      <c r="L9" s="637"/>
      <c r="M9" s="638"/>
      <c r="N9" s="638"/>
      <c r="O9" s="629"/>
      <c r="P9" s="629"/>
      <c r="Q9" s="629"/>
      <c r="R9" s="1191"/>
    </row>
    <row r="10" spans="1:18" ht="20.45" customHeight="1" x14ac:dyDescent="0.3">
      <c r="A10" s="1193"/>
      <c r="B10" s="1195" t="s">
        <v>358</v>
      </c>
      <c r="C10" s="1197" t="s">
        <v>359</v>
      </c>
      <c r="D10" s="1199" t="s">
        <v>360</v>
      </c>
      <c r="E10" s="1199"/>
      <c r="F10" s="1199"/>
      <c r="G10" s="1199"/>
      <c r="H10" s="1199"/>
      <c r="I10" s="1199"/>
      <c r="J10" s="1200" t="s">
        <v>361</v>
      </c>
      <c r="K10" s="1202"/>
      <c r="L10" s="1203" t="s">
        <v>362</v>
      </c>
      <c r="M10" s="1200"/>
      <c r="N10" s="1200"/>
      <c r="O10" s="629"/>
      <c r="P10" s="629"/>
      <c r="Q10" s="629"/>
      <c r="R10" s="1191"/>
    </row>
    <row r="11" spans="1:18" s="29" customFormat="1" ht="47.25" customHeight="1" x14ac:dyDescent="0.25">
      <c r="A11" s="1194"/>
      <c r="B11" s="1196"/>
      <c r="C11" s="1198"/>
      <c r="D11" s="181" t="s">
        <v>363</v>
      </c>
      <c r="E11" s="181" t="s">
        <v>364</v>
      </c>
      <c r="F11" s="181" t="s">
        <v>365</v>
      </c>
      <c r="G11" s="181" t="s">
        <v>366</v>
      </c>
      <c r="H11" s="181" t="s">
        <v>367</v>
      </c>
      <c r="I11" s="181" t="s">
        <v>368</v>
      </c>
      <c r="J11" s="182" t="s">
        <v>369</v>
      </c>
      <c r="K11" s="182" t="s">
        <v>370</v>
      </c>
      <c r="L11" s="182" t="s">
        <v>369</v>
      </c>
      <c r="M11" s="182" t="s">
        <v>370</v>
      </c>
      <c r="N11" s="183" t="s">
        <v>371</v>
      </c>
      <c r="O11" s="629"/>
      <c r="P11" s="629"/>
      <c r="Q11" s="629"/>
      <c r="R11" s="1191"/>
    </row>
    <row r="12" spans="1:18" s="38" customFormat="1" ht="24.95" customHeight="1" x14ac:dyDescent="0.25">
      <c r="A12" s="184">
        <v>1</v>
      </c>
      <c r="B12" s="30" t="s">
        <v>58</v>
      </c>
      <c r="C12" s="31">
        <v>937.8</v>
      </c>
      <c r="D12" s="32">
        <v>14773</v>
      </c>
      <c r="E12" s="32">
        <v>14773</v>
      </c>
      <c r="F12" s="32">
        <v>161.69</v>
      </c>
      <c r="G12" s="31">
        <v>5.8</v>
      </c>
      <c r="H12" s="33">
        <f t="shared" ref="H12:H21" si="0">(E12+F12)/D12</f>
        <v>1.0109449671698369</v>
      </c>
      <c r="I12" s="31">
        <v>937.8</v>
      </c>
      <c r="J12" s="32">
        <v>161.69</v>
      </c>
      <c r="K12" s="34">
        <f t="shared" ref="K12:K21" si="1">J12/D12</f>
        <v>1.0944967169836865E-2</v>
      </c>
      <c r="L12" s="185">
        <f t="shared" ref="L12:L21" si="2">((E12+F12)-D12)-J12</f>
        <v>5.1159076974727213E-13</v>
      </c>
      <c r="M12" s="35">
        <f t="shared" ref="M12:M21" si="3">L12/D12</f>
        <v>3.4630120472975846E-17</v>
      </c>
      <c r="N12" s="186">
        <f t="shared" ref="N12:N21" si="4">L12*G12</f>
        <v>2.9672264645341781E-12</v>
      </c>
      <c r="O12" s="36" t="s">
        <v>139</v>
      </c>
      <c r="P12" s="36" t="s">
        <v>28</v>
      </c>
      <c r="Q12" s="36" t="s">
        <v>378</v>
      </c>
      <c r="R12" s="37" t="s">
        <v>59</v>
      </c>
    </row>
    <row r="13" spans="1:18" s="38" customFormat="1" ht="24.95" customHeight="1" x14ac:dyDescent="0.25">
      <c r="A13" s="187">
        <v>2</v>
      </c>
      <c r="B13" s="30" t="s">
        <v>62</v>
      </c>
      <c r="C13" s="31">
        <v>845.12</v>
      </c>
      <c r="D13" s="32">
        <v>358.2</v>
      </c>
      <c r="E13" s="32">
        <v>358.2</v>
      </c>
      <c r="F13" s="32">
        <v>17.3</v>
      </c>
      <c r="G13" s="31">
        <v>111.2</v>
      </c>
      <c r="H13" s="33">
        <f t="shared" si="0"/>
        <v>1.0482970407593524</v>
      </c>
      <c r="I13" s="31">
        <v>1923.76</v>
      </c>
      <c r="J13" s="32">
        <v>7.6</v>
      </c>
      <c r="K13" s="34">
        <f t="shared" si="1"/>
        <v>2.121719709659408E-2</v>
      </c>
      <c r="L13" s="185">
        <f t="shared" si="2"/>
        <v>9.7000000000000117</v>
      </c>
      <c r="M13" s="35">
        <f t="shared" si="3"/>
        <v>2.7079843662758268E-2</v>
      </c>
      <c r="N13" s="186">
        <f t="shared" si="4"/>
        <v>1078.6400000000012</v>
      </c>
      <c r="O13" s="36" t="s">
        <v>139</v>
      </c>
      <c r="P13" s="36" t="s">
        <v>25</v>
      </c>
      <c r="Q13" s="36" t="s">
        <v>144</v>
      </c>
      <c r="R13" s="37" t="s">
        <v>63</v>
      </c>
    </row>
    <row r="14" spans="1:18" s="39" customFormat="1" ht="24.95" customHeight="1" x14ac:dyDescent="0.25">
      <c r="A14" s="187">
        <v>3</v>
      </c>
      <c r="B14" s="30" t="s">
        <v>343</v>
      </c>
      <c r="C14" s="31">
        <v>585.07000000000005</v>
      </c>
      <c r="D14" s="32">
        <v>2856</v>
      </c>
      <c r="E14" s="32">
        <v>2856</v>
      </c>
      <c r="F14" s="32">
        <v>81.260000000000005</v>
      </c>
      <c r="G14" s="31">
        <v>7.2</v>
      </c>
      <c r="H14" s="33">
        <f t="shared" si="0"/>
        <v>1.0284523809523811</v>
      </c>
      <c r="I14" s="31">
        <v>585.07000000000005</v>
      </c>
      <c r="J14" s="32">
        <v>81.260000000000005</v>
      </c>
      <c r="K14" s="34">
        <f t="shared" si="1"/>
        <v>2.8452380952380955E-2</v>
      </c>
      <c r="L14" s="185">
        <f t="shared" si="2"/>
        <v>2.1316282072803006E-13</v>
      </c>
      <c r="M14" s="35">
        <f t="shared" si="3"/>
        <v>7.4636841991607168E-17</v>
      </c>
      <c r="N14" s="186">
        <f t="shared" si="4"/>
        <v>1.5347723092418164E-12</v>
      </c>
      <c r="O14" s="36" t="s">
        <v>139</v>
      </c>
      <c r="P14" s="36" t="s">
        <v>28</v>
      </c>
      <c r="Q14" s="36" t="s">
        <v>378</v>
      </c>
      <c r="R14" s="37" t="s">
        <v>344</v>
      </c>
    </row>
    <row r="15" spans="1:18" s="38" customFormat="1" ht="24.95" customHeight="1" x14ac:dyDescent="0.25">
      <c r="A15" s="184">
        <v>4</v>
      </c>
      <c r="B15" s="30" t="s">
        <v>211</v>
      </c>
      <c r="C15" s="31">
        <v>443.45</v>
      </c>
      <c r="D15" s="32">
        <v>100.42</v>
      </c>
      <c r="E15" s="32">
        <v>100.42</v>
      </c>
      <c r="F15" s="32">
        <v>6.24</v>
      </c>
      <c r="G15" s="31">
        <v>228.58</v>
      </c>
      <c r="H15" s="33">
        <f t="shared" si="0"/>
        <v>1.0621390161322446</v>
      </c>
      <c r="I15" s="31">
        <v>1426.34</v>
      </c>
      <c r="J15" s="32">
        <v>1.94</v>
      </c>
      <c r="K15" s="34">
        <f t="shared" si="1"/>
        <v>1.9318860784704243E-2</v>
      </c>
      <c r="L15" s="185">
        <f t="shared" si="2"/>
        <v>4.2999999999999954</v>
      </c>
      <c r="M15" s="35">
        <f t="shared" si="3"/>
        <v>4.2820155347540287E-2</v>
      </c>
      <c r="N15" s="186">
        <f t="shared" si="4"/>
        <v>982.89399999999898</v>
      </c>
      <c r="O15" s="36" t="s">
        <v>139</v>
      </c>
      <c r="P15" s="36" t="s">
        <v>25</v>
      </c>
      <c r="Q15" s="36" t="s">
        <v>144</v>
      </c>
      <c r="R15" s="37" t="s">
        <v>212</v>
      </c>
    </row>
    <row r="16" spans="1:18" s="39" customFormat="1" ht="24.95" customHeight="1" x14ac:dyDescent="0.25">
      <c r="A16" s="187">
        <v>5</v>
      </c>
      <c r="B16" s="30" t="s">
        <v>345</v>
      </c>
      <c r="C16" s="31">
        <v>435.14</v>
      </c>
      <c r="D16" s="32">
        <v>206.09</v>
      </c>
      <c r="E16" s="32">
        <v>206.09</v>
      </c>
      <c r="F16" s="32">
        <v>8.5399999999999991</v>
      </c>
      <c r="G16" s="31">
        <v>62.43</v>
      </c>
      <c r="H16" s="33">
        <f t="shared" si="0"/>
        <v>1.0414382066087631</v>
      </c>
      <c r="I16" s="31">
        <v>533.15</v>
      </c>
      <c r="J16" s="32">
        <v>6.97</v>
      </c>
      <c r="K16" s="34">
        <f t="shared" si="1"/>
        <v>3.382017565141443E-2</v>
      </c>
      <c r="L16" s="185">
        <f t="shared" si="2"/>
        <v>1.5699999999999923</v>
      </c>
      <c r="M16" s="35">
        <f t="shared" si="3"/>
        <v>7.6180309573486938E-3</v>
      </c>
      <c r="N16" s="186">
        <f t="shared" si="4"/>
        <v>98.015099999999521</v>
      </c>
      <c r="O16" s="36" t="s">
        <v>139</v>
      </c>
      <c r="P16" s="36" t="s">
        <v>25</v>
      </c>
      <c r="Q16" s="36" t="s">
        <v>144</v>
      </c>
      <c r="R16" s="37" t="s">
        <v>71</v>
      </c>
    </row>
    <row r="17" spans="1:18" s="38" customFormat="1" ht="24.95" customHeight="1" x14ac:dyDescent="0.25">
      <c r="A17" s="184">
        <v>6</v>
      </c>
      <c r="B17" s="30" t="s">
        <v>61</v>
      </c>
      <c r="C17" s="31">
        <v>401.64</v>
      </c>
      <c r="D17" s="32">
        <v>7196</v>
      </c>
      <c r="E17" s="32">
        <v>7196</v>
      </c>
      <c r="F17" s="32">
        <v>61.04</v>
      </c>
      <c r="G17" s="31">
        <v>6.58</v>
      </c>
      <c r="H17" s="33">
        <f t="shared" si="0"/>
        <v>1.0084824902723735</v>
      </c>
      <c r="I17" s="31">
        <v>401.64</v>
      </c>
      <c r="J17" s="32">
        <v>61.04</v>
      </c>
      <c r="K17" s="34">
        <f t="shared" si="1"/>
        <v>8.4824902723735409E-3</v>
      </c>
      <c r="L17" s="185">
        <f t="shared" si="2"/>
        <v>0</v>
      </c>
      <c r="M17" s="35">
        <f t="shared" si="3"/>
        <v>0</v>
      </c>
      <c r="N17" s="186">
        <f t="shared" si="4"/>
        <v>0</v>
      </c>
      <c r="O17" s="36" t="s">
        <v>142</v>
      </c>
      <c r="P17" s="36" t="s">
        <v>26</v>
      </c>
      <c r="Q17" s="36" t="s">
        <v>143</v>
      </c>
      <c r="R17" s="37" t="s">
        <v>59</v>
      </c>
    </row>
    <row r="18" spans="1:18" s="39" customFormat="1" ht="24.95" customHeight="1" x14ac:dyDescent="0.25">
      <c r="A18" s="187">
        <v>7</v>
      </c>
      <c r="B18" s="30" t="s">
        <v>69</v>
      </c>
      <c r="C18" s="31">
        <v>342.16</v>
      </c>
      <c r="D18" s="32">
        <v>10389</v>
      </c>
      <c r="E18" s="32">
        <v>10389</v>
      </c>
      <c r="F18" s="32">
        <v>48.88</v>
      </c>
      <c r="G18" s="31">
        <v>7</v>
      </c>
      <c r="H18" s="33">
        <f t="shared" si="0"/>
        <v>1.0047049764173643</v>
      </c>
      <c r="I18" s="31">
        <v>342.16</v>
      </c>
      <c r="J18" s="32">
        <v>48.88</v>
      </c>
      <c r="K18" s="34">
        <f t="shared" si="1"/>
        <v>4.7049764173645202E-3</v>
      </c>
      <c r="L18" s="185">
        <f t="shared" si="2"/>
        <v>-8.0291329140891321E-13</v>
      </c>
      <c r="M18" s="35">
        <f t="shared" si="3"/>
        <v>-7.7284944788614224E-17</v>
      </c>
      <c r="N18" s="186">
        <f t="shared" si="4"/>
        <v>-5.6203930398623925E-12</v>
      </c>
      <c r="O18" s="36" t="s">
        <v>142</v>
      </c>
      <c r="P18" s="36" t="s">
        <v>26</v>
      </c>
      <c r="Q18" s="36" t="s">
        <v>143</v>
      </c>
      <c r="R18" s="37" t="s">
        <v>59</v>
      </c>
    </row>
    <row r="19" spans="1:18" s="38" customFormat="1" ht="24.95" customHeight="1" x14ac:dyDescent="0.25">
      <c r="A19" s="184">
        <v>8</v>
      </c>
      <c r="B19" s="30" t="s">
        <v>68</v>
      </c>
      <c r="C19" s="31">
        <v>216.3</v>
      </c>
      <c r="D19" s="32">
        <v>410.86</v>
      </c>
      <c r="E19" s="32">
        <v>410.86</v>
      </c>
      <c r="F19" s="32">
        <v>25.52</v>
      </c>
      <c r="G19" s="31">
        <v>156.74</v>
      </c>
      <c r="H19" s="33">
        <f t="shared" si="0"/>
        <v>1.0621136153434259</v>
      </c>
      <c r="I19" s="31">
        <v>4000</v>
      </c>
      <c r="J19" s="32">
        <v>1.38</v>
      </c>
      <c r="K19" s="34">
        <f t="shared" si="1"/>
        <v>3.358808353210339E-3</v>
      </c>
      <c r="L19" s="185">
        <f t="shared" si="2"/>
        <v>24.139999999999983</v>
      </c>
      <c r="M19" s="35">
        <f t="shared" si="3"/>
        <v>5.8754806990215604E-2</v>
      </c>
      <c r="N19" s="186">
        <f t="shared" si="4"/>
        <v>3783.7035999999976</v>
      </c>
      <c r="O19" s="36" t="s">
        <v>142</v>
      </c>
      <c r="P19" s="36" t="s">
        <v>26</v>
      </c>
      <c r="Q19" s="36" t="s">
        <v>145</v>
      </c>
      <c r="R19" s="37" t="s">
        <v>59</v>
      </c>
    </row>
    <row r="20" spans="1:18" s="38" customFormat="1" ht="24.95" customHeight="1" x14ac:dyDescent="0.25">
      <c r="A20" s="187">
        <v>9</v>
      </c>
      <c r="B20" s="30" t="s">
        <v>90</v>
      </c>
      <c r="C20" s="31">
        <v>210.73</v>
      </c>
      <c r="D20" s="32">
        <v>103.7</v>
      </c>
      <c r="E20" s="32">
        <v>103.7</v>
      </c>
      <c r="F20" s="32">
        <v>5.01</v>
      </c>
      <c r="G20" s="31">
        <v>104.84</v>
      </c>
      <c r="H20" s="33">
        <f t="shared" si="0"/>
        <v>1.0483124397299903</v>
      </c>
      <c r="I20" s="31">
        <v>525.25</v>
      </c>
      <c r="J20" s="32">
        <v>2.0099999999999998</v>
      </c>
      <c r="K20" s="34">
        <f t="shared" si="1"/>
        <v>1.9382835101253614E-2</v>
      </c>
      <c r="L20" s="185">
        <f t="shared" si="2"/>
        <v>3.0000000000000053</v>
      </c>
      <c r="M20" s="35">
        <f t="shared" si="3"/>
        <v>2.8929604628736793E-2</v>
      </c>
      <c r="N20" s="186">
        <f t="shared" si="4"/>
        <v>314.52000000000055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188">
        <v>10</v>
      </c>
      <c r="B21" s="40" t="s">
        <v>254</v>
      </c>
      <c r="C21" s="41">
        <v>167.35</v>
      </c>
      <c r="D21" s="42">
        <v>130.1</v>
      </c>
      <c r="E21" s="42">
        <v>130.1</v>
      </c>
      <c r="F21" s="42">
        <v>6.29</v>
      </c>
      <c r="G21" s="41">
        <v>110.1</v>
      </c>
      <c r="H21" s="43">
        <f t="shared" si="0"/>
        <v>1.0483474250576479</v>
      </c>
      <c r="I21" s="41">
        <v>692.53</v>
      </c>
      <c r="J21" s="42">
        <v>1.52</v>
      </c>
      <c r="K21" s="44">
        <f t="shared" si="1"/>
        <v>1.1683320522674866E-2</v>
      </c>
      <c r="L21" s="189">
        <f t="shared" si="2"/>
        <v>4.7699999999999925</v>
      </c>
      <c r="M21" s="45">
        <f t="shared" si="3"/>
        <v>3.6664104534973041E-2</v>
      </c>
      <c r="N21" s="190">
        <f t="shared" si="4"/>
        <v>525.17699999999911</v>
      </c>
      <c r="O21" s="46" t="s">
        <v>139</v>
      </c>
      <c r="P21" s="46" t="s">
        <v>25</v>
      </c>
      <c r="Q21" s="46" t="s">
        <v>141</v>
      </c>
      <c r="R21" s="47" t="s">
        <v>59</v>
      </c>
    </row>
    <row r="22" spans="1:18" s="53" customFormat="1" ht="24.95" customHeight="1" thickBot="1" x14ac:dyDescent="0.3">
      <c r="A22" s="191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192"/>
      <c r="M22" s="51"/>
      <c r="N22" s="193"/>
      <c r="O22" s="52"/>
      <c r="P22" s="52"/>
      <c r="Q22" s="52"/>
      <c r="R22" s="48"/>
    </row>
    <row r="23" spans="1:18" s="53" customFormat="1" ht="40.5" customHeight="1" x14ac:dyDescent="0.25">
      <c r="A23" s="616" t="s">
        <v>372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348</v>
      </c>
      <c r="B24" s="620"/>
      <c r="C24" s="620"/>
      <c r="D24" s="620" t="s">
        <v>349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350</v>
      </c>
      <c r="P24" s="630" t="s">
        <v>351</v>
      </c>
      <c r="Q24" s="629" t="s">
        <v>352</v>
      </c>
      <c r="R24" s="1191" t="s">
        <v>353</v>
      </c>
    </row>
    <row r="25" spans="1:18" s="53" customFormat="1" ht="24.95" customHeight="1" x14ac:dyDescent="0.25">
      <c r="A25" s="1192" t="s">
        <v>354</v>
      </c>
      <c r="B25" s="634" t="s">
        <v>355</v>
      </c>
      <c r="C25" s="635"/>
      <c r="D25" s="636" t="s">
        <v>356</v>
      </c>
      <c r="E25" s="636"/>
      <c r="F25" s="636"/>
      <c r="G25" s="636"/>
      <c r="H25" s="636"/>
      <c r="I25" s="636"/>
      <c r="J25" s="637" t="s">
        <v>357</v>
      </c>
      <c r="K25" s="637"/>
      <c r="L25" s="637"/>
      <c r="M25" s="638"/>
      <c r="N25" s="638"/>
      <c r="O25" s="629"/>
      <c r="P25" s="629"/>
      <c r="Q25" s="629"/>
      <c r="R25" s="1191"/>
    </row>
    <row r="26" spans="1:18" s="53" customFormat="1" ht="24.95" customHeight="1" x14ac:dyDescent="0.3">
      <c r="A26" s="1193"/>
      <c r="B26" s="1195" t="s">
        <v>358</v>
      </c>
      <c r="C26" s="1197" t="s">
        <v>373</v>
      </c>
      <c r="D26" s="1199" t="s">
        <v>360</v>
      </c>
      <c r="E26" s="1199"/>
      <c r="F26" s="1199"/>
      <c r="G26" s="1199"/>
      <c r="H26" s="1199"/>
      <c r="I26" s="1199"/>
      <c r="J26" s="1200" t="s">
        <v>361</v>
      </c>
      <c r="K26" s="1201"/>
      <c r="L26" s="1202"/>
      <c r="M26" s="1200" t="s">
        <v>362</v>
      </c>
      <c r="N26" s="1202"/>
      <c r="O26" s="629"/>
      <c r="P26" s="629"/>
      <c r="Q26" s="629"/>
      <c r="R26" s="1191"/>
    </row>
    <row r="27" spans="1:18" s="53" customFormat="1" ht="50.1" customHeight="1" x14ac:dyDescent="0.25">
      <c r="A27" s="1194"/>
      <c r="B27" s="1196"/>
      <c r="C27" s="1198"/>
      <c r="D27" s="181" t="s">
        <v>363</v>
      </c>
      <c r="E27" s="181" t="s">
        <v>364</v>
      </c>
      <c r="F27" s="181" t="s">
        <v>365</v>
      </c>
      <c r="G27" s="181" t="s">
        <v>366</v>
      </c>
      <c r="H27" s="181" t="s">
        <v>367</v>
      </c>
      <c r="I27" s="181" t="s">
        <v>368</v>
      </c>
      <c r="J27" s="182" t="s">
        <v>369</v>
      </c>
      <c r="K27" s="182" t="s">
        <v>370</v>
      </c>
      <c r="L27" s="183" t="s">
        <v>371</v>
      </c>
      <c r="M27" s="182" t="s">
        <v>369</v>
      </c>
      <c r="N27" s="182" t="s">
        <v>370</v>
      </c>
      <c r="O27" s="629"/>
      <c r="P27" s="629"/>
      <c r="Q27" s="629"/>
      <c r="R27" s="1191"/>
    </row>
    <row r="28" spans="1:18" s="53" customFormat="1" ht="24.95" customHeight="1" x14ac:dyDescent="0.25">
      <c r="A28" s="184">
        <v>1</v>
      </c>
      <c r="B28" s="30" t="s">
        <v>68</v>
      </c>
      <c r="C28" s="31">
        <v>3783.7</v>
      </c>
      <c r="D28" s="32">
        <v>410.86</v>
      </c>
      <c r="E28" s="32">
        <v>410.86</v>
      </c>
      <c r="F28" s="32">
        <v>25.52</v>
      </c>
      <c r="G28" s="31">
        <v>156.74</v>
      </c>
      <c r="H28" s="54">
        <f t="shared" ref="H28:H37" si="5">(E28+F28)/D28</f>
        <v>1.0621136153434259</v>
      </c>
      <c r="I28" s="31">
        <v>4000</v>
      </c>
      <c r="J28" s="32">
        <v>1.38</v>
      </c>
      <c r="K28" s="34">
        <f t="shared" ref="K28:K37" si="6">J28/D28</f>
        <v>3.358808353210339E-3</v>
      </c>
      <c r="L28" s="186">
        <f t="shared" ref="L28:L37" si="7">J28*G28</f>
        <v>216.30119999999999</v>
      </c>
      <c r="M28" s="185">
        <f t="shared" ref="M28:M37" si="8">((E28+F28)-D28)-J28</f>
        <v>24.139999999999983</v>
      </c>
      <c r="N28" s="35">
        <f t="shared" ref="N28:N37" si="9">M28/D28</f>
        <v>5.8754806990215604E-2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187">
        <v>2</v>
      </c>
      <c r="B29" s="30" t="s">
        <v>80</v>
      </c>
      <c r="C29" s="31">
        <v>3422.9900000000002</v>
      </c>
      <c r="D29" s="32">
        <v>368.22</v>
      </c>
      <c r="E29" s="32">
        <v>368.22</v>
      </c>
      <c r="F29" s="32">
        <v>22.87</v>
      </c>
      <c r="G29" s="31">
        <v>156.72999999999999</v>
      </c>
      <c r="H29" s="54">
        <f t="shared" si="5"/>
        <v>1.0621096083862909</v>
      </c>
      <c r="I29" s="31">
        <v>3584.42</v>
      </c>
      <c r="J29" s="32">
        <v>1.03</v>
      </c>
      <c r="K29" s="34">
        <f t="shared" si="6"/>
        <v>2.7972407799684968E-3</v>
      </c>
      <c r="L29" s="186">
        <f t="shared" si="7"/>
        <v>161.43189999999998</v>
      </c>
      <c r="M29" s="185">
        <f t="shared" si="8"/>
        <v>21.840000000000003</v>
      </c>
      <c r="N29" s="35">
        <f t="shared" si="9"/>
        <v>5.931236760632231E-2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187">
        <v>3</v>
      </c>
      <c r="B30" s="30" t="s">
        <v>74</v>
      </c>
      <c r="C30" s="31">
        <v>2885.12</v>
      </c>
      <c r="D30" s="32">
        <v>366.6</v>
      </c>
      <c r="E30" s="32">
        <v>366.6</v>
      </c>
      <c r="F30" s="32">
        <v>22.76</v>
      </c>
      <c r="G30" s="31">
        <v>133.88</v>
      </c>
      <c r="H30" s="54">
        <f t="shared" si="5"/>
        <v>1.0620840152755047</v>
      </c>
      <c r="I30" s="31">
        <v>3047.11</v>
      </c>
      <c r="J30" s="57">
        <v>1.21</v>
      </c>
      <c r="K30" s="34">
        <f t="shared" si="6"/>
        <v>3.3006001091107472E-3</v>
      </c>
      <c r="L30" s="186">
        <f t="shared" si="7"/>
        <v>161.9948</v>
      </c>
      <c r="M30" s="185">
        <f t="shared" si="8"/>
        <v>21.54999999999999</v>
      </c>
      <c r="N30" s="35">
        <f t="shared" si="9"/>
        <v>5.8783415166393856E-2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184">
        <v>4</v>
      </c>
      <c r="B31" s="30" t="s">
        <v>70</v>
      </c>
      <c r="C31" s="31">
        <v>2084.25</v>
      </c>
      <c r="D31" s="32">
        <v>39.96</v>
      </c>
      <c r="E31" s="32">
        <v>39.96</v>
      </c>
      <c r="F31" s="32">
        <v>2.76</v>
      </c>
      <c r="G31" s="31">
        <v>814.16</v>
      </c>
      <c r="H31" s="54">
        <f t="shared" si="5"/>
        <v>1.069069069069069</v>
      </c>
      <c r="I31" s="31">
        <v>2247.08</v>
      </c>
      <c r="J31" s="32">
        <v>0.2</v>
      </c>
      <c r="K31" s="34">
        <f t="shared" si="6"/>
        <v>5.005005005005005E-3</v>
      </c>
      <c r="L31" s="186">
        <f t="shared" si="7"/>
        <v>162.83199999999999</v>
      </c>
      <c r="M31" s="185">
        <f t="shared" si="8"/>
        <v>2.5599999999999978</v>
      </c>
      <c r="N31" s="35">
        <f t="shared" si="9"/>
        <v>6.4064064064064008E-2</v>
      </c>
      <c r="O31" s="55" t="s">
        <v>133</v>
      </c>
      <c r="P31" s="56" t="s">
        <v>25</v>
      </c>
      <c r="Q31" s="56" t="s">
        <v>590</v>
      </c>
      <c r="R31" s="37" t="s">
        <v>71</v>
      </c>
    </row>
    <row r="32" spans="1:18" s="53" customFormat="1" ht="24.95" customHeight="1" x14ac:dyDescent="0.25">
      <c r="A32" s="187">
        <v>5</v>
      </c>
      <c r="B32" s="30" t="s">
        <v>87</v>
      </c>
      <c r="C32" s="31">
        <v>2021.8999999999999</v>
      </c>
      <c r="D32" s="32">
        <v>233.07</v>
      </c>
      <c r="E32" s="32">
        <v>233.07</v>
      </c>
      <c r="F32" s="32">
        <v>11.25</v>
      </c>
      <c r="G32" s="31">
        <v>194.04</v>
      </c>
      <c r="H32" s="54">
        <f t="shared" si="5"/>
        <v>1.0482687604582315</v>
      </c>
      <c r="I32" s="31">
        <v>2182.9499999999998</v>
      </c>
      <c r="J32" s="32">
        <v>0.83</v>
      </c>
      <c r="K32" s="34">
        <f t="shared" si="6"/>
        <v>3.5611618826961854E-3</v>
      </c>
      <c r="L32" s="186">
        <f t="shared" si="7"/>
        <v>161.05319999999998</v>
      </c>
      <c r="M32" s="185">
        <f t="shared" si="8"/>
        <v>10.42</v>
      </c>
      <c r="N32" s="35">
        <f t="shared" si="9"/>
        <v>4.4707598575535246E-2</v>
      </c>
      <c r="O32" s="55" t="s">
        <v>133</v>
      </c>
      <c r="P32" s="56" t="s">
        <v>25</v>
      </c>
      <c r="Q32" s="56" t="s">
        <v>135</v>
      </c>
      <c r="R32" s="37" t="s">
        <v>88</v>
      </c>
    </row>
    <row r="33" spans="1:18" s="53" customFormat="1" ht="24.95" customHeight="1" x14ac:dyDescent="0.25">
      <c r="A33" s="184">
        <v>6</v>
      </c>
      <c r="B33" s="30" t="s">
        <v>179</v>
      </c>
      <c r="C33" s="31">
        <v>1647.56</v>
      </c>
      <c r="D33" s="32">
        <v>175</v>
      </c>
      <c r="E33" s="32">
        <v>175</v>
      </c>
      <c r="F33" s="32">
        <v>10.87</v>
      </c>
      <c r="G33" s="31">
        <v>166.42</v>
      </c>
      <c r="H33" s="54">
        <f t="shared" si="5"/>
        <v>1.0621142857142858</v>
      </c>
      <c r="I33" s="31">
        <v>1808.99</v>
      </c>
      <c r="J33" s="32">
        <v>0.97</v>
      </c>
      <c r="K33" s="34">
        <f t="shared" si="6"/>
        <v>5.5428571428571428E-3</v>
      </c>
      <c r="L33" s="186">
        <f t="shared" si="7"/>
        <v>161.42739999999998</v>
      </c>
      <c r="M33" s="185">
        <f t="shared" si="8"/>
        <v>9.9000000000000039</v>
      </c>
      <c r="N33" s="35">
        <f t="shared" si="9"/>
        <v>5.6571428571428592E-2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187">
        <v>7</v>
      </c>
      <c r="B34" s="30" t="s">
        <v>183</v>
      </c>
      <c r="C34" s="31">
        <v>1599.6299999999999</v>
      </c>
      <c r="D34" s="32">
        <v>103.7</v>
      </c>
      <c r="E34" s="32">
        <v>103.7</v>
      </c>
      <c r="F34" s="32">
        <v>4.29</v>
      </c>
      <c r="G34" s="31">
        <v>410.16</v>
      </c>
      <c r="H34" s="54">
        <f t="shared" si="5"/>
        <v>1.0413693346190935</v>
      </c>
      <c r="I34" s="31">
        <v>1759.59</v>
      </c>
      <c r="J34" s="32">
        <v>0.39</v>
      </c>
      <c r="K34" s="34">
        <f t="shared" si="6"/>
        <v>3.7608486017357765E-3</v>
      </c>
      <c r="L34" s="186">
        <f t="shared" si="7"/>
        <v>159.9624</v>
      </c>
      <c r="M34" s="185">
        <f t="shared" si="8"/>
        <v>3.9000000000000061</v>
      </c>
      <c r="N34" s="35">
        <f t="shared" si="9"/>
        <v>3.760848601735782E-2</v>
      </c>
      <c r="O34" s="55" t="s">
        <v>133</v>
      </c>
      <c r="P34" s="56" t="s">
        <v>25</v>
      </c>
      <c r="Q34" s="56" t="s">
        <v>134</v>
      </c>
      <c r="R34" s="37" t="s">
        <v>59</v>
      </c>
    </row>
    <row r="35" spans="1:18" s="53" customFormat="1" ht="24.95" customHeight="1" x14ac:dyDescent="0.25">
      <c r="A35" s="184">
        <v>8</v>
      </c>
      <c r="B35" s="30" t="s">
        <v>218</v>
      </c>
      <c r="C35" s="31">
        <v>1460.26</v>
      </c>
      <c r="D35" s="32">
        <v>227.42</v>
      </c>
      <c r="E35" s="32">
        <v>227.42</v>
      </c>
      <c r="F35" s="32">
        <v>10.98</v>
      </c>
      <c r="G35" s="31">
        <v>147.80000000000001</v>
      </c>
      <c r="H35" s="54">
        <f t="shared" si="5"/>
        <v>1.048280714097265</v>
      </c>
      <c r="I35" s="31">
        <v>1622.84</v>
      </c>
      <c r="J35" s="32">
        <v>1.1000000000000001</v>
      </c>
      <c r="K35" s="34">
        <f t="shared" si="6"/>
        <v>4.8368657110192601E-3</v>
      </c>
      <c r="L35" s="186">
        <f t="shared" si="7"/>
        <v>162.58000000000001</v>
      </c>
      <c r="M35" s="185">
        <f t="shared" si="8"/>
        <v>9.8799999999999901</v>
      </c>
      <c r="N35" s="35">
        <f t="shared" si="9"/>
        <v>4.3443848386245675E-2</v>
      </c>
      <c r="O35" s="55" t="s">
        <v>133</v>
      </c>
      <c r="P35" s="56" t="s">
        <v>25</v>
      </c>
      <c r="Q35" s="56" t="s">
        <v>135</v>
      </c>
      <c r="R35" s="37" t="s">
        <v>219</v>
      </c>
    </row>
    <row r="36" spans="1:18" s="53" customFormat="1" ht="24.95" customHeight="1" x14ac:dyDescent="0.25">
      <c r="A36" s="187">
        <v>9</v>
      </c>
      <c r="B36" s="30" t="s">
        <v>304</v>
      </c>
      <c r="C36" s="31">
        <v>1429.26</v>
      </c>
      <c r="D36" s="32">
        <v>90.61</v>
      </c>
      <c r="E36" s="32">
        <v>90.61</v>
      </c>
      <c r="F36" s="32">
        <v>5</v>
      </c>
      <c r="G36" s="31">
        <v>318.32</v>
      </c>
      <c r="H36" s="54">
        <f t="shared" si="5"/>
        <v>1.0551815472905861</v>
      </c>
      <c r="I36" s="31">
        <v>1591.6</v>
      </c>
      <c r="J36" s="32">
        <v>0.51</v>
      </c>
      <c r="K36" s="34">
        <f t="shared" si="6"/>
        <v>5.6285178236397749E-3</v>
      </c>
      <c r="L36" s="186">
        <f t="shared" si="7"/>
        <v>162.3432</v>
      </c>
      <c r="M36" s="185">
        <f t="shared" si="8"/>
        <v>4.49</v>
      </c>
      <c r="N36" s="35">
        <f t="shared" si="9"/>
        <v>4.9553029466946258E-2</v>
      </c>
      <c r="O36" s="55" t="s">
        <v>133</v>
      </c>
      <c r="P36" s="56" t="s">
        <v>25</v>
      </c>
      <c r="Q36" s="56" t="s">
        <v>138</v>
      </c>
      <c r="R36" s="37" t="s">
        <v>77</v>
      </c>
    </row>
    <row r="37" spans="1:18" s="53" customFormat="1" ht="24.95" customHeight="1" thickBot="1" x14ac:dyDescent="0.3">
      <c r="A37" s="188">
        <v>10</v>
      </c>
      <c r="B37" s="40" t="s">
        <v>92</v>
      </c>
      <c r="C37" s="41">
        <v>1426.54</v>
      </c>
      <c r="D37" s="42">
        <v>113.19</v>
      </c>
      <c r="E37" s="42">
        <v>113.19</v>
      </c>
      <c r="F37" s="42">
        <v>7.81</v>
      </c>
      <c r="G37" s="41">
        <v>203.5</v>
      </c>
      <c r="H37" s="58">
        <f t="shared" si="5"/>
        <v>1.0689990281827018</v>
      </c>
      <c r="I37" s="41">
        <v>1589.34</v>
      </c>
      <c r="J37" s="42">
        <v>0.8</v>
      </c>
      <c r="K37" s="44">
        <f t="shared" si="6"/>
        <v>7.0677621698029868E-3</v>
      </c>
      <c r="L37" s="190">
        <f t="shared" si="7"/>
        <v>162.80000000000001</v>
      </c>
      <c r="M37" s="189">
        <f t="shared" si="8"/>
        <v>7.0100000000000025</v>
      </c>
      <c r="N37" s="45">
        <f t="shared" si="9"/>
        <v>6.1931266012898688E-2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374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348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188" t="s">
        <v>354</v>
      </c>
      <c r="B41" s="623" t="s">
        <v>355</v>
      </c>
      <c r="C41" s="623"/>
      <c r="D41" s="624"/>
      <c r="E41" s="62"/>
      <c r="G41" s="64"/>
      <c r="H41" s="65"/>
    </row>
    <row r="42" spans="1:18" ht="20.45" customHeight="1" x14ac:dyDescent="0.35">
      <c r="A42" s="1188"/>
      <c r="B42" s="1189" t="s">
        <v>358</v>
      </c>
      <c r="C42" s="1190" t="s">
        <v>359</v>
      </c>
      <c r="D42" s="1191" t="s">
        <v>375</v>
      </c>
      <c r="E42" s="62"/>
      <c r="G42" s="64"/>
      <c r="H42" s="65"/>
    </row>
    <row r="43" spans="1:18" ht="20.45" customHeight="1" x14ac:dyDescent="0.35">
      <c r="A43" s="1188"/>
      <c r="B43" s="1189"/>
      <c r="C43" s="1190"/>
      <c r="D43" s="1191"/>
      <c r="E43" s="62"/>
      <c r="G43" s="64"/>
      <c r="H43" s="65"/>
    </row>
    <row r="44" spans="1:18" s="68" customFormat="1" ht="24.95" customHeight="1" x14ac:dyDescent="0.35">
      <c r="A44" s="194">
        <v>1</v>
      </c>
      <c r="B44" s="30" t="s">
        <v>58</v>
      </c>
      <c r="C44" s="31">
        <v>937.8</v>
      </c>
      <c r="D44" s="66">
        <f t="shared" ref="D44:D53" si="10">C44/$L$5</f>
        <v>0.19926650886266373</v>
      </c>
      <c r="E44" s="67"/>
      <c r="G44" s="64"/>
      <c r="H44" s="65"/>
    </row>
    <row r="45" spans="1:18" s="68" customFormat="1" ht="24.95" customHeight="1" x14ac:dyDescent="0.35">
      <c r="A45" s="195">
        <v>2</v>
      </c>
      <c r="B45" s="30" t="s">
        <v>61</v>
      </c>
      <c r="C45" s="31">
        <v>401.64</v>
      </c>
      <c r="D45" s="66">
        <f t="shared" si="10"/>
        <v>8.5341651332480548E-2</v>
      </c>
      <c r="E45" s="67"/>
      <c r="G45" s="64"/>
      <c r="H45" s="65"/>
    </row>
    <row r="46" spans="1:18" s="68" customFormat="1" ht="24.95" customHeight="1" x14ac:dyDescent="0.35">
      <c r="A46" s="195">
        <v>3</v>
      </c>
      <c r="B46" s="30" t="s">
        <v>69</v>
      </c>
      <c r="C46" s="31">
        <v>342.16</v>
      </c>
      <c r="D46" s="66">
        <f t="shared" si="10"/>
        <v>7.2703165570962916E-2</v>
      </c>
      <c r="E46" s="67"/>
      <c r="G46" s="64"/>
      <c r="H46" s="65"/>
    </row>
    <row r="47" spans="1:18" s="68" customFormat="1" ht="24.95" customHeight="1" x14ac:dyDescent="0.35">
      <c r="A47" s="194">
        <v>4</v>
      </c>
      <c r="B47" s="30" t="s">
        <v>68</v>
      </c>
      <c r="C47" s="31">
        <v>216.3</v>
      </c>
      <c r="D47" s="66">
        <f t="shared" si="10"/>
        <v>4.5960061705048162E-2</v>
      </c>
      <c r="E47" s="67"/>
      <c r="G47" s="64"/>
      <c r="H47" s="65"/>
    </row>
    <row r="48" spans="1:18" s="68" customFormat="1" ht="24.95" customHeight="1" x14ac:dyDescent="0.35">
      <c r="A48" s="195">
        <v>5</v>
      </c>
      <c r="B48" s="30" t="s">
        <v>90</v>
      </c>
      <c r="C48" s="31">
        <v>210.73</v>
      </c>
      <c r="D48" s="66">
        <f t="shared" si="10"/>
        <v>4.4776531683332399E-2</v>
      </c>
      <c r="E48" s="67"/>
      <c r="G48" s="64"/>
      <c r="H48" s="65"/>
    </row>
    <row r="49" spans="1:5" s="68" customFormat="1" ht="24.95" customHeight="1" x14ac:dyDescent="0.25">
      <c r="A49" s="194">
        <v>6</v>
      </c>
      <c r="B49" s="30" t="s">
        <v>254</v>
      </c>
      <c r="C49" s="31">
        <v>167.35</v>
      </c>
      <c r="D49" s="66">
        <f t="shared" si="10"/>
        <v>3.5559021388533563E-2</v>
      </c>
      <c r="E49" s="67"/>
    </row>
    <row r="50" spans="1:5" s="68" customFormat="1" ht="24.95" customHeight="1" x14ac:dyDescent="0.25">
      <c r="A50" s="195">
        <v>7</v>
      </c>
      <c r="B50" s="30" t="s">
        <v>346</v>
      </c>
      <c r="C50" s="31">
        <v>162.94</v>
      </c>
      <c r="D50" s="66">
        <f t="shared" si="10"/>
        <v>3.4621971586780154E-2</v>
      </c>
      <c r="E50" s="67"/>
    </row>
    <row r="51" spans="1:5" s="68" customFormat="1" ht="24.95" customHeight="1" x14ac:dyDescent="0.25">
      <c r="A51" s="194">
        <v>8</v>
      </c>
      <c r="B51" s="30" t="s">
        <v>92</v>
      </c>
      <c r="C51" s="31">
        <v>162.80000000000001</v>
      </c>
      <c r="D51" s="66">
        <f t="shared" si="10"/>
        <v>3.459222397402608E-2</v>
      </c>
      <c r="E51" s="67"/>
    </row>
    <row r="52" spans="1:5" s="68" customFormat="1" ht="24.95" customHeight="1" x14ac:dyDescent="0.25">
      <c r="A52" s="195">
        <v>9</v>
      </c>
      <c r="B52" s="30" t="s">
        <v>340</v>
      </c>
      <c r="C52" s="31">
        <v>162.79</v>
      </c>
      <c r="D52" s="66">
        <f t="shared" si="10"/>
        <v>3.459009914454364E-2</v>
      </c>
      <c r="E52" s="67"/>
    </row>
    <row r="53" spans="1:5" s="68" customFormat="1" ht="24.95" customHeight="1" thickBot="1" x14ac:dyDescent="0.3">
      <c r="A53" s="196">
        <v>10</v>
      </c>
      <c r="B53" s="40" t="s">
        <v>226</v>
      </c>
      <c r="C53" s="41">
        <v>162.76</v>
      </c>
      <c r="D53" s="69">
        <f t="shared" si="10"/>
        <v>3.458372465609634E-2</v>
      </c>
      <c r="E53" s="67"/>
    </row>
    <row r="54" spans="1:5" x14ac:dyDescent="0.25">
      <c r="A54" s="614" t="s">
        <v>376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377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265" priority="33" operator="containsText" text="024">
      <formula>NOT(ISERROR(SEARCH("024",A12)))</formula>
    </cfRule>
    <cfRule type="containsText" dxfId="264" priority="34" operator="containsText" text="白醬">
      <formula>NOT(ISERROR(SEARCH("白醬",A12)))</formula>
    </cfRule>
    <cfRule type="containsText" dxfId="263" priority="35" operator="containsText" text="青蔥">
      <formula>NOT(ISERROR(SEARCH("青蔥",A12)))</formula>
    </cfRule>
    <cfRule type="containsText" dxfId="262" priority="36" operator="containsText" text=")川燙小青花菜">
      <formula>NOT(ISERROR(SEARCH(")川燙小青花菜",A12)))</formula>
    </cfRule>
    <cfRule type="containsText" dxfId="261" priority="37" operator="containsText" text="湯凍">
      <formula>NOT(ISERROR(SEARCH("湯凍",A12)))</formula>
    </cfRule>
    <cfRule type="containsText" dxfId="260" priority="38" operator="containsText" text="中華">
      <formula>NOT(ISERROR(SEARCH("中華",A12)))</formula>
    </cfRule>
  </conditionalFormatting>
  <conditionalFormatting sqref="A12:A22">
    <cfRule type="containsText" dxfId="259" priority="31" operator="containsText" text="綠豆芽">
      <formula>NOT(ISERROR(SEARCH("綠豆芽",A12)))</formula>
    </cfRule>
    <cfRule type="containsText" dxfId="258" priority="32" operator="containsText" text="煮白細麵生(方#12)">
      <formula>NOT(ISERROR(SEARCH("煮白細麵生(方#12)",A12)))</formula>
    </cfRule>
  </conditionalFormatting>
  <conditionalFormatting sqref="E5">
    <cfRule type="cellIs" dxfId="257" priority="16" operator="greaterThan">
      <formula>0.0025</formula>
    </cfRule>
    <cfRule type="cellIs" dxfId="256" priority="19" operator="greaterThan">
      <formula>0.0025</formula>
    </cfRule>
    <cfRule type="cellIs" dxfId="255" priority="29" operator="greaterThan">
      <formula>0.072</formula>
    </cfRule>
    <cfRule type="cellIs" dxfId="254" priority="30" operator="greaterThan">
      <formula>7.2</formula>
    </cfRule>
  </conditionalFormatting>
  <conditionalFormatting sqref="E5">
    <cfRule type="cellIs" dxfId="253" priority="28" operator="greaterThan">
      <formula>0.0025</formula>
    </cfRule>
  </conditionalFormatting>
  <conditionalFormatting sqref="A44:A53">
    <cfRule type="containsText" dxfId="252" priority="22" operator="containsText" text="024">
      <formula>NOT(ISERROR(SEARCH("024",A44)))</formula>
    </cfRule>
    <cfRule type="containsText" dxfId="251" priority="23" operator="containsText" text="白醬">
      <formula>NOT(ISERROR(SEARCH("白醬",A44)))</formula>
    </cfRule>
    <cfRule type="containsText" dxfId="250" priority="24" operator="containsText" text="青蔥">
      <formula>NOT(ISERROR(SEARCH("青蔥",A44)))</formula>
    </cfRule>
    <cfRule type="containsText" dxfId="249" priority="25" operator="containsText" text=")川燙小青花菜">
      <formula>NOT(ISERROR(SEARCH(")川燙小青花菜",A44)))</formula>
    </cfRule>
    <cfRule type="containsText" dxfId="248" priority="26" operator="containsText" text="湯凍">
      <formula>NOT(ISERROR(SEARCH("湯凍",A44)))</formula>
    </cfRule>
    <cfRule type="containsText" dxfId="247" priority="27" operator="containsText" text="中華">
      <formula>NOT(ISERROR(SEARCH("中華",A44)))</formula>
    </cfRule>
  </conditionalFormatting>
  <conditionalFormatting sqref="A44:A53">
    <cfRule type="containsText" dxfId="246" priority="20" operator="containsText" text="綠豆芽">
      <formula>NOT(ISERROR(SEARCH("綠豆芽",A44)))</formula>
    </cfRule>
    <cfRule type="containsText" dxfId="245" priority="21" operator="containsText" text="煮白細麵生(方#12)">
      <formula>NOT(ISERROR(SEARCH("煮白細麵生(方#12)",A44)))</formula>
    </cfRule>
  </conditionalFormatting>
  <conditionalFormatting sqref="D44:D53">
    <cfRule type="cellIs" dxfId="244" priority="18" operator="greaterThan">
      <formula>0.146</formula>
    </cfRule>
  </conditionalFormatting>
  <conditionalFormatting sqref="H12:H22">
    <cfRule type="cellIs" dxfId="243" priority="17" operator="greaterThan">
      <formula>1.1</formula>
    </cfRule>
  </conditionalFormatting>
  <conditionalFormatting sqref="I5">
    <cfRule type="cellIs" dxfId="242" priority="15" operator="greaterThan">
      <formula>0.2</formula>
    </cfRule>
  </conditionalFormatting>
  <conditionalFormatting sqref="A28:A37">
    <cfRule type="containsText" dxfId="241" priority="9" operator="containsText" text="024">
      <formula>NOT(ISERROR(SEARCH("024",A28)))</formula>
    </cfRule>
    <cfRule type="containsText" dxfId="240" priority="10" operator="containsText" text="白醬">
      <formula>NOT(ISERROR(SEARCH("白醬",A28)))</formula>
    </cfRule>
    <cfRule type="containsText" dxfId="239" priority="11" operator="containsText" text="青蔥">
      <formula>NOT(ISERROR(SEARCH("青蔥",A28)))</formula>
    </cfRule>
    <cfRule type="containsText" dxfId="238" priority="12" operator="containsText" text=")川燙小青花菜">
      <formula>NOT(ISERROR(SEARCH(")川燙小青花菜",A28)))</formula>
    </cfRule>
    <cfRule type="containsText" dxfId="237" priority="13" operator="containsText" text="湯凍">
      <formula>NOT(ISERROR(SEARCH("湯凍",A28)))</formula>
    </cfRule>
    <cfRule type="containsText" dxfId="236" priority="14" operator="containsText" text="中華">
      <formula>NOT(ISERROR(SEARCH("中華",A28)))</formula>
    </cfRule>
  </conditionalFormatting>
  <conditionalFormatting sqref="A28:A37">
    <cfRule type="containsText" dxfId="235" priority="7" operator="containsText" text="綠豆芽">
      <formula>NOT(ISERROR(SEARCH("綠豆芽",A28)))</formula>
    </cfRule>
    <cfRule type="containsText" dxfId="234" priority="8" operator="containsText" text="煮白細麵生(方#12)">
      <formula>NOT(ISERROR(SEARCH("煮白細麵生(方#12)",A28)))</formula>
    </cfRule>
  </conditionalFormatting>
  <conditionalFormatting sqref="H28:H37">
    <cfRule type="cellIs" dxfId="233" priority="6" operator="greaterThan">
      <formula>1.1</formula>
    </cfRule>
  </conditionalFormatting>
  <conditionalFormatting sqref="G5">
    <cfRule type="cellIs" dxfId="232" priority="1" operator="greaterThan">
      <formula>0.0025</formula>
    </cfRule>
    <cfRule type="cellIs" dxfId="231" priority="2" operator="greaterThan">
      <formula>0.0025</formula>
    </cfRule>
    <cfRule type="cellIs" dxfId="230" priority="4" operator="greaterThan">
      <formula>0.072</formula>
    </cfRule>
    <cfRule type="cellIs" dxfId="229" priority="5" operator="greaterThan">
      <formula>7.2</formula>
    </cfRule>
  </conditionalFormatting>
  <conditionalFormatting sqref="G5">
    <cfRule type="cellIs" dxfId="22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9" zoomScale="60" zoomScaleNormal="60" zoomScaleSheetLayoutView="70" workbookViewId="0">
      <selection activeCell="Q35" sqref="Q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213" t="s">
        <v>31</v>
      </c>
      <c r="B2" s="1214"/>
      <c r="C2" s="161" t="s">
        <v>32</v>
      </c>
      <c r="D2" s="1215" t="s">
        <v>33</v>
      </c>
      <c r="E2" s="1215"/>
      <c r="F2" s="1215" t="s">
        <v>34</v>
      </c>
      <c r="G2" s="1215"/>
      <c r="H2" s="1215" t="s">
        <v>33</v>
      </c>
      <c r="I2" s="1215"/>
      <c r="J2" s="1215" t="s">
        <v>34</v>
      </c>
      <c r="K2" s="1215"/>
      <c r="L2" s="1215" t="s">
        <v>33</v>
      </c>
      <c r="M2" s="1216"/>
      <c r="R2" s="17"/>
    </row>
    <row r="3" spans="1:18" s="18" customFormat="1" ht="28.5" x14ac:dyDescent="0.45">
      <c r="A3" s="1223">
        <v>45906</v>
      </c>
      <c r="B3" s="1224"/>
      <c r="C3" s="1225">
        <v>4788156.05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223"/>
      <c r="B4" s="1224"/>
      <c r="C4" s="1225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217" t="s">
        <v>44</v>
      </c>
      <c r="B5" s="1218"/>
      <c r="C5" s="1218"/>
      <c r="D5" s="162">
        <v>11490.16</v>
      </c>
      <c r="E5" s="22">
        <f>D5/C3</f>
        <v>2.3997045793860456E-3</v>
      </c>
      <c r="F5" s="162">
        <v>37827.680000000022</v>
      </c>
      <c r="G5" s="23">
        <f>F5/C3</f>
        <v>7.9002604770995345E-3</v>
      </c>
      <c r="H5" s="24">
        <f>SUM(C12:C21)</f>
        <v>3417.04</v>
      </c>
      <c r="I5" s="25">
        <f>H5/D5</f>
        <v>0.29738837405223251</v>
      </c>
      <c r="J5" s="24">
        <f>SUM(C28:C37)</f>
        <v>14348.1</v>
      </c>
      <c r="K5" s="26">
        <f>J5/F5</f>
        <v>0.37930161194130835</v>
      </c>
      <c r="L5" s="27">
        <v>4562.0599999999986</v>
      </c>
      <c r="M5" s="28">
        <f>L5/D5</f>
        <v>0.39704059821621274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309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310</v>
      </c>
      <c r="B8" s="620"/>
      <c r="C8" s="620"/>
      <c r="D8" s="620" t="s">
        <v>311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312</v>
      </c>
      <c r="P8" s="630" t="s">
        <v>313</v>
      </c>
      <c r="Q8" s="629" t="s">
        <v>314</v>
      </c>
      <c r="R8" s="1219" t="s">
        <v>315</v>
      </c>
    </row>
    <row r="9" spans="1:18" ht="20.45" customHeight="1" x14ac:dyDescent="0.25">
      <c r="A9" s="1220" t="s">
        <v>316</v>
      </c>
      <c r="B9" s="634" t="s">
        <v>317</v>
      </c>
      <c r="C9" s="635"/>
      <c r="D9" s="636" t="s">
        <v>318</v>
      </c>
      <c r="E9" s="636"/>
      <c r="F9" s="636"/>
      <c r="G9" s="636"/>
      <c r="H9" s="636"/>
      <c r="I9" s="636"/>
      <c r="J9" s="637" t="s">
        <v>319</v>
      </c>
      <c r="K9" s="637"/>
      <c r="L9" s="637"/>
      <c r="M9" s="638"/>
      <c r="N9" s="638"/>
      <c r="O9" s="629"/>
      <c r="P9" s="629"/>
      <c r="Q9" s="629"/>
      <c r="R9" s="1219"/>
    </row>
    <row r="10" spans="1:18" ht="20.45" customHeight="1" x14ac:dyDescent="0.3">
      <c r="A10" s="1221"/>
      <c r="B10" s="1226" t="s">
        <v>320</v>
      </c>
      <c r="C10" s="1228" t="s">
        <v>321</v>
      </c>
      <c r="D10" s="1230" t="s">
        <v>322</v>
      </c>
      <c r="E10" s="1230"/>
      <c r="F10" s="1230"/>
      <c r="G10" s="1230"/>
      <c r="H10" s="1230"/>
      <c r="I10" s="1230"/>
      <c r="J10" s="1231" t="s">
        <v>323</v>
      </c>
      <c r="K10" s="1232"/>
      <c r="L10" s="1233" t="s">
        <v>324</v>
      </c>
      <c r="M10" s="1231"/>
      <c r="N10" s="1231"/>
      <c r="O10" s="629"/>
      <c r="P10" s="629"/>
      <c r="Q10" s="629"/>
      <c r="R10" s="1219"/>
    </row>
    <row r="11" spans="1:18" s="29" customFormat="1" ht="47.25" customHeight="1" x14ac:dyDescent="0.25">
      <c r="A11" s="1222"/>
      <c r="B11" s="1227"/>
      <c r="C11" s="1229"/>
      <c r="D11" s="163" t="s">
        <v>325</v>
      </c>
      <c r="E11" s="163" t="s">
        <v>326</v>
      </c>
      <c r="F11" s="163" t="s">
        <v>327</v>
      </c>
      <c r="G11" s="163" t="s">
        <v>328</v>
      </c>
      <c r="H11" s="163" t="s">
        <v>329</v>
      </c>
      <c r="I11" s="163" t="s">
        <v>330</v>
      </c>
      <c r="J11" s="164" t="s">
        <v>331</v>
      </c>
      <c r="K11" s="164" t="s">
        <v>332</v>
      </c>
      <c r="L11" s="164" t="s">
        <v>331</v>
      </c>
      <c r="M11" s="164" t="s">
        <v>332</v>
      </c>
      <c r="N11" s="165" t="s">
        <v>333</v>
      </c>
      <c r="O11" s="629"/>
      <c r="P11" s="629"/>
      <c r="Q11" s="629"/>
      <c r="R11" s="1219"/>
    </row>
    <row r="12" spans="1:18" s="38" customFormat="1" ht="24.95" customHeight="1" x14ac:dyDescent="0.25">
      <c r="A12" s="166">
        <v>1</v>
      </c>
      <c r="B12" s="30" t="s">
        <v>58</v>
      </c>
      <c r="C12" s="31">
        <v>1058.8499999999999</v>
      </c>
      <c r="D12" s="32">
        <v>10870</v>
      </c>
      <c r="E12" s="32">
        <v>10870</v>
      </c>
      <c r="F12" s="32">
        <v>182.56</v>
      </c>
      <c r="G12" s="31">
        <v>5.8</v>
      </c>
      <c r="H12" s="33">
        <f t="shared" ref="H12:H21" si="0">(E12+F12)/D12</f>
        <v>1.0167948482060718</v>
      </c>
      <c r="I12" s="31">
        <v>1058.8499999999999</v>
      </c>
      <c r="J12" s="32">
        <v>182.56</v>
      </c>
      <c r="K12" s="34">
        <f t="shared" ref="K12:K21" si="1">J12/D12</f>
        <v>1.6794848206071758E-2</v>
      </c>
      <c r="L12" s="167">
        <f t="shared" ref="L12:L21" si="2">((E12+F12)-D12)-J12</f>
        <v>-5.1159076974727213E-13</v>
      </c>
      <c r="M12" s="35">
        <f t="shared" ref="M12:M21" si="3">L12/D12</f>
        <v>-4.7064468238019514E-17</v>
      </c>
      <c r="N12" s="168">
        <f t="shared" ref="N12:N21" si="4">L12*G12</f>
        <v>-2.9672264645341781E-12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169">
        <v>2</v>
      </c>
      <c r="B13" s="30" t="s">
        <v>61</v>
      </c>
      <c r="C13" s="31">
        <v>586.08000000000004</v>
      </c>
      <c r="D13" s="32">
        <v>4924</v>
      </c>
      <c r="E13" s="32">
        <v>4924</v>
      </c>
      <c r="F13" s="32">
        <v>89.07</v>
      </c>
      <c r="G13" s="31">
        <v>6.58</v>
      </c>
      <c r="H13" s="33">
        <f t="shared" si="0"/>
        <v>1.0180889520714866</v>
      </c>
      <c r="I13" s="31">
        <v>586.08000000000004</v>
      </c>
      <c r="J13" s="32">
        <v>89.07</v>
      </c>
      <c r="K13" s="34">
        <f t="shared" si="1"/>
        <v>1.8088952071486596E-2</v>
      </c>
      <c r="L13" s="167">
        <f t="shared" si="2"/>
        <v>-2.8421709430404007E-13</v>
      </c>
      <c r="M13" s="35">
        <f t="shared" si="3"/>
        <v>-5.7720774635264022E-17</v>
      </c>
      <c r="N13" s="168">
        <f t="shared" si="4"/>
        <v>-1.8701484805205836E-12</v>
      </c>
      <c r="O13" s="36" t="s">
        <v>142</v>
      </c>
      <c r="P13" s="36" t="s">
        <v>26</v>
      </c>
      <c r="Q13" s="36" t="s">
        <v>143</v>
      </c>
      <c r="R13" s="37" t="s">
        <v>59</v>
      </c>
    </row>
    <row r="14" spans="1:18" s="39" customFormat="1" ht="24.95" customHeight="1" x14ac:dyDescent="0.25">
      <c r="A14" s="169">
        <v>3</v>
      </c>
      <c r="B14" s="30" t="s">
        <v>87</v>
      </c>
      <c r="C14" s="31">
        <v>436.59</v>
      </c>
      <c r="D14" s="32">
        <v>147.33000000000001</v>
      </c>
      <c r="E14" s="32">
        <v>147.33000000000001</v>
      </c>
      <c r="F14" s="32">
        <v>4.74</v>
      </c>
      <c r="G14" s="31">
        <v>194.04</v>
      </c>
      <c r="H14" s="33">
        <f t="shared" si="0"/>
        <v>1.0321726735899004</v>
      </c>
      <c r="I14" s="31">
        <v>919.75</v>
      </c>
      <c r="J14" s="32">
        <v>2.25</v>
      </c>
      <c r="K14" s="34">
        <f t="shared" si="1"/>
        <v>1.5271838729383017E-2</v>
      </c>
      <c r="L14" s="167">
        <f t="shared" si="2"/>
        <v>2.4900000000000091</v>
      </c>
      <c r="M14" s="35">
        <f t="shared" si="3"/>
        <v>1.6900834860517265E-2</v>
      </c>
      <c r="N14" s="168">
        <f t="shared" si="4"/>
        <v>483.15960000000172</v>
      </c>
      <c r="O14" s="36" t="s">
        <v>139</v>
      </c>
      <c r="P14" s="36" t="s">
        <v>25</v>
      </c>
      <c r="Q14" s="36" t="s">
        <v>144</v>
      </c>
      <c r="R14" s="37" t="s">
        <v>88</v>
      </c>
    </row>
    <row r="15" spans="1:18" s="38" customFormat="1" ht="24.95" customHeight="1" x14ac:dyDescent="0.25">
      <c r="A15" s="166">
        <v>4</v>
      </c>
      <c r="B15" s="30" t="s">
        <v>69</v>
      </c>
      <c r="C15" s="31">
        <v>433.86</v>
      </c>
      <c r="D15" s="32">
        <v>9894</v>
      </c>
      <c r="E15" s="32">
        <v>9894</v>
      </c>
      <c r="F15" s="32">
        <v>68.489999999999995</v>
      </c>
      <c r="G15" s="31">
        <v>7</v>
      </c>
      <c r="H15" s="33">
        <f t="shared" si="0"/>
        <v>1.006922377198302</v>
      </c>
      <c r="I15" s="31">
        <v>479.43</v>
      </c>
      <c r="J15" s="32">
        <v>61.98</v>
      </c>
      <c r="K15" s="34">
        <f t="shared" si="1"/>
        <v>6.2644026682838081E-3</v>
      </c>
      <c r="L15" s="167">
        <f t="shared" si="2"/>
        <v>6.5099999999997848</v>
      </c>
      <c r="M15" s="35">
        <f t="shared" si="3"/>
        <v>6.5797453001817114E-4</v>
      </c>
      <c r="N15" s="168">
        <f t="shared" si="4"/>
        <v>45.569999999998494</v>
      </c>
      <c r="O15" s="36" t="s">
        <v>142</v>
      </c>
      <c r="P15" s="36" t="s">
        <v>26</v>
      </c>
      <c r="Q15" s="36" t="s">
        <v>143</v>
      </c>
      <c r="R15" s="37" t="s">
        <v>59</v>
      </c>
    </row>
    <row r="16" spans="1:18" s="39" customFormat="1" ht="24.95" customHeight="1" x14ac:dyDescent="0.25">
      <c r="A16" s="169">
        <v>5</v>
      </c>
      <c r="B16" s="30" t="s">
        <v>80</v>
      </c>
      <c r="C16" s="31">
        <v>242.93</v>
      </c>
      <c r="D16" s="32">
        <v>266.45999999999998</v>
      </c>
      <c r="E16" s="32">
        <v>266.45999999999998</v>
      </c>
      <c r="F16" s="32">
        <v>11.03</v>
      </c>
      <c r="G16" s="31">
        <v>156.72999999999999</v>
      </c>
      <c r="H16" s="33">
        <f t="shared" si="0"/>
        <v>1.0413945808001199</v>
      </c>
      <c r="I16" s="31">
        <v>1728.73</v>
      </c>
      <c r="J16" s="32">
        <v>1.55</v>
      </c>
      <c r="K16" s="34">
        <f t="shared" si="1"/>
        <v>5.8170081813405392E-3</v>
      </c>
      <c r="L16" s="167">
        <f t="shared" si="2"/>
        <v>9.479999999999972</v>
      </c>
      <c r="M16" s="35">
        <f t="shared" si="3"/>
        <v>3.5577572618779453E-2</v>
      </c>
      <c r="N16" s="168">
        <f t="shared" si="4"/>
        <v>1485.8003999999955</v>
      </c>
      <c r="O16" s="36" t="s">
        <v>142</v>
      </c>
      <c r="P16" s="36" t="s">
        <v>26</v>
      </c>
      <c r="Q16" s="36" t="s">
        <v>145</v>
      </c>
      <c r="R16" s="37" t="s">
        <v>59</v>
      </c>
    </row>
    <row r="17" spans="1:18" s="38" customFormat="1" ht="24.95" customHeight="1" x14ac:dyDescent="0.25">
      <c r="A17" s="166">
        <v>6</v>
      </c>
      <c r="B17" s="30" t="s">
        <v>60</v>
      </c>
      <c r="C17" s="31">
        <v>171.48</v>
      </c>
      <c r="D17" s="32">
        <v>172.34</v>
      </c>
      <c r="E17" s="32">
        <v>172.34</v>
      </c>
      <c r="F17" s="32">
        <v>5.55</v>
      </c>
      <c r="G17" s="31">
        <v>99.12</v>
      </c>
      <c r="H17" s="33">
        <f t="shared" si="0"/>
        <v>1.0322037832192179</v>
      </c>
      <c r="I17" s="31">
        <v>550.12</v>
      </c>
      <c r="J17" s="32">
        <v>1.73</v>
      </c>
      <c r="K17" s="34">
        <f t="shared" si="1"/>
        <v>1.0038296390855286E-2</v>
      </c>
      <c r="L17" s="167">
        <f t="shared" si="2"/>
        <v>3.8200000000000114</v>
      </c>
      <c r="M17" s="35">
        <f t="shared" si="3"/>
        <v>2.2165486828362606E-2</v>
      </c>
      <c r="N17" s="168">
        <f t="shared" si="4"/>
        <v>378.63840000000113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169">
        <v>7</v>
      </c>
      <c r="B18" s="30" t="s">
        <v>254</v>
      </c>
      <c r="C18" s="31">
        <v>155.24</v>
      </c>
      <c r="D18" s="32">
        <v>154.43</v>
      </c>
      <c r="E18" s="32">
        <v>154.43</v>
      </c>
      <c r="F18" s="32">
        <v>4.97</v>
      </c>
      <c r="G18" s="31">
        <v>110.1</v>
      </c>
      <c r="H18" s="33">
        <f t="shared" si="0"/>
        <v>1.0321828660234411</v>
      </c>
      <c r="I18" s="31">
        <v>547.20000000000005</v>
      </c>
      <c r="J18" s="32">
        <v>1.41</v>
      </c>
      <c r="K18" s="34">
        <f t="shared" si="1"/>
        <v>9.1303503205335743E-3</v>
      </c>
      <c r="L18" s="167">
        <f t="shared" si="2"/>
        <v>3.5599999999999987</v>
      </c>
      <c r="M18" s="35">
        <f t="shared" si="3"/>
        <v>2.3052515702907457E-2</v>
      </c>
      <c r="N18" s="168">
        <f t="shared" si="4"/>
        <v>391.95599999999985</v>
      </c>
      <c r="O18" s="36" t="s">
        <v>139</v>
      </c>
      <c r="P18" s="36" t="s">
        <v>25</v>
      </c>
      <c r="Q18" s="36" t="s">
        <v>141</v>
      </c>
      <c r="R18" s="37" t="s">
        <v>59</v>
      </c>
    </row>
    <row r="19" spans="1:18" s="38" customFormat="1" ht="24.95" customHeight="1" x14ac:dyDescent="0.25">
      <c r="A19" s="166">
        <v>8</v>
      </c>
      <c r="B19" s="30" t="s">
        <v>334</v>
      </c>
      <c r="C19" s="31">
        <v>144.96</v>
      </c>
      <c r="D19" s="32">
        <v>58.06</v>
      </c>
      <c r="E19" s="32">
        <v>58.06</v>
      </c>
      <c r="F19" s="32">
        <v>1.33</v>
      </c>
      <c r="G19" s="31">
        <v>114.14</v>
      </c>
      <c r="H19" s="33">
        <f t="shared" si="0"/>
        <v>1.0229073372373407</v>
      </c>
      <c r="I19" s="31">
        <v>151.81</v>
      </c>
      <c r="J19" s="32">
        <v>1.27</v>
      </c>
      <c r="K19" s="34">
        <f t="shared" si="1"/>
        <v>2.1873923527385462E-2</v>
      </c>
      <c r="L19" s="167">
        <f t="shared" si="2"/>
        <v>5.9999999999998277E-2</v>
      </c>
      <c r="M19" s="35">
        <f t="shared" si="3"/>
        <v>1.033413709955189E-3</v>
      </c>
      <c r="N19" s="168">
        <f t="shared" si="4"/>
        <v>6.8483999999998035</v>
      </c>
      <c r="O19" s="36" t="s">
        <v>139</v>
      </c>
      <c r="P19" s="36" t="s">
        <v>25</v>
      </c>
      <c r="Q19" s="36" t="s">
        <v>144</v>
      </c>
      <c r="R19" s="37" t="s">
        <v>335</v>
      </c>
    </row>
    <row r="20" spans="1:18" s="38" customFormat="1" ht="24.95" customHeight="1" x14ac:dyDescent="0.25">
      <c r="A20" s="169">
        <v>9</v>
      </c>
      <c r="B20" s="30" t="s">
        <v>64</v>
      </c>
      <c r="C20" s="31">
        <v>105.63</v>
      </c>
      <c r="D20" s="32">
        <v>2954</v>
      </c>
      <c r="E20" s="32">
        <v>2954</v>
      </c>
      <c r="F20" s="32">
        <v>15.09</v>
      </c>
      <c r="G20" s="31">
        <v>7</v>
      </c>
      <c r="H20" s="33">
        <f t="shared" si="0"/>
        <v>1.0051083276912662</v>
      </c>
      <c r="I20" s="31">
        <v>105.63</v>
      </c>
      <c r="J20" s="32">
        <v>15.09</v>
      </c>
      <c r="K20" s="34">
        <f t="shared" si="1"/>
        <v>5.1083276912660801E-3</v>
      </c>
      <c r="L20" s="167">
        <f t="shared" si="2"/>
        <v>1.4566126083082054E-13</v>
      </c>
      <c r="M20" s="35">
        <f t="shared" si="3"/>
        <v>4.9309837789715822E-17</v>
      </c>
      <c r="N20" s="168">
        <f t="shared" si="4"/>
        <v>1.0196288258157438E-12</v>
      </c>
      <c r="O20" s="36" t="s">
        <v>142</v>
      </c>
      <c r="P20" s="36" t="s">
        <v>26</v>
      </c>
      <c r="Q20" s="36" t="s">
        <v>143</v>
      </c>
      <c r="R20" s="37" t="s">
        <v>59</v>
      </c>
    </row>
    <row r="21" spans="1:18" s="38" customFormat="1" ht="24.95" customHeight="1" thickBot="1" x14ac:dyDescent="0.3">
      <c r="A21" s="170">
        <v>10</v>
      </c>
      <c r="B21" s="40" t="s">
        <v>70</v>
      </c>
      <c r="C21" s="41">
        <v>81.42</v>
      </c>
      <c r="D21" s="42">
        <v>36.380000000000003</v>
      </c>
      <c r="E21" s="42">
        <v>36.380000000000003</v>
      </c>
      <c r="F21" s="42">
        <v>1.67</v>
      </c>
      <c r="G21" s="41">
        <v>814.16</v>
      </c>
      <c r="H21" s="43">
        <f t="shared" si="0"/>
        <v>1.0459043430456294</v>
      </c>
      <c r="I21" s="41">
        <v>1359.65</v>
      </c>
      <c r="J21" s="42">
        <v>0.1</v>
      </c>
      <c r="K21" s="44">
        <f t="shared" si="1"/>
        <v>2.7487630566245189E-3</v>
      </c>
      <c r="L21" s="171">
        <f t="shared" si="2"/>
        <v>1.5700000000000016</v>
      </c>
      <c r="M21" s="45">
        <f t="shared" si="3"/>
        <v>4.3155579989004988E-2</v>
      </c>
      <c r="N21" s="172">
        <f t="shared" si="4"/>
        <v>1278.2312000000013</v>
      </c>
      <c r="O21" s="46" t="s">
        <v>139</v>
      </c>
      <c r="P21" s="60" t="s">
        <v>25</v>
      </c>
      <c r="Q21" s="60" t="s">
        <v>138</v>
      </c>
      <c r="R21" s="47" t="s">
        <v>71</v>
      </c>
    </row>
    <row r="22" spans="1:18" s="53" customFormat="1" ht="24.95" customHeight="1" thickBot="1" x14ac:dyDescent="0.3">
      <c r="A22" s="173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174"/>
      <c r="M22" s="51"/>
      <c r="N22" s="175"/>
      <c r="O22" s="52"/>
      <c r="P22" s="52"/>
      <c r="Q22" s="52"/>
      <c r="R22" s="48"/>
    </row>
    <row r="23" spans="1:18" s="53" customFormat="1" ht="40.5" customHeight="1" x14ac:dyDescent="0.25">
      <c r="A23" s="616" t="s">
        <v>336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310</v>
      </c>
      <c r="B24" s="620"/>
      <c r="C24" s="620"/>
      <c r="D24" s="620" t="s">
        <v>311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312</v>
      </c>
      <c r="P24" s="630" t="s">
        <v>313</v>
      </c>
      <c r="Q24" s="629" t="s">
        <v>314</v>
      </c>
      <c r="R24" s="1219" t="s">
        <v>315</v>
      </c>
    </row>
    <row r="25" spans="1:18" s="53" customFormat="1" ht="24.95" customHeight="1" x14ac:dyDescent="0.25">
      <c r="A25" s="1220" t="s">
        <v>316</v>
      </c>
      <c r="B25" s="634" t="s">
        <v>317</v>
      </c>
      <c r="C25" s="635"/>
      <c r="D25" s="636" t="s">
        <v>318</v>
      </c>
      <c r="E25" s="636"/>
      <c r="F25" s="636"/>
      <c r="G25" s="636"/>
      <c r="H25" s="636"/>
      <c r="I25" s="636"/>
      <c r="J25" s="637" t="s">
        <v>319</v>
      </c>
      <c r="K25" s="637"/>
      <c r="L25" s="637"/>
      <c r="M25" s="638"/>
      <c r="N25" s="638"/>
      <c r="O25" s="629"/>
      <c r="P25" s="629"/>
      <c r="Q25" s="629"/>
      <c r="R25" s="1219"/>
    </row>
    <row r="26" spans="1:18" s="53" customFormat="1" ht="24.95" customHeight="1" x14ac:dyDescent="0.3">
      <c r="A26" s="1221"/>
      <c r="B26" s="1226" t="s">
        <v>100</v>
      </c>
      <c r="C26" s="1228" t="s">
        <v>337</v>
      </c>
      <c r="D26" s="1230" t="s">
        <v>322</v>
      </c>
      <c r="E26" s="1230"/>
      <c r="F26" s="1230"/>
      <c r="G26" s="1230"/>
      <c r="H26" s="1230"/>
      <c r="I26" s="1230"/>
      <c r="J26" s="1231" t="s">
        <v>323</v>
      </c>
      <c r="K26" s="1234"/>
      <c r="L26" s="1232"/>
      <c r="M26" s="1231" t="s">
        <v>324</v>
      </c>
      <c r="N26" s="1232"/>
      <c r="O26" s="629"/>
      <c r="P26" s="629"/>
      <c r="Q26" s="629"/>
      <c r="R26" s="1219"/>
    </row>
    <row r="27" spans="1:18" s="53" customFormat="1" ht="50.1" customHeight="1" x14ac:dyDescent="0.25">
      <c r="A27" s="1222"/>
      <c r="B27" s="1227"/>
      <c r="C27" s="1229"/>
      <c r="D27" s="163" t="s">
        <v>325</v>
      </c>
      <c r="E27" s="163" t="s">
        <v>326</v>
      </c>
      <c r="F27" s="163" t="s">
        <v>327</v>
      </c>
      <c r="G27" s="163" t="s">
        <v>328</v>
      </c>
      <c r="H27" s="163" t="s">
        <v>329</v>
      </c>
      <c r="I27" s="163" t="s">
        <v>330</v>
      </c>
      <c r="J27" s="164" t="s">
        <v>331</v>
      </c>
      <c r="K27" s="164" t="s">
        <v>332</v>
      </c>
      <c r="L27" s="165" t="s">
        <v>333</v>
      </c>
      <c r="M27" s="164" t="s">
        <v>331</v>
      </c>
      <c r="N27" s="164" t="s">
        <v>332</v>
      </c>
      <c r="O27" s="629"/>
      <c r="P27" s="629"/>
      <c r="Q27" s="629"/>
      <c r="R27" s="1219"/>
    </row>
    <row r="28" spans="1:18" s="53" customFormat="1" ht="24.95" customHeight="1" x14ac:dyDescent="0.25">
      <c r="A28" s="166">
        <v>1</v>
      </c>
      <c r="B28" s="30" t="s">
        <v>68</v>
      </c>
      <c r="C28" s="31">
        <v>1884.0100000000002</v>
      </c>
      <c r="D28" s="32">
        <v>302.32</v>
      </c>
      <c r="E28" s="32">
        <v>302.32</v>
      </c>
      <c r="F28" s="32">
        <v>12.52</v>
      </c>
      <c r="G28" s="31">
        <v>156.74</v>
      </c>
      <c r="H28" s="54">
        <f t="shared" ref="H28:H37" si="5">(E28+F28)/D28</f>
        <v>1.0414130722413337</v>
      </c>
      <c r="I28" s="31">
        <v>1962.38</v>
      </c>
      <c r="J28" s="32">
        <v>0.5</v>
      </c>
      <c r="K28" s="34">
        <f t="shared" ref="K28:K37" si="6">J28/D28</f>
        <v>1.6538766869542208E-3</v>
      </c>
      <c r="L28" s="168">
        <f t="shared" ref="L28:L37" si="7">J28*G28</f>
        <v>78.37</v>
      </c>
      <c r="M28" s="167">
        <f t="shared" ref="M28:M37" si="8">((E28+F28)-D28)-J28</f>
        <v>12.019999999999982</v>
      </c>
      <c r="N28" s="35">
        <f t="shared" ref="N28:N37" si="9">M28/D28</f>
        <v>3.9759195554379408E-2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169">
        <v>2</v>
      </c>
      <c r="B29" s="30" t="s">
        <v>74</v>
      </c>
      <c r="C29" s="31">
        <v>1712.32</v>
      </c>
      <c r="D29" s="32">
        <v>323.08</v>
      </c>
      <c r="E29" s="32">
        <v>323.08</v>
      </c>
      <c r="F29" s="32">
        <v>13.38</v>
      </c>
      <c r="G29" s="31">
        <v>133.88</v>
      </c>
      <c r="H29" s="54">
        <f t="shared" si="5"/>
        <v>1.0414138912962734</v>
      </c>
      <c r="I29" s="31">
        <v>1791.31</v>
      </c>
      <c r="J29" s="32">
        <v>0.59</v>
      </c>
      <c r="K29" s="34">
        <f t="shared" si="6"/>
        <v>1.826173084065866E-3</v>
      </c>
      <c r="L29" s="168">
        <f t="shared" si="7"/>
        <v>78.989199999999997</v>
      </c>
      <c r="M29" s="167">
        <f t="shared" si="8"/>
        <v>12.789999999999996</v>
      </c>
      <c r="N29" s="35">
        <f t="shared" si="9"/>
        <v>3.9587718212207489E-2</v>
      </c>
      <c r="O29" s="55" t="s">
        <v>133</v>
      </c>
      <c r="P29" s="56" t="s">
        <v>25</v>
      </c>
      <c r="Q29" s="56" t="s">
        <v>134</v>
      </c>
      <c r="R29" s="37" t="s">
        <v>75</v>
      </c>
    </row>
    <row r="30" spans="1:18" s="53" customFormat="1" ht="24.95" customHeight="1" x14ac:dyDescent="0.25">
      <c r="A30" s="169">
        <v>3</v>
      </c>
      <c r="B30" s="30" t="s">
        <v>76</v>
      </c>
      <c r="C30" s="31">
        <v>1577.74</v>
      </c>
      <c r="D30" s="32">
        <v>590.79999999999995</v>
      </c>
      <c r="E30" s="32">
        <v>590.79999999999995</v>
      </c>
      <c r="F30" s="32">
        <v>27.18</v>
      </c>
      <c r="G30" s="31">
        <v>60.94</v>
      </c>
      <c r="H30" s="54">
        <f t="shared" si="5"/>
        <v>1.0460054163845631</v>
      </c>
      <c r="I30" s="31">
        <v>1656.35</v>
      </c>
      <c r="J30" s="57">
        <v>1.29</v>
      </c>
      <c r="K30" s="34">
        <f t="shared" si="6"/>
        <v>2.1834800270819229E-3</v>
      </c>
      <c r="L30" s="168">
        <f t="shared" si="7"/>
        <v>78.6126</v>
      </c>
      <c r="M30" s="167">
        <f t="shared" si="8"/>
        <v>25.889999999999951</v>
      </c>
      <c r="N30" s="35">
        <f t="shared" si="9"/>
        <v>4.38219363574813E-2</v>
      </c>
      <c r="O30" s="55" t="s">
        <v>133</v>
      </c>
      <c r="P30" s="56" t="s">
        <v>25</v>
      </c>
      <c r="Q30" s="56" t="s">
        <v>134</v>
      </c>
      <c r="R30" s="37" t="s">
        <v>77</v>
      </c>
    </row>
    <row r="31" spans="1:18" s="53" customFormat="1" ht="24.95" customHeight="1" x14ac:dyDescent="0.25">
      <c r="A31" s="166">
        <v>4</v>
      </c>
      <c r="B31" s="30" t="s">
        <v>80</v>
      </c>
      <c r="C31" s="31">
        <v>1485.8</v>
      </c>
      <c r="D31" s="32">
        <v>266.45999999999998</v>
      </c>
      <c r="E31" s="32">
        <v>266.45999999999998</v>
      </c>
      <c r="F31" s="32">
        <v>11.03</v>
      </c>
      <c r="G31" s="31">
        <v>156.72999999999999</v>
      </c>
      <c r="H31" s="54">
        <f t="shared" si="5"/>
        <v>1.0413945808001199</v>
      </c>
      <c r="I31" s="31">
        <v>1728.73</v>
      </c>
      <c r="J31" s="32">
        <v>1.55</v>
      </c>
      <c r="K31" s="34">
        <f t="shared" si="6"/>
        <v>5.8170081813405392E-3</v>
      </c>
      <c r="L31" s="168">
        <f t="shared" si="7"/>
        <v>242.9315</v>
      </c>
      <c r="M31" s="167">
        <f t="shared" si="8"/>
        <v>9.479999999999972</v>
      </c>
      <c r="N31" s="35">
        <f t="shared" si="9"/>
        <v>3.5577572618779453E-2</v>
      </c>
      <c r="O31" s="55" t="s">
        <v>133</v>
      </c>
      <c r="P31" s="56" t="s">
        <v>25</v>
      </c>
      <c r="Q31" s="56" t="s">
        <v>136</v>
      </c>
      <c r="R31" s="37" t="s">
        <v>59</v>
      </c>
    </row>
    <row r="32" spans="1:18" s="53" customFormat="1" ht="24.95" customHeight="1" x14ac:dyDescent="0.25">
      <c r="A32" s="169">
        <v>5</v>
      </c>
      <c r="B32" s="30" t="s">
        <v>78</v>
      </c>
      <c r="C32" s="31">
        <v>1466.5</v>
      </c>
      <c r="D32" s="32">
        <v>488.32</v>
      </c>
      <c r="E32" s="32">
        <v>488.32</v>
      </c>
      <c r="F32" s="32">
        <v>20.22</v>
      </c>
      <c r="G32" s="31">
        <v>76.42</v>
      </c>
      <c r="H32" s="54">
        <f t="shared" si="5"/>
        <v>1.0414072739187417</v>
      </c>
      <c r="I32" s="31">
        <v>1545.21</v>
      </c>
      <c r="J32" s="32">
        <v>1.03</v>
      </c>
      <c r="K32" s="34">
        <f t="shared" si="6"/>
        <v>2.1092726081258194E-3</v>
      </c>
      <c r="L32" s="168">
        <f t="shared" si="7"/>
        <v>78.712600000000009</v>
      </c>
      <c r="M32" s="167">
        <f t="shared" si="8"/>
        <v>19.189999999999969</v>
      </c>
      <c r="N32" s="35">
        <f t="shared" si="9"/>
        <v>3.9298001310615928E-2</v>
      </c>
      <c r="O32" s="55" t="s">
        <v>133</v>
      </c>
      <c r="P32" s="56" t="s">
        <v>25</v>
      </c>
      <c r="Q32" s="56" t="s">
        <v>135</v>
      </c>
      <c r="R32" s="37" t="s">
        <v>79</v>
      </c>
    </row>
    <row r="33" spans="1:18" s="53" customFormat="1" ht="24.95" customHeight="1" x14ac:dyDescent="0.25">
      <c r="A33" s="166">
        <v>6</v>
      </c>
      <c r="B33" s="30" t="s">
        <v>83</v>
      </c>
      <c r="C33" s="31">
        <v>1453.1599999999999</v>
      </c>
      <c r="D33" s="32">
        <v>432.75</v>
      </c>
      <c r="E33" s="32">
        <v>432.75</v>
      </c>
      <c r="F33" s="32">
        <v>17.920000000000002</v>
      </c>
      <c r="G33" s="31">
        <v>85.48</v>
      </c>
      <c r="H33" s="54">
        <f t="shared" si="5"/>
        <v>1.0414095898324669</v>
      </c>
      <c r="I33" s="31">
        <v>1531.8</v>
      </c>
      <c r="J33" s="32">
        <v>0.92</v>
      </c>
      <c r="K33" s="34">
        <f t="shared" si="6"/>
        <v>2.1259387637203929E-3</v>
      </c>
      <c r="L33" s="168">
        <f t="shared" si="7"/>
        <v>78.641600000000011</v>
      </c>
      <c r="M33" s="167">
        <f t="shared" si="8"/>
        <v>17.000000000000014</v>
      </c>
      <c r="N33" s="35">
        <f t="shared" si="9"/>
        <v>3.9283651068746421E-2</v>
      </c>
      <c r="O33" s="55" t="s">
        <v>133</v>
      </c>
      <c r="P33" s="56" t="s">
        <v>25</v>
      </c>
      <c r="Q33" s="56" t="s">
        <v>134</v>
      </c>
      <c r="R33" s="37" t="s">
        <v>84</v>
      </c>
    </row>
    <row r="34" spans="1:18" s="53" customFormat="1" ht="24.95" customHeight="1" x14ac:dyDescent="0.25">
      <c r="A34" s="169">
        <v>7</v>
      </c>
      <c r="B34" s="30" t="s">
        <v>81</v>
      </c>
      <c r="C34" s="31">
        <v>1358.78</v>
      </c>
      <c r="D34" s="32">
        <v>496.06</v>
      </c>
      <c r="E34" s="32">
        <v>496.06</v>
      </c>
      <c r="F34" s="32">
        <v>18.25</v>
      </c>
      <c r="G34" s="31">
        <v>78.77</v>
      </c>
      <c r="H34" s="54">
        <f t="shared" si="5"/>
        <v>1.0367899044470426</v>
      </c>
      <c r="I34" s="31">
        <v>1437.55</v>
      </c>
      <c r="J34" s="32">
        <v>1</v>
      </c>
      <c r="K34" s="34">
        <f t="shared" si="6"/>
        <v>2.0158851751804216E-3</v>
      </c>
      <c r="L34" s="168">
        <f t="shared" si="7"/>
        <v>78.77</v>
      </c>
      <c r="M34" s="167">
        <f t="shared" si="8"/>
        <v>17.249999999999943</v>
      </c>
      <c r="N34" s="35">
        <f t="shared" si="9"/>
        <v>3.4774019271862161E-2</v>
      </c>
      <c r="O34" s="55" t="s">
        <v>133</v>
      </c>
      <c r="P34" s="56" t="s">
        <v>25</v>
      </c>
      <c r="Q34" s="56" t="s">
        <v>137</v>
      </c>
      <c r="R34" s="37" t="s">
        <v>82</v>
      </c>
    </row>
    <row r="35" spans="1:18" s="53" customFormat="1" ht="24.95" customHeight="1" x14ac:dyDescent="0.25">
      <c r="A35" s="166">
        <v>8</v>
      </c>
      <c r="B35" s="30" t="s">
        <v>70</v>
      </c>
      <c r="C35" s="31">
        <v>1278.23</v>
      </c>
      <c r="D35" s="32">
        <v>36.380000000000003</v>
      </c>
      <c r="E35" s="32">
        <v>36.380000000000003</v>
      </c>
      <c r="F35" s="32">
        <v>1.67</v>
      </c>
      <c r="G35" s="31">
        <v>814.16</v>
      </c>
      <c r="H35" s="54">
        <f t="shared" si="5"/>
        <v>1.0459043430456294</v>
      </c>
      <c r="I35" s="31">
        <v>1359.65</v>
      </c>
      <c r="J35" s="32">
        <v>0.1</v>
      </c>
      <c r="K35" s="34">
        <f t="shared" si="6"/>
        <v>2.7487630566245189E-3</v>
      </c>
      <c r="L35" s="168">
        <f t="shared" si="7"/>
        <v>81.415999999999997</v>
      </c>
      <c r="M35" s="167">
        <f t="shared" si="8"/>
        <v>1.5700000000000016</v>
      </c>
      <c r="N35" s="35">
        <f t="shared" si="9"/>
        <v>4.3155579989004988E-2</v>
      </c>
      <c r="O35" s="55" t="s">
        <v>133</v>
      </c>
      <c r="P35" s="56" t="s">
        <v>25</v>
      </c>
      <c r="Q35" s="56" t="s">
        <v>590</v>
      </c>
      <c r="R35" s="37" t="s">
        <v>71</v>
      </c>
    </row>
    <row r="36" spans="1:18" s="53" customFormat="1" ht="24.95" customHeight="1" x14ac:dyDescent="0.25">
      <c r="A36" s="169">
        <v>9</v>
      </c>
      <c r="B36" s="30" t="s">
        <v>85</v>
      </c>
      <c r="C36" s="31">
        <v>1241.96</v>
      </c>
      <c r="D36" s="32">
        <v>451.44</v>
      </c>
      <c r="E36" s="32">
        <v>451.44</v>
      </c>
      <c r="F36" s="32">
        <v>16.62</v>
      </c>
      <c r="G36" s="31">
        <v>79.459999999999994</v>
      </c>
      <c r="H36" s="54">
        <f t="shared" si="5"/>
        <v>1.0368155236576289</v>
      </c>
      <c r="I36" s="31">
        <v>1320.63</v>
      </c>
      <c r="J36" s="32">
        <v>0.99</v>
      </c>
      <c r="K36" s="34">
        <f t="shared" si="6"/>
        <v>2.1929824561403508E-3</v>
      </c>
      <c r="L36" s="168">
        <f t="shared" si="7"/>
        <v>78.665399999999991</v>
      </c>
      <c r="M36" s="167">
        <f t="shared" si="8"/>
        <v>15.630000000000004</v>
      </c>
      <c r="N36" s="35">
        <f t="shared" si="9"/>
        <v>3.4622541201488582E-2</v>
      </c>
      <c r="O36" s="55" t="s">
        <v>133</v>
      </c>
      <c r="P36" s="56" t="s">
        <v>25</v>
      </c>
      <c r="Q36" s="56" t="s">
        <v>137</v>
      </c>
      <c r="R36" s="37" t="s">
        <v>86</v>
      </c>
    </row>
    <row r="37" spans="1:18" s="53" customFormat="1" ht="24.95" customHeight="1" thickBot="1" x14ac:dyDescent="0.3">
      <c r="A37" s="170">
        <v>10</v>
      </c>
      <c r="B37" s="40" t="s">
        <v>62</v>
      </c>
      <c r="C37" s="41">
        <v>889.59999999999991</v>
      </c>
      <c r="D37" s="42">
        <v>270.39999999999998</v>
      </c>
      <c r="E37" s="42">
        <v>270.39999999999998</v>
      </c>
      <c r="F37" s="42">
        <v>8.7100000000000009</v>
      </c>
      <c r="G37" s="41">
        <v>111.2</v>
      </c>
      <c r="H37" s="58">
        <f t="shared" si="5"/>
        <v>1.0322115384615385</v>
      </c>
      <c r="I37" s="41">
        <v>968.55</v>
      </c>
      <c r="J37" s="42">
        <v>0.71</v>
      </c>
      <c r="K37" s="44">
        <f t="shared" si="6"/>
        <v>2.6257396449704141E-3</v>
      </c>
      <c r="L37" s="172">
        <f t="shared" si="7"/>
        <v>78.951999999999998</v>
      </c>
      <c r="M37" s="171">
        <f t="shared" si="8"/>
        <v>7.9999999999999796</v>
      </c>
      <c r="N37" s="45">
        <f t="shared" si="9"/>
        <v>2.9585798816567973E-2</v>
      </c>
      <c r="O37" s="59" t="s">
        <v>133</v>
      </c>
      <c r="P37" s="60" t="s">
        <v>25</v>
      </c>
      <c r="Q37" s="60" t="s">
        <v>135</v>
      </c>
      <c r="R37" s="61" t="s">
        <v>63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338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310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235" t="s">
        <v>316</v>
      </c>
      <c r="B41" s="623" t="s">
        <v>317</v>
      </c>
      <c r="C41" s="623"/>
      <c r="D41" s="624"/>
      <c r="E41" s="62"/>
      <c r="G41" s="64"/>
      <c r="H41" s="65"/>
    </row>
    <row r="42" spans="1:18" ht="20.45" customHeight="1" x14ac:dyDescent="0.35">
      <c r="A42" s="1235"/>
      <c r="B42" s="1236" t="s">
        <v>320</v>
      </c>
      <c r="C42" s="1237" t="s">
        <v>321</v>
      </c>
      <c r="D42" s="1219" t="s">
        <v>339</v>
      </c>
      <c r="E42" s="62"/>
      <c r="G42" s="64"/>
      <c r="H42" s="65"/>
    </row>
    <row r="43" spans="1:18" ht="20.45" customHeight="1" x14ac:dyDescent="0.35">
      <c r="A43" s="1235"/>
      <c r="B43" s="1236"/>
      <c r="C43" s="1237"/>
      <c r="D43" s="1219"/>
      <c r="E43" s="62"/>
      <c r="G43" s="64"/>
      <c r="H43" s="65"/>
    </row>
    <row r="44" spans="1:18" s="68" customFormat="1" ht="24.95" customHeight="1" x14ac:dyDescent="0.35">
      <c r="A44" s="176">
        <v>1</v>
      </c>
      <c r="B44" s="30" t="s">
        <v>58</v>
      </c>
      <c r="C44" s="31">
        <v>1058.8499999999999</v>
      </c>
      <c r="D44" s="66">
        <f t="shared" ref="D44:D53" si="10">C44/$L$5</f>
        <v>0.23209909558401254</v>
      </c>
      <c r="E44" s="67"/>
      <c r="G44" s="64"/>
      <c r="H44" s="65"/>
    </row>
    <row r="45" spans="1:18" s="68" customFormat="1" ht="24.95" customHeight="1" x14ac:dyDescent="0.35">
      <c r="A45" s="177">
        <v>2</v>
      </c>
      <c r="B45" s="30" t="s">
        <v>61</v>
      </c>
      <c r="C45" s="31">
        <v>586.08000000000004</v>
      </c>
      <c r="D45" s="66">
        <f t="shared" si="10"/>
        <v>0.12846827968067062</v>
      </c>
      <c r="E45" s="67"/>
      <c r="G45" s="64"/>
      <c r="H45" s="65"/>
    </row>
    <row r="46" spans="1:18" s="68" customFormat="1" ht="24.95" customHeight="1" x14ac:dyDescent="0.35">
      <c r="A46" s="177">
        <v>3</v>
      </c>
      <c r="B46" s="30" t="s">
        <v>69</v>
      </c>
      <c r="C46" s="31">
        <v>433.86</v>
      </c>
      <c r="D46" s="66">
        <f t="shared" si="10"/>
        <v>9.5101774198498079E-2</v>
      </c>
      <c r="E46" s="67"/>
      <c r="G46" s="64"/>
      <c r="H46" s="65"/>
    </row>
    <row r="47" spans="1:18" s="68" customFormat="1" ht="24.95" customHeight="1" x14ac:dyDescent="0.35">
      <c r="A47" s="176">
        <v>4</v>
      </c>
      <c r="B47" s="30" t="s">
        <v>80</v>
      </c>
      <c r="C47" s="31">
        <v>242.93</v>
      </c>
      <c r="D47" s="66">
        <f t="shared" si="10"/>
        <v>5.325006685576255E-2</v>
      </c>
      <c r="E47" s="67"/>
      <c r="G47" s="64"/>
      <c r="H47" s="65"/>
    </row>
    <row r="48" spans="1:18" s="68" customFormat="1" ht="24.95" customHeight="1" x14ac:dyDescent="0.35">
      <c r="A48" s="177">
        <v>5</v>
      </c>
      <c r="B48" s="30" t="s">
        <v>60</v>
      </c>
      <c r="C48" s="31">
        <v>171.48</v>
      </c>
      <c r="D48" s="66">
        <f t="shared" si="10"/>
        <v>3.758828248642062E-2</v>
      </c>
      <c r="E48" s="67"/>
      <c r="G48" s="64"/>
      <c r="H48" s="65"/>
    </row>
    <row r="49" spans="1:5" s="68" customFormat="1" ht="24.95" customHeight="1" x14ac:dyDescent="0.25">
      <c r="A49" s="176">
        <v>6</v>
      </c>
      <c r="B49" s="30" t="s">
        <v>254</v>
      </c>
      <c r="C49" s="31">
        <v>155.24</v>
      </c>
      <c r="D49" s="66">
        <f t="shared" si="10"/>
        <v>3.4028487130813724E-2</v>
      </c>
      <c r="E49" s="67"/>
    </row>
    <row r="50" spans="1:5" s="68" customFormat="1" ht="24.95" customHeight="1" x14ac:dyDescent="0.25">
      <c r="A50" s="177">
        <v>7</v>
      </c>
      <c r="B50" s="30" t="s">
        <v>64</v>
      </c>
      <c r="C50" s="31">
        <v>105.63</v>
      </c>
      <c r="D50" s="66">
        <f t="shared" si="10"/>
        <v>2.3154013756943141E-2</v>
      </c>
      <c r="E50" s="67"/>
    </row>
    <row r="51" spans="1:5" s="68" customFormat="1" ht="24.95" customHeight="1" x14ac:dyDescent="0.25">
      <c r="A51" s="176">
        <v>8</v>
      </c>
      <c r="B51" s="30" t="s">
        <v>65</v>
      </c>
      <c r="C51" s="31">
        <v>80.25</v>
      </c>
      <c r="D51" s="66">
        <f t="shared" si="10"/>
        <v>1.7590737517700343E-2</v>
      </c>
      <c r="E51" s="67"/>
    </row>
    <row r="52" spans="1:5" s="68" customFormat="1" ht="24.95" customHeight="1" x14ac:dyDescent="0.25">
      <c r="A52" s="177">
        <v>9</v>
      </c>
      <c r="B52" s="30" t="s">
        <v>92</v>
      </c>
      <c r="C52" s="31">
        <v>79.37</v>
      </c>
      <c r="D52" s="66">
        <f t="shared" si="10"/>
        <v>1.7397842202864503E-2</v>
      </c>
      <c r="E52" s="67"/>
    </row>
    <row r="53" spans="1:5" s="68" customFormat="1" ht="24.95" customHeight="1" thickBot="1" x14ac:dyDescent="0.3">
      <c r="A53" s="178">
        <v>10</v>
      </c>
      <c r="B53" s="40" t="s">
        <v>340</v>
      </c>
      <c r="C53" s="41">
        <v>79.069999999999993</v>
      </c>
      <c r="D53" s="69">
        <f t="shared" si="10"/>
        <v>1.7332082436443189E-2</v>
      </c>
      <c r="E53" s="67"/>
    </row>
    <row r="54" spans="1:5" x14ac:dyDescent="0.25">
      <c r="A54" s="614" t="s">
        <v>341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342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227" priority="33" operator="containsText" text="024">
      <formula>NOT(ISERROR(SEARCH("024",A12)))</formula>
    </cfRule>
    <cfRule type="containsText" dxfId="226" priority="34" operator="containsText" text="白醬">
      <formula>NOT(ISERROR(SEARCH("白醬",A12)))</formula>
    </cfRule>
    <cfRule type="containsText" dxfId="225" priority="35" operator="containsText" text="青蔥">
      <formula>NOT(ISERROR(SEARCH("青蔥",A12)))</formula>
    </cfRule>
    <cfRule type="containsText" dxfId="224" priority="36" operator="containsText" text=")川燙小青花菜">
      <formula>NOT(ISERROR(SEARCH(")川燙小青花菜",A12)))</formula>
    </cfRule>
    <cfRule type="containsText" dxfId="223" priority="37" operator="containsText" text="湯凍">
      <formula>NOT(ISERROR(SEARCH("湯凍",A12)))</formula>
    </cfRule>
    <cfRule type="containsText" dxfId="222" priority="38" operator="containsText" text="中華">
      <formula>NOT(ISERROR(SEARCH("中華",A12)))</formula>
    </cfRule>
  </conditionalFormatting>
  <conditionalFormatting sqref="A12:A22">
    <cfRule type="containsText" dxfId="221" priority="31" operator="containsText" text="綠豆芽">
      <formula>NOT(ISERROR(SEARCH("綠豆芽",A12)))</formula>
    </cfRule>
    <cfRule type="containsText" dxfId="220" priority="32" operator="containsText" text="煮白細麵生(方#12)">
      <formula>NOT(ISERROR(SEARCH("煮白細麵生(方#12)",A12)))</formula>
    </cfRule>
  </conditionalFormatting>
  <conditionalFormatting sqref="E5">
    <cfRule type="cellIs" dxfId="219" priority="16" operator="greaterThan">
      <formula>0.0025</formula>
    </cfRule>
    <cfRule type="cellIs" dxfId="218" priority="19" operator="greaterThan">
      <formula>0.0025</formula>
    </cfRule>
    <cfRule type="cellIs" dxfId="217" priority="29" operator="greaterThan">
      <formula>0.072</formula>
    </cfRule>
    <cfRule type="cellIs" dxfId="216" priority="30" operator="greaterThan">
      <formula>7.2</formula>
    </cfRule>
  </conditionalFormatting>
  <conditionalFormatting sqref="E5">
    <cfRule type="cellIs" dxfId="215" priority="28" operator="greaterThan">
      <formula>0.0025</formula>
    </cfRule>
  </conditionalFormatting>
  <conditionalFormatting sqref="A44:A53">
    <cfRule type="containsText" dxfId="214" priority="22" operator="containsText" text="024">
      <formula>NOT(ISERROR(SEARCH("024",A44)))</formula>
    </cfRule>
    <cfRule type="containsText" dxfId="213" priority="23" operator="containsText" text="白醬">
      <formula>NOT(ISERROR(SEARCH("白醬",A44)))</formula>
    </cfRule>
    <cfRule type="containsText" dxfId="212" priority="24" operator="containsText" text="青蔥">
      <formula>NOT(ISERROR(SEARCH("青蔥",A44)))</formula>
    </cfRule>
    <cfRule type="containsText" dxfId="211" priority="25" operator="containsText" text=")川燙小青花菜">
      <formula>NOT(ISERROR(SEARCH(")川燙小青花菜",A44)))</formula>
    </cfRule>
    <cfRule type="containsText" dxfId="210" priority="26" operator="containsText" text="湯凍">
      <formula>NOT(ISERROR(SEARCH("湯凍",A44)))</formula>
    </cfRule>
    <cfRule type="containsText" dxfId="209" priority="27" operator="containsText" text="中華">
      <formula>NOT(ISERROR(SEARCH("中華",A44)))</formula>
    </cfRule>
  </conditionalFormatting>
  <conditionalFormatting sqref="A44:A53">
    <cfRule type="containsText" dxfId="208" priority="20" operator="containsText" text="綠豆芽">
      <formula>NOT(ISERROR(SEARCH("綠豆芽",A44)))</formula>
    </cfRule>
    <cfRule type="containsText" dxfId="207" priority="21" operator="containsText" text="煮白細麵生(方#12)">
      <formula>NOT(ISERROR(SEARCH("煮白細麵生(方#12)",A44)))</formula>
    </cfRule>
  </conditionalFormatting>
  <conditionalFormatting sqref="D44:D53">
    <cfRule type="cellIs" dxfId="206" priority="18" operator="greaterThan">
      <formula>0.146</formula>
    </cfRule>
  </conditionalFormatting>
  <conditionalFormatting sqref="H12:H22">
    <cfRule type="cellIs" dxfId="205" priority="17" operator="greaterThan">
      <formula>1.1</formula>
    </cfRule>
  </conditionalFormatting>
  <conditionalFormatting sqref="I5">
    <cfRule type="cellIs" dxfId="204" priority="15" operator="greaterThan">
      <formula>0.2</formula>
    </cfRule>
  </conditionalFormatting>
  <conditionalFormatting sqref="A28:A37">
    <cfRule type="containsText" dxfId="203" priority="9" operator="containsText" text="024">
      <formula>NOT(ISERROR(SEARCH("024",A28)))</formula>
    </cfRule>
    <cfRule type="containsText" dxfId="202" priority="10" operator="containsText" text="白醬">
      <formula>NOT(ISERROR(SEARCH("白醬",A28)))</formula>
    </cfRule>
    <cfRule type="containsText" dxfId="201" priority="11" operator="containsText" text="青蔥">
      <formula>NOT(ISERROR(SEARCH("青蔥",A28)))</formula>
    </cfRule>
    <cfRule type="containsText" dxfId="200" priority="12" operator="containsText" text=")川燙小青花菜">
      <formula>NOT(ISERROR(SEARCH(")川燙小青花菜",A28)))</formula>
    </cfRule>
    <cfRule type="containsText" dxfId="199" priority="13" operator="containsText" text="湯凍">
      <formula>NOT(ISERROR(SEARCH("湯凍",A28)))</formula>
    </cfRule>
    <cfRule type="containsText" dxfId="198" priority="14" operator="containsText" text="中華">
      <formula>NOT(ISERROR(SEARCH("中華",A28)))</formula>
    </cfRule>
  </conditionalFormatting>
  <conditionalFormatting sqref="A28:A37">
    <cfRule type="containsText" dxfId="197" priority="7" operator="containsText" text="綠豆芽">
      <formula>NOT(ISERROR(SEARCH("綠豆芽",A28)))</formula>
    </cfRule>
    <cfRule type="containsText" dxfId="196" priority="8" operator="containsText" text="煮白細麵生(方#12)">
      <formula>NOT(ISERROR(SEARCH("煮白細麵生(方#12)",A28)))</formula>
    </cfRule>
  </conditionalFormatting>
  <conditionalFormatting sqref="H28:H37">
    <cfRule type="cellIs" dxfId="195" priority="6" operator="greaterThan">
      <formula>1.1</formula>
    </cfRule>
  </conditionalFormatting>
  <conditionalFormatting sqref="G5">
    <cfRule type="cellIs" dxfId="194" priority="1" operator="greaterThan">
      <formula>0.0025</formula>
    </cfRule>
    <cfRule type="cellIs" dxfId="193" priority="2" operator="greaterThan">
      <formula>0.0025</formula>
    </cfRule>
    <cfRule type="cellIs" dxfId="192" priority="4" operator="greaterThan">
      <formula>0.072</formula>
    </cfRule>
    <cfRule type="cellIs" dxfId="191" priority="5" operator="greaterThan">
      <formula>7.2</formula>
    </cfRule>
  </conditionalFormatting>
  <conditionalFormatting sqref="G5">
    <cfRule type="cellIs" dxfId="19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25" zoomScale="60" zoomScaleNormal="60" zoomScaleSheetLayoutView="70" workbookViewId="0">
      <selection activeCell="Q41" sqref="Q4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238" t="s">
        <v>31</v>
      </c>
      <c r="B2" s="1239"/>
      <c r="C2" s="143" t="s">
        <v>32</v>
      </c>
      <c r="D2" s="1240" t="s">
        <v>33</v>
      </c>
      <c r="E2" s="1240"/>
      <c r="F2" s="1240" t="s">
        <v>34</v>
      </c>
      <c r="G2" s="1240"/>
      <c r="H2" s="1240" t="s">
        <v>33</v>
      </c>
      <c r="I2" s="1240"/>
      <c r="J2" s="1240" t="s">
        <v>34</v>
      </c>
      <c r="K2" s="1240"/>
      <c r="L2" s="1240" t="s">
        <v>33</v>
      </c>
      <c r="M2" s="1241"/>
      <c r="R2" s="17"/>
    </row>
    <row r="3" spans="1:18" s="18" customFormat="1" ht="28.5" x14ac:dyDescent="0.45">
      <c r="A3" s="1248">
        <v>45905</v>
      </c>
      <c r="B3" s="1249"/>
      <c r="C3" s="1250">
        <v>4472238.97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248"/>
      <c r="B4" s="1249"/>
      <c r="C4" s="1250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242" t="s">
        <v>44</v>
      </c>
      <c r="B5" s="1243"/>
      <c r="C5" s="1243"/>
      <c r="D5" s="144">
        <v>10742.350000000004</v>
      </c>
      <c r="E5" s="22">
        <f>D5/C3</f>
        <v>2.4020071539245149E-3</v>
      </c>
      <c r="F5" s="144">
        <v>34687.799999999996</v>
      </c>
      <c r="G5" s="23">
        <f>F5/C3</f>
        <v>7.756249214920641E-3</v>
      </c>
      <c r="H5" s="24">
        <f>SUM(C12:C21)</f>
        <v>3585.64</v>
      </c>
      <c r="I5" s="25">
        <f>H5/D5</f>
        <v>0.33378543800937399</v>
      </c>
      <c r="J5" s="24">
        <f>SUM(C28:C37)</f>
        <v>15067.87</v>
      </c>
      <c r="K5" s="26">
        <f>J5/F5</f>
        <v>0.43438528819930933</v>
      </c>
      <c r="L5" s="27">
        <v>4360.6599999999989</v>
      </c>
      <c r="M5" s="28">
        <f>L5/D5</f>
        <v>0.40593166299738859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275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276</v>
      </c>
      <c r="B8" s="620"/>
      <c r="C8" s="620"/>
      <c r="D8" s="620" t="s">
        <v>277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278</v>
      </c>
      <c r="P8" s="630" t="s">
        <v>279</v>
      </c>
      <c r="Q8" s="629" t="s">
        <v>280</v>
      </c>
      <c r="R8" s="1244" t="s">
        <v>281</v>
      </c>
    </row>
    <row r="9" spans="1:18" ht="20.45" customHeight="1" x14ac:dyDescent="0.25">
      <c r="A9" s="1245" t="s">
        <v>282</v>
      </c>
      <c r="B9" s="634" t="s">
        <v>283</v>
      </c>
      <c r="C9" s="635"/>
      <c r="D9" s="636" t="s">
        <v>284</v>
      </c>
      <c r="E9" s="636"/>
      <c r="F9" s="636"/>
      <c r="G9" s="636"/>
      <c r="H9" s="636"/>
      <c r="I9" s="636"/>
      <c r="J9" s="637" t="s">
        <v>285</v>
      </c>
      <c r="K9" s="637"/>
      <c r="L9" s="637"/>
      <c r="M9" s="638"/>
      <c r="N9" s="638"/>
      <c r="O9" s="629"/>
      <c r="P9" s="629"/>
      <c r="Q9" s="629"/>
      <c r="R9" s="1244"/>
    </row>
    <row r="10" spans="1:18" ht="20.45" customHeight="1" x14ac:dyDescent="0.3">
      <c r="A10" s="1246"/>
      <c r="B10" s="1251" t="s">
        <v>286</v>
      </c>
      <c r="C10" s="1253" t="s">
        <v>287</v>
      </c>
      <c r="D10" s="1255" t="s">
        <v>288</v>
      </c>
      <c r="E10" s="1255"/>
      <c r="F10" s="1255"/>
      <c r="G10" s="1255"/>
      <c r="H10" s="1255"/>
      <c r="I10" s="1255"/>
      <c r="J10" s="1256" t="s">
        <v>289</v>
      </c>
      <c r="K10" s="1257"/>
      <c r="L10" s="1258" t="s">
        <v>290</v>
      </c>
      <c r="M10" s="1256"/>
      <c r="N10" s="1256"/>
      <c r="O10" s="629"/>
      <c r="P10" s="629"/>
      <c r="Q10" s="629"/>
      <c r="R10" s="1244"/>
    </row>
    <row r="11" spans="1:18" s="29" customFormat="1" ht="47.25" customHeight="1" x14ac:dyDescent="0.25">
      <c r="A11" s="1247"/>
      <c r="B11" s="1252"/>
      <c r="C11" s="1254"/>
      <c r="D11" s="145" t="s">
        <v>291</v>
      </c>
      <c r="E11" s="145" t="s">
        <v>292</v>
      </c>
      <c r="F11" s="145" t="s">
        <v>293</v>
      </c>
      <c r="G11" s="145" t="s">
        <v>294</v>
      </c>
      <c r="H11" s="145" t="s">
        <v>295</v>
      </c>
      <c r="I11" s="145" t="s">
        <v>296</v>
      </c>
      <c r="J11" s="146" t="s">
        <v>297</v>
      </c>
      <c r="K11" s="146" t="s">
        <v>298</v>
      </c>
      <c r="L11" s="146" t="s">
        <v>299</v>
      </c>
      <c r="M11" s="146" t="s">
        <v>298</v>
      </c>
      <c r="N11" s="147" t="s">
        <v>300</v>
      </c>
      <c r="O11" s="629"/>
      <c r="P11" s="629"/>
      <c r="Q11" s="629"/>
      <c r="R11" s="1244"/>
    </row>
    <row r="12" spans="1:18" s="38" customFormat="1" ht="24.95" customHeight="1" x14ac:dyDescent="0.25">
      <c r="A12" s="148">
        <v>1</v>
      </c>
      <c r="B12" s="30" t="s">
        <v>69</v>
      </c>
      <c r="C12" s="31">
        <v>774.9</v>
      </c>
      <c r="D12" s="32">
        <v>8772</v>
      </c>
      <c r="E12" s="32">
        <v>8772</v>
      </c>
      <c r="F12" s="32">
        <v>110.7</v>
      </c>
      <c r="G12" s="31">
        <v>7</v>
      </c>
      <c r="H12" s="33">
        <f t="shared" ref="H12:H21" si="0">(E12+F12)/D12</f>
        <v>1.0126196990424077</v>
      </c>
      <c r="I12" s="31">
        <v>774.9</v>
      </c>
      <c r="J12" s="32">
        <v>110.7</v>
      </c>
      <c r="K12" s="34">
        <f t="shared" ref="K12:K21" si="1">J12/D12</f>
        <v>1.2619699042407661E-2</v>
      </c>
      <c r="L12" s="149">
        <f t="shared" ref="L12:L21" si="2">((E12+F12)-D12)-J12</f>
        <v>7.2475359047530219E-13</v>
      </c>
      <c r="M12" s="35">
        <f t="shared" ref="M12:M21" si="3">L12/D12</f>
        <v>8.2621248344197695E-17</v>
      </c>
      <c r="N12" s="150">
        <f t="shared" ref="N12:N21" si="4">L12*G12</f>
        <v>5.0732751333271153E-12</v>
      </c>
      <c r="O12" s="36" t="s">
        <v>142</v>
      </c>
      <c r="P12" s="36" t="s">
        <v>26</v>
      </c>
      <c r="Q12" s="36" t="s">
        <v>143</v>
      </c>
      <c r="R12" s="37" t="s">
        <v>59</v>
      </c>
    </row>
    <row r="13" spans="1:18" s="38" customFormat="1" ht="24.95" customHeight="1" x14ac:dyDescent="0.25">
      <c r="A13" s="151">
        <v>2</v>
      </c>
      <c r="B13" s="30" t="s">
        <v>58</v>
      </c>
      <c r="C13" s="31">
        <v>618.34</v>
      </c>
      <c r="D13" s="32">
        <v>10370</v>
      </c>
      <c r="E13" s="32">
        <v>10370</v>
      </c>
      <c r="F13" s="32">
        <v>106.61</v>
      </c>
      <c r="G13" s="31">
        <v>5.8</v>
      </c>
      <c r="H13" s="33">
        <f t="shared" si="0"/>
        <v>1.0102806171648988</v>
      </c>
      <c r="I13" s="31">
        <v>618.34</v>
      </c>
      <c r="J13" s="32">
        <v>106.61</v>
      </c>
      <c r="K13" s="34">
        <f t="shared" si="1"/>
        <v>1.0280617164898746E-2</v>
      </c>
      <c r="L13" s="149">
        <f t="shared" si="2"/>
        <v>5.8264504332328215E-13</v>
      </c>
      <c r="M13" s="35">
        <f t="shared" si="3"/>
        <v>5.6185635807452475E-17</v>
      </c>
      <c r="N13" s="150">
        <f t="shared" si="4"/>
        <v>3.3793412512750362E-12</v>
      </c>
      <c r="O13" s="36" t="s">
        <v>139</v>
      </c>
      <c r="P13" s="36" t="s">
        <v>28</v>
      </c>
      <c r="Q13" s="36" t="s">
        <v>140</v>
      </c>
      <c r="R13" s="37" t="s">
        <v>59</v>
      </c>
    </row>
    <row r="14" spans="1:18" s="39" customFormat="1" ht="24.95" customHeight="1" x14ac:dyDescent="0.25">
      <c r="A14" s="151">
        <v>3</v>
      </c>
      <c r="B14" s="30" t="s">
        <v>61</v>
      </c>
      <c r="C14" s="31">
        <v>486.79</v>
      </c>
      <c r="D14" s="32">
        <v>4809</v>
      </c>
      <c r="E14" s="32">
        <v>4809</v>
      </c>
      <c r="F14" s="32">
        <v>73.98</v>
      </c>
      <c r="G14" s="31">
        <v>6.58</v>
      </c>
      <c r="H14" s="33">
        <f t="shared" si="0"/>
        <v>1.0153836556456644</v>
      </c>
      <c r="I14" s="31">
        <v>486.79</v>
      </c>
      <c r="J14" s="32">
        <v>73.98</v>
      </c>
      <c r="K14" s="34">
        <f t="shared" si="1"/>
        <v>1.5383655645664381E-2</v>
      </c>
      <c r="L14" s="149">
        <f t="shared" si="2"/>
        <v>-4.4053649617126212E-13</v>
      </c>
      <c r="M14" s="35">
        <f t="shared" si="3"/>
        <v>-9.1606674188243312E-17</v>
      </c>
      <c r="N14" s="150">
        <f t="shared" si="4"/>
        <v>-2.8987301448069046E-12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148">
        <v>4</v>
      </c>
      <c r="B15" s="30" t="s">
        <v>211</v>
      </c>
      <c r="C15" s="31">
        <v>406.87</v>
      </c>
      <c r="D15" s="32">
        <v>78.28</v>
      </c>
      <c r="E15" s="32">
        <v>78.28</v>
      </c>
      <c r="F15" s="32">
        <v>4.79</v>
      </c>
      <c r="G15" s="31">
        <v>228.58</v>
      </c>
      <c r="H15" s="33">
        <f t="shared" si="0"/>
        <v>1.0611905978538581</v>
      </c>
      <c r="I15" s="31">
        <v>1094.9000000000001</v>
      </c>
      <c r="J15" s="32">
        <v>1.78</v>
      </c>
      <c r="K15" s="34">
        <f t="shared" si="1"/>
        <v>2.2738886050076648E-2</v>
      </c>
      <c r="L15" s="149">
        <f t="shared" si="2"/>
        <v>3.010000000000006</v>
      </c>
      <c r="M15" s="35">
        <f t="shared" si="3"/>
        <v>3.8451711803781374E-2</v>
      </c>
      <c r="N15" s="150">
        <f t="shared" si="4"/>
        <v>688.02580000000137</v>
      </c>
      <c r="O15" s="36" t="s">
        <v>139</v>
      </c>
      <c r="P15" s="36" t="s">
        <v>25</v>
      </c>
      <c r="Q15" s="36" t="s">
        <v>144</v>
      </c>
      <c r="R15" s="37" t="s">
        <v>212</v>
      </c>
    </row>
    <row r="16" spans="1:18" s="39" customFormat="1" ht="24.95" customHeight="1" x14ac:dyDescent="0.25">
      <c r="A16" s="151">
        <v>5</v>
      </c>
      <c r="B16" s="30" t="s">
        <v>62</v>
      </c>
      <c r="C16" s="31">
        <v>370.3</v>
      </c>
      <c r="D16" s="32">
        <v>265.8</v>
      </c>
      <c r="E16" s="32">
        <v>265.8</v>
      </c>
      <c r="F16" s="32">
        <v>12.65</v>
      </c>
      <c r="G16" s="31">
        <v>111.2</v>
      </c>
      <c r="H16" s="33">
        <f t="shared" si="0"/>
        <v>1.0475921745673438</v>
      </c>
      <c r="I16" s="31">
        <v>1406.68</v>
      </c>
      <c r="J16" s="32">
        <v>3.33</v>
      </c>
      <c r="K16" s="34">
        <f t="shared" si="1"/>
        <v>1.2528216704288938E-2</v>
      </c>
      <c r="L16" s="149">
        <f t="shared" si="2"/>
        <v>9.3199999999999772</v>
      </c>
      <c r="M16" s="35">
        <f t="shared" si="3"/>
        <v>3.5063957863054843E-2</v>
      </c>
      <c r="N16" s="150">
        <f t="shared" si="4"/>
        <v>1036.3839999999975</v>
      </c>
      <c r="O16" s="36" t="s">
        <v>139</v>
      </c>
      <c r="P16" s="36" t="s">
        <v>25</v>
      </c>
      <c r="Q16" s="36" t="s">
        <v>144</v>
      </c>
      <c r="R16" s="37" t="s">
        <v>63</v>
      </c>
    </row>
    <row r="17" spans="1:18" s="38" customFormat="1" ht="24.95" customHeight="1" x14ac:dyDescent="0.25">
      <c r="A17" s="148">
        <v>6</v>
      </c>
      <c r="B17" s="30" t="s">
        <v>80</v>
      </c>
      <c r="C17" s="31">
        <v>271.14</v>
      </c>
      <c r="D17" s="32">
        <v>251.43</v>
      </c>
      <c r="E17" s="32">
        <v>251.43</v>
      </c>
      <c r="F17" s="32">
        <v>15.39</v>
      </c>
      <c r="G17" s="31">
        <v>156.72999999999999</v>
      </c>
      <c r="H17" s="33">
        <f t="shared" si="0"/>
        <v>1.061209879489321</v>
      </c>
      <c r="I17" s="31">
        <v>2412.0700000000002</v>
      </c>
      <c r="J17" s="32">
        <v>1.73</v>
      </c>
      <c r="K17" s="34">
        <f t="shared" si="1"/>
        <v>6.8806427236208882E-3</v>
      </c>
      <c r="L17" s="149">
        <f t="shared" si="2"/>
        <v>13.659999999999986</v>
      </c>
      <c r="M17" s="35">
        <f t="shared" si="3"/>
        <v>5.4329236765700138E-2</v>
      </c>
      <c r="N17" s="150">
        <f t="shared" si="4"/>
        <v>2140.9317999999976</v>
      </c>
      <c r="O17" s="36" t="s">
        <v>142</v>
      </c>
      <c r="P17" s="36" t="s">
        <v>26</v>
      </c>
      <c r="Q17" s="36" t="s">
        <v>145</v>
      </c>
      <c r="R17" s="37" t="s">
        <v>59</v>
      </c>
    </row>
    <row r="18" spans="1:18" s="39" customFormat="1" ht="24.95" customHeight="1" x14ac:dyDescent="0.25">
      <c r="A18" s="151">
        <v>7</v>
      </c>
      <c r="B18" s="30" t="s">
        <v>60</v>
      </c>
      <c r="C18" s="31">
        <v>228.97</v>
      </c>
      <c r="D18" s="32">
        <v>168.32</v>
      </c>
      <c r="E18" s="32">
        <v>168.32</v>
      </c>
      <c r="F18" s="32">
        <v>8.01</v>
      </c>
      <c r="G18" s="31">
        <v>99.12</v>
      </c>
      <c r="H18" s="33">
        <f t="shared" si="0"/>
        <v>1.047587927756654</v>
      </c>
      <c r="I18" s="31">
        <v>793.95</v>
      </c>
      <c r="J18" s="32">
        <v>2.31</v>
      </c>
      <c r="K18" s="34">
        <f t="shared" si="1"/>
        <v>1.3723859315589355E-2</v>
      </c>
      <c r="L18" s="149">
        <f t="shared" si="2"/>
        <v>5.6999999999999904</v>
      </c>
      <c r="M18" s="35">
        <f t="shared" si="3"/>
        <v>3.3864068441064585E-2</v>
      </c>
      <c r="N18" s="150">
        <f t="shared" si="4"/>
        <v>564.98399999999913</v>
      </c>
      <c r="O18" s="36" t="s">
        <v>139</v>
      </c>
      <c r="P18" s="36" t="s">
        <v>25</v>
      </c>
      <c r="Q18" s="36" t="s">
        <v>141</v>
      </c>
      <c r="R18" s="37" t="s">
        <v>59</v>
      </c>
    </row>
    <row r="19" spans="1:18" s="38" customFormat="1" ht="24.95" customHeight="1" x14ac:dyDescent="0.25">
      <c r="A19" s="148">
        <v>8</v>
      </c>
      <c r="B19" s="30" t="s">
        <v>254</v>
      </c>
      <c r="C19" s="31">
        <v>184.97</v>
      </c>
      <c r="D19" s="32">
        <v>130.30000000000001</v>
      </c>
      <c r="E19" s="32">
        <v>130.30000000000001</v>
      </c>
      <c r="F19" s="32">
        <v>6.2</v>
      </c>
      <c r="G19" s="31">
        <v>110.1</v>
      </c>
      <c r="H19" s="33">
        <f t="shared" si="0"/>
        <v>1.0475825019186491</v>
      </c>
      <c r="I19" s="31">
        <v>682.62</v>
      </c>
      <c r="J19" s="32">
        <v>1.68</v>
      </c>
      <c r="K19" s="34">
        <f t="shared" si="1"/>
        <v>1.2893323100537221E-2</v>
      </c>
      <c r="L19" s="149">
        <f t="shared" si="2"/>
        <v>4.5199999999999889</v>
      </c>
      <c r="M19" s="35">
        <f t="shared" si="3"/>
        <v>3.4689178818111961E-2</v>
      </c>
      <c r="N19" s="150">
        <f t="shared" si="4"/>
        <v>497.65199999999874</v>
      </c>
      <c r="O19" s="36" t="s">
        <v>139</v>
      </c>
      <c r="P19" s="36" t="s">
        <v>25</v>
      </c>
      <c r="Q19" s="36" t="s">
        <v>141</v>
      </c>
      <c r="R19" s="37" t="s">
        <v>59</v>
      </c>
    </row>
    <row r="20" spans="1:18" s="38" customFormat="1" ht="24.95" customHeight="1" x14ac:dyDescent="0.25">
      <c r="A20" s="151">
        <v>9</v>
      </c>
      <c r="B20" s="30" t="s">
        <v>64</v>
      </c>
      <c r="C20" s="31">
        <v>133.63</v>
      </c>
      <c r="D20" s="32">
        <v>2910</v>
      </c>
      <c r="E20" s="32">
        <v>2910</v>
      </c>
      <c r="F20" s="32">
        <v>19.09</v>
      </c>
      <c r="G20" s="31">
        <v>7</v>
      </c>
      <c r="H20" s="33">
        <f t="shared" si="0"/>
        <v>1.0065601374570448</v>
      </c>
      <c r="I20" s="31">
        <v>133.63</v>
      </c>
      <c r="J20" s="32">
        <v>19.09</v>
      </c>
      <c r="K20" s="34">
        <f t="shared" si="1"/>
        <v>6.5601374570446735E-3</v>
      </c>
      <c r="L20" s="149">
        <f t="shared" si="2"/>
        <v>1.4566126083082054E-13</v>
      </c>
      <c r="M20" s="35">
        <f t="shared" si="3"/>
        <v>5.0055416093065478E-17</v>
      </c>
      <c r="N20" s="150">
        <f t="shared" si="4"/>
        <v>1.0196288258157438E-12</v>
      </c>
      <c r="O20" s="36" t="s">
        <v>142</v>
      </c>
      <c r="P20" s="36" t="s">
        <v>26</v>
      </c>
      <c r="Q20" s="36" t="s">
        <v>143</v>
      </c>
      <c r="R20" s="37" t="s">
        <v>59</v>
      </c>
    </row>
    <row r="21" spans="1:18" s="38" customFormat="1" ht="24.95" customHeight="1" thickBot="1" x14ac:dyDescent="0.3">
      <c r="A21" s="152">
        <v>10</v>
      </c>
      <c r="B21" s="40" t="s">
        <v>301</v>
      </c>
      <c r="C21" s="41">
        <v>109.73</v>
      </c>
      <c r="D21" s="42">
        <v>7.56</v>
      </c>
      <c r="E21" s="42">
        <v>7.56</v>
      </c>
      <c r="F21" s="42">
        <v>0.26</v>
      </c>
      <c r="G21" s="41">
        <v>1567.63</v>
      </c>
      <c r="H21" s="43">
        <f t="shared" si="0"/>
        <v>1.0343915343915344</v>
      </c>
      <c r="I21" s="41">
        <v>407.58</v>
      </c>
      <c r="J21" s="42">
        <v>7.0000000000000007E-2</v>
      </c>
      <c r="K21" s="44">
        <f t="shared" si="1"/>
        <v>9.2592592592592605E-3</v>
      </c>
      <c r="L21" s="153">
        <f t="shared" si="2"/>
        <v>0.18999999999999978</v>
      </c>
      <c r="M21" s="45">
        <f t="shared" si="3"/>
        <v>2.5132275132275103E-2</v>
      </c>
      <c r="N21" s="154">
        <f t="shared" si="4"/>
        <v>297.8496999999997</v>
      </c>
      <c r="O21" s="46" t="s">
        <v>139</v>
      </c>
      <c r="P21" s="46" t="s">
        <v>25</v>
      </c>
      <c r="Q21" s="46" t="s">
        <v>141</v>
      </c>
      <c r="R21" s="47" t="s">
        <v>79</v>
      </c>
    </row>
    <row r="22" spans="1:18" s="53" customFormat="1" ht="24.95" customHeight="1" thickBot="1" x14ac:dyDescent="0.3">
      <c r="A22" s="155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156"/>
      <c r="M22" s="51"/>
      <c r="N22" s="157"/>
      <c r="O22" s="52"/>
      <c r="P22" s="52"/>
      <c r="Q22" s="52"/>
      <c r="R22" s="48"/>
    </row>
    <row r="23" spans="1:18" s="53" customFormat="1" ht="40.5" customHeight="1" x14ac:dyDescent="0.25">
      <c r="A23" s="616" t="s">
        <v>302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276</v>
      </c>
      <c r="B24" s="620"/>
      <c r="C24" s="620"/>
      <c r="D24" s="620" t="s">
        <v>277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278</v>
      </c>
      <c r="P24" s="630" t="s">
        <v>279</v>
      </c>
      <c r="Q24" s="629" t="s">
        <v>280</v>
      </c>
      <c r="R24" s="1244" t="s">
        <v>281</v>
      </c>
    </row>
    <row r="25" spans="1:18" s="53" customFormat="1" ht="24.95" customHeight="1" x14ac:dyDescent="0.25">
      <c r="A25" s="1245" t="s">
        <v>282</v>
      </c>
      <c r="B25" s="634" t="s">
        <v>283</v>
      </c>
      <c r="C25" s="635"/>
      <c r="D25" s="636" t="s">
        <v>284</v>
      </c>
      <c r="E25" s="636"/>
      <c r="F25" s="636"/>
      <c r="G25" s="636"/>
      <c r="H25" s="636"/>
      <c r="I25" s="636"/>
      <c r="J25" s="637" t="s">
        <v>285</v>
      </c>
      <c r="K25" s="637"/>
      <c r="L25" s="637"/>
      <c r="M25" s="638"/>
      <c r="N25" s="638"/>
      <c r="O25" s="629"/>
      <c r="P25" s="629"/>
      <c r="Q25" s="629"/>
      <c r="R25" s="1244"/>
    </row>
    <row r="26" spans="1:18" s="53" customFormat="1" ht="24.95" customHeight="1" x14ac:dyDescent="0.3">
      <c r="A26" s="1246"/>
      <c r="B26" s="1251" t="s">
        <v>286</v>
      </c>
      <c r="C26" s="1253" t="s">
        <v>303</v>
      </c>
      <c r="D26" s="1255" t="s">
        <v>288</v>
      </c>
      <c r="E26" s="1255"/>
      <c r="F26" s="1255"/>
      <c r="G26" s="1255"/>
      <c r="H26" s="1255"/>
      <c r="I26" s="1255"/>
      <c r="J26" s="1256" t="s">
        <v>289</v>
      </c>
      <c r="K26" s="1259"/>
      <c r="L26" s="1257"/>
      <c r="M26" s="1256" t="s">
        <v>290</v>
      </c>
      <c r="N26" s="1257"/>
      <c r="O26" s="629"/>
      <c r="P26" s="629"/>
      <c r="Q26" s="629"/>
      <c r="R26" s="1244"/>
    </row>
    <row r="27" spans="1:18" s="53" customFormat="1" ht="50.1" customHeight="1" x14ac:dyDescent="0.25">
      <c r="A27" s="1247"/>
      <c r="B27" s="1252"/>
      <c r="C27" s="1254"/>
      <c r="D27" s="145" t="s">
        <v>291</v>
      </c>
      <c r="E27" s="145" t="s">
        <v>292</v>
      </c>
      <c r="F27" s="145" t="s">
        <v>293</v>
      </c>
      <c r="G27" s="145" t="s">
        <v>294</v>
      </c>
      <c r="H27" s="145" t="s">
        <v>295</v>
      </c>
      <c r="I27" s="145" t="s">
        <v>296</v>
      </c>
      <c r="J27" s="146" t="s">
        <v>299</v>
      </c>
      <c r="K27" s="146" t="s">
        <v>298</v>
      </c>
      <c r="L27" s="147" t="s">
        <v>300</v>
      </c>
      <c r="M27" s="146" t="s">
        <v>299</v>
      </c>
      <c r="N27" s="146" t="s">
        <v>298</v>
      </c>
      <c r="O27" s="629"/>
      <c r="P27" s="629"/>
      <c r="Q27" s="629"/>
      <c r="R27" s="1244"/>
    </row>
    <row r="28" spans="1:18" s="53" customFormat="1" ht="24.95" customHeight="1" x14ac:dyDescent="0.25">
      <c r="A28" s="148">
        <v>1</v>
      </c>
      <c r="B28" s="30" t="s">
        <v>68</v>
      </c>
      <c r="C28" s="31">
        <v>2672.41</v>
      </c>
      <c r="D28" s="32">
        <v>289.52999999999997</v>
      </c>
      <c r="E28" s="32">
        <v>289.52999999999997</v>
      </c>
      <c r="F28" s="32">
        <v>17.72</v>
      </c>
      <c r="G28" s="31">
        <v>156.74</v>
      </c>
      <c r="H28" s="54">
        <f t="shared" ref="H28:H37" si="5">(E28+F28)/D28</f>
        <v>1.0612026387593687</v>
      </c>
      <c r="I28" s="31">
        <v>2777.43</v>
      </c>
      <c r="J28" s="32">
        <v>0.67</v>
      </c>
      <c r="K28" s="34">
        <f t="shared" ref="K28:K37" si="6">J28/D28</f>
        <v>2.3140952578316588E-3</v>
      </c>
      <c r="L28" s="150">
        <f t="shared" ref="L28:L37" si="7">J28*G28</f>
        <v>105.01580000000001</v>
      </c>
      <c r="M28" s="149">
        <f t="shared" ref="M28:M37" si="8">((E28+F28)-D28)-J28</f>
        <v>17.050000000000026</v>
      </c>
      <c r="N28" s="35">
        <f t="shared" ref="N28:N37" si="9">M28/D28</f>
        <v>5.888854350153707E-2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151">
        <v>2</v>
      </c>
      <c r="B29" s="30" t="s">
        <v>80</v>
      </c>
      <c r="C29" s="31">
        <v>2140.9300000000003</v>
      </c>
      <c r="D29" s="32">
        <v>251.43</v>
      </c>
      <c r="E29" s="32">
        <v>251.43</v>
      </c>
      <c r="F29" s="32">
        <v>15.39</v>
      </c>
      <c r="G29" s="31">
        <v>156.72999999999999</v>
      </c>
      <c r="H29" s="54">
        <f t="shared" si="5"/>
        <v>1.061209879489321</v>
      </c>
      <c r="I29" s="31">
        <v>2412.0700000000002</v>
      </c>
      <c r="J29" s="32">
        <v>1.73</v>
      </c>
      <c r="K29" s="34">
        <f t="shared" si="6"/>
        <v>6.8806427236208882E-3</v>
      </c>
      <c r="L29" s="150">
        <f t="shared" si="7"/>
        <v>271.1429</v>
      </c>
      <c r="M29" s="149">
        <f t="shared" si="8"/>
        <v>13.659999999999986</v>
      </c>
      <c r="N29" s="35">
        <f t="shared" si="9"/>
        <v>5.4329236765700138E-2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151">
        <v>3</v>
      </c>
      <c r="B30" s="30" t="s">
        <v>74</v>
      </c>
      <c r="C30" s="31">
        <v>2080.4900000000002</v>
      </c>
      <c r="D30" s="32">
        <v>266.92</v>
      </c>
      <c r="E30" s="32">
        <v>266.92</v>
      </c>
      <c r="F30" s="32">
        <v>16.329999999999998</v>
      </c>
      <c r="G30" s="31">
        <v>133.88</v>
      </c>
      <c r="H30" s="54">
        <f t="shared" si="5"/>
        <v>1.06117937958939</v>
      </c>
      <c r="I30" s="31">
        <v>2186.2600000000002</v>
      </c>
      <c r="J30" s="57">
        <v>0.79</v>
      </c>
      <c r="K30" s="34">
        <f t="shared" si="6"/>
        <v>2.9596882961186871E-3</v>
      </c>
      <c r="L30" s="150">
        <f t="shared" si="7"/>
        <v>105.76520000000001</v>
      </c>
      <c r="M30" s="149">
        <f t="shared" si="8"/>
        <v>15.539999999999985</v>
      </c>
      <c r="N30" s="35">
        <f t="shared" si="9"/>
        <v>5.8219691293271335E-2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148">
        <v>4</v>
      </c>
      <c r="B31" s="30" t="s">
        <v>70</v>
      </c>
      <c r="C31" s="31">
        <v>1587.6100000000001</v>
      </c>
      <c r="D31" s="32">
        <v>30.63</v>
      </c>
      <c r="E31" s="32">
        <v>30.63</v>
      </c>
      <c r="F31" s="32">
        <v>2.08</v>
      </c>
      <c r="G31" s="31">
        <v>814.16</v>
      </c>
      <c r="H31" s="54">
        <f t="shared" si="5"/>
        <v>1.0679072804440093</v>
      </c>
      <c r="I31" s="31">
        <v>1693.45</v>
      </c>
      <c r="J31" s="32">
        <v>0.13</v>
      </c>
      <c r="K31" s="34">
        <f t="shared" si="6"/>
        <v>4.2442050277505718E-3</v>
      </c>
      <c r="L31" s="150">
        <f t="shared" si="7"/>
        <v>105.8408</v>
      </c>
      <c r="M31" s="149">
        <f t="shared" si="8"/>
        <v>1.950000000000002</v>
      </c>
      <c r="N31" s="35">
        <f t="shared" si="9"/>
        <v>6.3663075416258638E-2</v>
      </c>
      <c r="O31" s="55" t="s">
        <v>133</v>
      </c>
      <c r="P31" s="56" t="s">
        <v>25</v>
      </c>
      <c r="Q31" s="56" t="s">
        <v>590</v>
      </c>
      <c r="R31" s="37" t="s">
        <v>71</v>
      </c>
    </row>
    <row r="32" spans="1:18" s="53" customFormat="1" ht="24.95" customHeight="1" x14ac:dyDescent="0.25">
      <c r="A32" s="151">
        <v>5</v>
      </c>
      <c r="B32" s="30" t="s">
        <v>87</v>
      </c>
      <c r="C32" s="31">
        <v>1259.32</v>
      </c>
      <c r="D32" s="32">
        <v>147.69</v>
      </c>
      <c r="E32" s="32">
        <v>147.69</v>
      </c>
      <c r="F32" s="32">
        <v>7.03</v>
      </c>
      <c r="G32" s="31">
        <v>194.04</v>
      </c>
      <c r="H32" s="54">
        <f t="shared" si="5"/>
        <v>1.0475997020786783</v>
      </c>
      <c r="I32" s="31">
        <v>1364.1</v>
      </c>
      <c r="J32" s="32">
        <v>0.54</v>
      </c>
      <c r="K32" s="34">
        <f t="shared" si="6"/>
        <v>3.6563071297989035E-3</v>
      </c>
      <c r="L32" s="150">
        <f t="shared" si="7"/>
        <v>104.7816</v>
      </c>
      <c r="M32" s="149">
        <f t="shared" si="8"/>
        <v>6.4900000000000011</v>
      </c>
      <c r="N32" s="35">
        <f t="shared" si="9"/>
        <v>4.3943394948879416E-2</v>
      </c>
      <c r="O32" s="55" t="s">
        <v>133</v>
      </c>
      <c r="P32" s="56" t="s">
        <v>25</v>
      </c>
      <c r="Q32" s="56" t="s">
        <v>135</v>
      </c>
      <c r="R32" s="37" t="s">
        <v>88</v>
      </c>
    </row>
    <row r="33" spans="1:18" s="53" customFormat="1" ht="24.95" customHeight="1" x14ac:dyDescent="0.25">
      <c r="A33" s="148">
        <v>6</v>
      </c>
      <c r="B33" s="30" t="s">
        <v>179</v>
      </c>
      <c r="C33" s="31">
        <v>1138.3200000000002</v>
      </c>
      <c r="D33" s="32">
        <v>121.96</v>
      </c>
      <c r="E33" s="32">
        <v>121.96</v>
      </c>
      <c r="F33" s="32">
        <v>7.47</v>
      </c>
      <c r="G33" s="31">
        <v>166.42</v>
      </c>
      <c r="H33" s="54">
        <f t="shared" si="5"/>
        <v>1.061249590029518</v>
      </c>
      <c r="I33" s="31">
        <v>1243.1600000000001</v>
      </c>
      <c r="J33" s="32">
        <v>0.63</v>
      </c>
      <c r="K33" s="34">
        <f t="shared" si="6"/>
        <v>5.1656280747786158E-3</v>
      </c>
      <c r="L33" s="150">
        <f t="shared" si="7"/>
        <v>104.8446</v>
      </c>
      <c r="M33" s="149">
        <f t="shared" si="8"/>
        <v>6.8400000000000132</v>
      </c>
      <c r="N33" s="35">
        <f t="shared" si="9"/>
        <v>5.6083961954739373E-2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151">
        <v>7</v>
      </c>
      <c r="B34" s="30" t="s">
        <v>183</v>
      </c>
      <c r="C34" s="31">
        <v>1082.82</v>
      </c>
      <c r="D34" s="32">
        <v>71.2</v>
      </c>
      <c r="E34" s="32">
        <v>71.2</v>
      </c>
      <c r="F34" s="32">
        <v>2.9</v>
      </c>
      <c r="G34" s="31">
        <v>410.16</v>
      </c>
      <c r="H34" s="54">
        <f t="shared" si="5"/>
        <v>1.0407303370786518</v>
      </c>
      <c r="I34" s="31">
        <v>1189.46</v>
      </c>
      <c r="J34" s="32">
        <v>0.26</v>
      </c>
      <c r="K34" s="34">
        <f t="shared" si="6"/>
        <v>3.6516853932584271E-3</v>
      </c>
      <c r="L34" s="150">
        <f t="shared" si="7"/>
        <v>106.64160000000001</v>
      </c>
      <c r="M34" s="149">
        <f t="shared" si="8"/>
        <v>2.6400000000000059</v>
      </c>
      <c r="N34" s="35">
        <f t="shared" si="9"/>
        <v>3.7078651685393337E-2</v>
      </c>
      <c r="O34" s="55" t="s">
        <v>133</v>
      </c>
      <c r="P34" s="56" t="s">
        <v>25</v>
      </c>
      <c r="Q34" s="56" t="s">
        <v>134</v>
      </c>
      <c r="R34" s="37" t="s">
        <v>59</v>
      </c>
    </row>
    <row r="35" spans="1:18" s="53" customFormat="1" ht="24.95" customHeight="1" x14ac:dyDescent="0.25">
      <c r="A35" s="148">
        <v>8</v>
      </c>
      <c r="B35" s="30" t="s">
        <v>304</v>
      </c>
      <c r="C35" s="31">
        <v>1040.9000000000001</v>
      </c>
      <c r="D35" s="32">
        <v>66.3</v>
      </c>
      <c r="E35" s="32">
        <v>66.3</v>
      </c>
      <c r="F35" s="32">
        <v>3.6</v>
      </c>
      <c r="G35" s="31">
        <v>318.32</v>
      </c>
      <c r="H35" s="54">
        <f t="shared" si="5"/>
        <v>1.0542986425339365</v>
      </c>
      <c r="I35" s="31">
        <v>1145.95</v>
      </c>
      <c r="J35" s="32">
        <v>0.33</v>
      </c>
      <c r="K35" s="34">
        <f t="shared" si="6"/>
        <v>4.9773755656108603E-3</v>
      </c>
      <c r="L35" s="150">
        <f t="shared" si="7"/>
        <v>105.04560000000001</v>
      </c>
      <c r="M35" s="149">
        <f t="shared" si="8"/>
        <v>3.2699999999999942</v>
      </c>
      <c r="N35" s="35">
        <f t="shared" si="9"/>
        <v>4.9321266968325707E-2</v>
      </c>
      <c r="O35" s="55" t="s">
        <v>133</v>
      </c>
      <c r="P35" s="56" t="s">
        <v>25</v>
      </c>
      <c r="Q35" s="56" t="s">
        <v>138</v>
      </c>
      <c r="R35" s="37" t="s">
        <v>77</v>
      </c>
    </row>
    <row r="36" spans="1:18" s="53" customFormat="1" ht="24.95" customHeight="1" x14ac:dyDescent="0.25">
      <c r="A36" s="151">
        <v>9</v>
      </c>
      <c r="B36" s="30" t="s">
        <v>62</v>
      </c>
      <c r="C36" s="31">
        <v>1036.3800000000001</v>
      </c>
      <c r="D36" s="32">
        <v>265.8</v>
      </c>
      <c r="E36" s="32">
        <v>265.8</v>
      </c>
      <c r="F36" s="32">
        <v>12.65</v>
      </c>
      <c r="G36" s="31">
        <v>111.2</v>
      </c>
      <c r="H36" s="54">
        <f t="shared" si="5"/>
        <v>1.0475921745673438</v>
      </c>
      <c r="I36" s="31">
        <v>1406.68</v>
      </c>
      <c r="J36" s="32">
        <v>3.33</v>
      </c>
      <c r="K36" s="34">
        <f t="shared" si="6"/>
        <v>1.2528216704288938E-2</v>
      </c>
      <c r="L36" s="150">
        <f t="shared" si="7"/>
        <v>370.29599999999999</v>
      </c>
      <c r="M36" s="149">
        <f t="shared" si="8"/>
        <v>9.3199999999999772</v>
      </c>
      <c r="N36" s="35">
        <f t="shared" si="9"/>
        <v>3.5063957863054843E-2</v>
      </c>
      <c r="O36" s="55" t="s">
        <v>133</v>
      </c>
      <c r="P36" s="56" t="s">
        <v>25</v>
      </c>
      <c r="Q36" s="56" t="s">
        <v>135</v>
      </c>
      <c r="R36" s="37" t="s">
        <v>63</v>
      </c>
    </row>
    <row r="37" spans="1:18" s="53" customFormat="1" ht="24.95" customHeight="1" thickBot="1" x14ac:dyDescent="0.3">
      <c r="A37" s="152">
        <v>10</v>
      </c>
      <c r="B37" s="40" t="s">
        <v>218</v>
      </c>
      <c r="C37" s="41">
        <v>1028.69</v>
      </c>
      <c r="D37" s="42">
        <v>161.11000000000001</v>
      </c>
      <c r="E37" s="42">
        <v>161.11000000000001</v>
      </c>
      <c r="F37" s="42">
        <v>7.67</v>
      </c>
      <c r="G37" s="41">
        <v>147.80000000000001</v>
      </c>
      <c r="H37" s="58">
        <f t="shared" si="5"/>
        <v>1.0476072248774129</v>
      </c>
      <c r="I37" s="41">
        <v>1133.6300000000001</v>
      </c>
      <c r="J37" s="42">
        <v>0.71</v>
      </c>
      <c r="K37" s="44">
        <f t="shared" si="6"/>
        <v>4.4069269443237531E-3</v>
      </c>
      <c r="L37" s="154">
        <f t="shared" si="7"/>
        <v>104.938</v>
      </c>
      <c r="M37" s="153">
        <f t="shared" si="8"/>
        <v>6.9599999999999875</v>
      </c>
      <c r="N37" s="45">
        <f t="shared" si="9"/>
        <v>4.3200297933089112E-2</v>
      </c>
      <c r="O37" s="59" t="s">
        <v>133</v>
      </c>
      <c r="P37" s="60" t="s">
        <v>25</v>
      </c>
      <c r="Q37" s="60" t="s">
        <v>135</v>
      </c>
      <c r="R37" s="61" t="s">
        <v>219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305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276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260" t="s">
        <v>282</v>
      </c>
      <c r="B41" s="623" t="s">
        <v>283</v>
      </c>
      <c r="C41" s="623"/>
      <c r="D41" s="624"/>
      <c r="E41" s="62"/>
      <c r="G41" s="64"/>
      <c r="H41" s="65"/>
    </row>
    <row r="42" spans="1:18" ht="20.45" customHeight="1" x14ac:dyDescent="0.35">
      <c r="A42" s="1260"/>
      <c r="B42" s="1261" t="s">
        <v>286</v>
      </c>
      <c r="C42" s="1262" t="s">
        <v>287</v>
      </c>
      <c r="D42" s="1244" t="s">
        <v>306</v>
      </c>
      <c r="E42" s="62"/>
      <c r="G42" s="64"/>
      <c r="H42" s="65"/>
    </row>
    <row r="43" spans="1:18" ht="20.45" customHeight="1" x14ac:dyDescent="0.35">
      <c r="A43" s="1260"/>
      <c r="B43" s="1261"/>
      <c r="C43" s="1262"/>
      <c r="D43" s="1244"/>
      <c r="E43" s="62"/>
      <c r="G43" s="64"/>
      <c r="H43" s="65"/>
    </row>
    <row r="44" spans="1:18" s="68" customFormat="1" ht="24.95" customHeight="1" x14ac:dyDescent="0.35">
      <c r="A44" s="158">
        <v>1</v>
      </c>
      <c r="B44" s="30" t="s">
        <v>69</v>
      </c>
      <c r="C44" s="31">
        <v>774.9</v>
      </c>
      <c r="D44" s="66">
        <f t="shared" ref="D44:D53" si="10">C44/$L$5</f>
        <v>0.17770245788481565</v>
      </c>
      <c r="E44" s="67"/>
      <c r="G44" s="64"/>
      <c r="H44" s="65"/>
    </row>
    <row r="45" spans="1:18" s="68" customFormat="1" ht="24.95" customHeight="1" x14ac:dyDescent="0.35">
      <c r="A45" s="159">
        <v>2</v>
      </c>
      <c r="B45" s="30" t="s">
        <v>58</v>
      </c>
      <c r="C45" s="31">
        <v>618.34</v>
      </c>
      <c r="D45" s="66">
        <f t="shared" si="10"/>
        <v>0.14179963583494246</v>
      </c>
      <c r="E45" s="67"/>
      <c r="G45" s="64"/>
      <c r="H45" s="65"/>
    </row>
    <row r="46" spans="1:18" s="68" customFormat="1" ht="24.95" customHeight="1" x14ac:dyDescent="0.35">
      <c r="A46" s="159">
        <v>3</v>
      </c>
      <c r="B46" s="30" t="s">
        <v>61</v>
      </c>
      <c r="C46" s="31">
        <v>486.79</v>
      </c>
      <c r="D46" s="66">
        <f t="shared" si="10"/>
        <v>0.11163218411891782</v>
      </c>
      <c r="E46" s="67"/>
      <c r="G46" s="64"/>
      <c r="H46" s="65"/>
    </row>
    <row r="47" spans="1:18" s="68" customFormat="1" ht="24.95" customHeight="1" x14ac:dyDescent="0.35">
      <c r="A47" s="158">
        <v>4</v>
      </c>
      <c r="B47" s="30" t="s">
        <v>80</v>
      </c>
      <c r="C47" s="31">
        <v>271.14</v>
      </c>
      <c r="D47" s="66">
        <f t="shared" si="10"/>
        <v>6.217866102837645E-2</v>
      </c>
      <c r="E47" s="67"/>
      <c r="G47" s="64"/>
      <c r="H47" s="65"/>
    </row>
    <row r="48" spans="1:18" s="68" customFormat="1" ht="24.95" customHeight="1" x14ac:dyDescent="0.35">
      <c r="A48" s="159">
        <v>5</v>
      </c>
      <c r="B48" s="30" t="s">
        <v>60</v>
      </c>
      <c r="C48" s="31">
        <v>228.97</v>
      </c>
      <c r="D48" s="66">
        <f t="shared" si="10"/>
        <v>5.2508106571023665E-2</v>
      </c>
      <c r="E48" s="67"/>
      <c r="G48" s="64"/>
      <c r="H48" s="65"/>
    </row>
    <row r="49" spans="1:5" s="68" customFormat="1" ht="24.95" customHeight="1" x14ac:dyDescent="0.25">
      <c r="A49" s="158">
        <v>6</v>
      </c>
      <c r="B49" s="30" t="s">
        <v>254</v>
      </c>
      <c r="C49" s="31">
        <v>184.97</v>
      </c>
      <c r="D49" s="66">
        <f t="shared" si="10"/>
        <v>4.2417890869730739E-2</v>
      </c>
      <c r="E49" s="67"/>
    </row>
    <row r="50" spans="1:5" s="68" customFormat="1" ht="24.95" customHeight="1" x14ac:dyDescent="0.25">
      <c r="A50" s="159">
        <v>7</v>
      </c>
      <c r="B50" s="30" t="s">
        <v>64</v>
      </c>
      <c r="C50" s="31">
        <v>133.63</v>
      </c>
      <c r="D50" s="66">
        <f t="shared" si="10"/>
        <v>3.0644443730994855E-2</v>
      </c>
      <c r="E50" s="67"/>
    </row>
    <row r="51" spans="1:5" s="68" customFormat="1" ht="24.95" customHeight="1" x14ac:dyDescent="0.25">
      <c r="A51" s="158">
        <v>8</v>
      </c>
      <c r="B51" s="30" t="s">
        <v>183</v>
      </c>
      <c r="C51" s="31">
        <v>106.64</v>
      </c>
      <c r="D51" s="66">
        <f t="shared" si="10"/>
        <v>2.4455013690588129E-2</v>
      </c>
      <c r="E51" s="67"/>
    </row>
    <row r="52" spans="1:5" s="68" customFormat="1" ht="24.95" customHeight="1" x14ac:dyDescent="0.25">
      <c r="A52" s="159">
        <v>9</v>
      </c>
      <c r="B52" s="30" t="s">
        <v>91</v>
      </c>
      <c r="C52" s="31">
        <v>106.45</v>
      </c>
      <c r="D52" s="66">
        <f t="shared" si="10"/>
        <v>2.4411442304605274E-2</v>
      </c>
      <c r="E52" s="67"/>
    </row>
    <row r="53" spans="1:5" s="68" customFormat="1" ht="24.95" customHeight="1" thickBot="1" x14ac:dyDescent="0.3">
      <c r="A53" s="160">
        <v>10</v>
      </c>
      <c r="B53" s="40" t="s">
        <v>165</v>
      </c>
      <c r="C53" s="41">
        <v>106.24</v>
      </c>
      <c r="D53" s="69">
        <f t="shared" si="10"/>
        <v>2.4363284456940009E-2</v>
      </c>
      <c r="E53" s="67"/>
    </row>
    <row r="54" spans="1:5" x14ac:dyDescent="0.25">
      <c r="A54" s="614" t="s">
        <v>307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308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189" priority="33" operator="containsText" text="024">
      <formula>NOT(ISERROR(SEARCH("024",A12)))</formula>
    </cfRule>
    <cfRule type="containsText" dxfId="188" priority="34" operator="containsText" text="白醬">
      <formula>NOT(ISERROR(SEARCH("白醬",A12)))</formula>
    </cfRule>
    <cfRule type="containsText" dxfId="187" priority="35" operator="containsText" text="青蔥">
      <formula>NOT(ISERROR(SEARCH("青蔥",A12)))</formula>
    </cfRule>
    <cfRule type="containsText" dxfId="186" priority="36" operator="containsText" text=")川燙小青花菜">
      <formula>NOT(ISERROR(SEARCH(")川燙小青花菜",A12)))</formula>
    </cfRule>
    <cfRule type="containsText" dxfId="185" priority="37" operator="containsText" text="湯凍">
      <formula>NOT(ISERROR(SEARCH("湯凍",A12)))</formula>
    </cfRule>
    <cfRule type="containsText" dxfId="184" priority="38" operator="containsText" text="中華">
      <formula>NOT(ISERROR(SEARCH("中華",A12)))</formula>
    </cfRule>
  </conditionalFormatting>
  <conditionalFormatting sqref="A12:A22">
    <cfRule type="containsText" dxfId="183" priority="31" operator="containsText" text="綠豆芽">
      <formula>NOT(ISERROR(SEARCH("綠豆芽",A12)))</formula>
    </cfRule>
    <cfRule type="containsText" dxfId="182" priority="32" operator="containsText" text="煮白細麵生(方#12)">
      <formula>NOT(ISERROR(SEARCH("煮白細麵生(方#12)",A12)))</formula>
    </cfRule>
  </conditionalFormatting>
  <conditionalFormatting sqref="E5">
    <cfRule type="cellIs" dxfId="181" priority="16" operator="greaterThan">
      <formula>0.0025</formula>
    </cfRule>
    <cfRule type="cellIs" dxfId="180" priority="19" operator="greaterThan">
      <formula>0.0025</formula>
    </cfRule>
    <cfRule type="cellIs" dxfId="179" priority="29" operator="greaterThan">
      <formula>0.072</formula>
    </cfRule>
    <cfRule type="cellIs" dxfId="178" priority="30" operator="greaterThan">
      <formula>7.2</formula>
    </cfRule>
  </conditionalFormatting>
  <conditionalFormatting sqref="E5">
    <cfRule type="cellIs" dxfId="177" priority="28" operator="greaterThan">
      <formula>0.0025</formula>
    </cfRule>
  </conditionalFormatting>
  <conditionalFormatting sqref="A44:A53">
    <cfRule type="containsText" dxfId="176" priority="22" operator="containsText" text="024">
      <formula>NOT(ISERROR(SEARCH("024",A44)))</formula>
    </cfRule>
    <cfRule type="containsText" dxfId="175" priority="23" operator="containsText" text="白醬">
      <formula>NOT(ISERROR(SEARCH("白醬",A44)))</formula>
    </cfRule>
    <cfRule type="containsText" dxfId="174" priority="24" operator="containsText" text="青蔥">
      <formula>NOT(ISERROR(SEARCH("青蔥",A44)))</formula>
    </cfRule>
    <cfRule type="containsText" dxfId="173" priority="25" operator="containsText" text=")川燙小青花菜">
      <formula>NOT(ISERROR(SEARCH(")川燙小青花菜",A44)))</formula>
    </cfRule>
    <cfRule type="containsText" dxfId="172" priority="26" operator="containsText" text="湯凍">
      <formula>NOT(ISERROR(SEARCH("湯凍",A44)))</formula>
    </cfRule>
    <cfRule type="containsText" dxfId="171" priority="27" operator="containsText" text="中華">
      <formula>NOT(ISERROR(SEARCH("中華",A44)))</formula>
    </cfRule>
  </conditionalFormatting>
  <conditionalFormatting sqref="A44:A53">
    <cfRule type="containsText" dxfId="170" priority="20" operator="containsText" text="綠豆芽">
      <formula>NOT(ISERROR(SEARCH("綠豆芽",A44)))</formula>
    </cfRule>
    <cfRule type="containsText" dxfId="169" priority="21" operator="containsText" text="煮白細麵生(方#12)">
      <formula>NOT(ISERROR(SEARCH("煮白細麵生(方#12)",A44)))</formula>
    </cfRule>
  </conditionalFormatting>
  <conditionalFormatting sqref="D44:D53">
    <cfRule type="cellIs" dxfId="168" priority="18" operator="greaterThan">
      <formula>0.146</formula>
    </cfRule>
  </conditionalFormatting>
  <conditionalFormatting sqref="H12:H22">
    <cfRule type="cellIs" dxfId="167" priority="17" operator="greaterThan">
      <formula>1.1</formula>
    </cfRule>
  </conditionalFormatting>
  <conditionalFormatting sqref="I5">
    <cfRule type="cellIs" dxfId="166" priority="15" operator="greaterThan">
      <formula>0.2</formula>
    </cfRule>
  </conditionalFormatting>
  <conditionalFormatting sqref="A28:A37">
    <cfRule type="containsText" dxfId="165" priority="9" operator="containsText" text="024">
      <formula>NOT(ISERROR(SEARCH("024",A28)))</formula>
    </cfRule>
    <cfRule type="containsText" dxfId="164" priority="10" operator="containsText" text="白醬">
      <formula>NOT(ISERROR(SEARCH("白醬",A28)))</formula>
    </cfRule>
    <cfRule type="containsText" dxfId="163" priority="11" operator="containsText" text="青蔥">
      <formula>NOT(ISERROR(SEARCH("青蔥",A28)))</formula>
    </cfRule>
    <cfRule type="containsText" dxfId="162" priority="12" operator="containsText" text=")川燙小青花菜">
      <formula>NOT(ISERROR(SEARCH(")川燙小青花菜",A28)))</formula>
    </cfRule>
    <cfRule type="containsText" dxfId="161" priority="13" operator="containsText" text="湯凍">
      <formula>NOT(ISERROR(SEARCH("湯凍",A28)))</formula>
    </cfRule>
    <cfRule type="containsText" dxfId="160" priority="14" operator="containsText" text="中華">
      <formula>NOT(ISERROR(SEARCH("中華",A28)))</formula>
    </cfRule>
  </conditionalFormatting>
  <conditionalFormatting sqref="A28:A37">
    <cfRule type="containsText" dxfId="159" priority="7" operator="containsText" text="綠豆芽">
      <formula>NOT(ISERROR(SEARCH("綠豆芽",A28)))</formula>
    </cfRule>
    <cfRule type="containsText" dxfId="158" priority="8" operator="containsText" text="煮白細麵生(方#12)">
      <formula>NOT(ISERROR(SEARCH("煮白細麵生(方#12)",A28)))</formula>
    </cfRule>
  </conditionalFormatting>
  <conditionalFormatting sqref="H28:H37">
    <cfRule type="cellIs" dxfId="157" priority="6" operator="greaterThan">
      <formula>1.1</formula>
    </cfRule>
  </conditionalFormatting>
  <conditionalFormatting sqref="G5">
    <cfRule type="cellIs" dxfId="156" priority="1" operator="greaterThan">
      <formula>0.0025</formula>
    </cfRule>
    <cfRule type="cellIs" dxfId="155" priority="2" operator="greaterThan">
      <formula>0.0025</formula>
    </cfRule>
    <cfRule type="cellIs" dxfId="154" priority="4" operator="greaterThan">
      <formula>0.072</formula>
    </cfRule>
    <cfRule type="cellIs" dxfId="153" priority="5" operator="greaterThan">
      <formula>7.2</formula>
    </cfRule>
  </conditionalFormatting>
  <conditionalFormatting sqref="G5">
    <cfRule type="cellIs" dxfId="15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N7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284" t="s">
        <v>31</v>
      </c>
      <c r="B2" s="1285"/>
      <c r="C2" s="125" t="s">
        <v>32</v>
      </c>
      <c r="D2" s="1286" t="s">
        <v>33</v>
      </c>
      <c r="E2" s="1286"/>
      <c r="F2" s="1286" t="s">
        <v>34</v>
      </c>
      <c r="G2" s="1286"/>
      <c r="H2" s="1286" t="s">
        <v>33</v>
      </c>
      <c r="I2" s="1286"/>
      <c r="J2" s="1286" t="s">
        <v>34</v>
      </c>
      <c r="K2" s="1286"/>
      <c r="L2" s="1286" t="s">
        <v>33</v>
      </c>
      <c r="M2" s="1287"/>
      <c r="R2" s="17"/>
    </row>
    <row r="3" spans="1:18" s="18" customFormat="1" ht="28.5" x14ac:dyDescent="0.45">
      <c r="A3" s="1281">
        <v>45904</v>
      </c>
      <c r="B3" s="1282"/>
      <c r="C3" s="1283">
        <v>5632441.8300000001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281"/>
      <c r="B4" s="1282"/>
      <c r="C4" s="128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279" t="s">
        <v>44</v>
      </c>
      <c r="B5" s="1280"/>
      <c r="C5" s="1280"/>
      <c r="D5" s="126">
        <v>13697.77</v>
      </c>
      <c r="E5" s="22">
        <f>D5/C3</f>
        <v>2.4319416717349393E-3</v>
      </c>
      <c r="F5" s="126">
        <v>43770.74000000002</v>
      </c>
      <c r="G5" s="23">
        <f>F5/C3</f>
        <v>7.7711836750562618E-3</v>
      </c>
      <c r="H5" s="24">
        <f>SUM(C12:C21)</f>
        <v>4621.4400000000005</v>
      </c>
      <c r="I5" s="25">
        <f>H5/D5</f>
        <v>0.33738630448605872</v>
      </c>
      <c r="J5" s="24">
        <f>SUM(C28:C37)</f>
        <v>20127.53</v>
      </c>
      <c r="K5" s="26">
        <f>J5/F5</f>
        <v>0.45983983821155389</v>
      </c>
      <c r="L5" s="27">
        <v>6577.6599999999989</v>
      </c>
      <c r="M5" s="28">
        <f>L5/D5</f>
        <v>0.48019933171603835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228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229</v>
      </c>
      <c r="B8" s="620"/>
      <c r="C8" s="620"/>
      <c r="D8" s="620" t="s">
        <v>230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231</v>
      </c>
      <c r="P8" s="630" t="s">
        <v>232</v>
      </c>
      <c r="Q8" s="629" t="s">
        <v>233</v>
      </c>
      <c r="R8" s="1266" t="s">
        <v>234</v>
      </c>
    </row>
    <row r="9" spans="1:18" ht="20.45" customHeight="1" x14ac:dyDescent="0.25">
      <c r="A9" s="1267" t="s">
        <v>235</v>
      </c>
      <c r="B9" s="634" t="s">
        <v>236</v>
      </c>
      <c r="C9" s="635"/>
      <c r="D9" s="636" t="s">
        <v>237</v>
      </c>
      <c r="E9" s="636"/>
      <c r="F9" s="636"/>
      <c r="G9" s="636"/>
      <c r="H9" s="636"/>
      <c r="I9" s="636"/>
      <c r="J9" s="637" t="s">
        <v>238</v>
      </c>
      <c r="K9" s="637"/>
      <c r="L9" s="637"/>
      <c r="M9" s="638"/>
      <c r="N9" s="638"/>
      <c r="O9" s="629"/>
      <c r="P9" s="629"/>
      <c r="Q9" s="629"/>
      <c r="R9" s="1266"/>
    </row>
    <row r="10" spans="1:18" ht="20.45" customHeight="1" x14ac:dyDescent="0.3">
      <c r="A10" s="1268"/>
      <c r="B10" s="1270" t="s">
        <v>239</v>
      </c>
      <c r="C10" s="1272" t="s">
        <v>240</v>
      </c>
      <c r="D10" s="1274" t="s">
        <v>241</v>
      </c>
      <c r="E10" s="1274"/>
      <c r="F10" s="1274"/>
      <c r="G10" s="1274"/>
      <c r="H10" s="1274"/>
      <c r="I10" s="1274"/>
      <c r="J10" s="1275" t="s">
        <v>242</v>
      </c>
      <c r="K10" s="1277"/>
      <c r="L10" s="1278" t="s">
        <v>243</v>
      </c>
      <c r="M10" s="1275"/>
      <c r="N10" s="1275"/>
      <c r="O10" s="629"/>
      <c r="P10" s="629"/>
      <c r="Q10" s="629"/>
      <c r="R10" s="1266"/>
    </row>
    <row r="11" spans="1:18" s="29" customFormat="1" ht="47.25" customHeight="1" x14ac:dyDescent="0.25">
      <c r="A11" s="1269"/>
      <c r="B11" s="1271"/>
      <c r="C11" s="1273"/>
      <c r="D11" s="127" t="s">
        <v>244</v>
      </c>
      <c r="E11" s="127" t="s">
        <v>245</v>
      </c>
      <c r="F11" s="127" t="s">
        <v>246</v>
      </c>
      <c r="G11" s="127" t="s">
        <v>247</v>
      </c>
      <c r="H11" s="127" t="s">
        <v>248</v>
      </c>
      <c r="I11" s="127" t="s">
        <v>249</v>
      </c>
      <c r="J11" s="128" t="s">
        <v>250</v>
      </c>
      <c r="K11" s="128" t="s">
        <v>251</v>
      </c>
      <c r="L11" s="128" t="s">
        <v>250</v>
      </c>
      <c r="M11" s="128" t="s">
        <v>251</v>
      </c>
      <c r="N11" s="129" t="s">
        <v>252</v>
      </c>
      <c r="O11" s="629"/>
      <c r="P11" s="629"/>
      <c r="Q11" s="629"/>
      <c r="R11" s="1266"/>
    </row>
    <row r="12" spans="1:18" s="38" customFormat="1" ht="24.95" customHeight="1" x14ac:dyDescent="0.25">
      <c r="A12" s="130">
        <v>1</v>
      </c>
      <c r="B12" s="30" t="s">
        <v>58</v>
      </c>
      <c r="C12" s="31">
        <v>1510.78</v>
      </c>
      <c r="D12" s="32">
        <v>13250</v>
      </c>
      <c r="E12" s="32">
        <v>13250</v>
      </c>
      <c r="F12" s="32">
        <v>260.48</v>
      </c>
      <c r="G12" s="31">
        <v>5.8</v>
      </c>
      <c r="H12" s="33">
        <f t="shared" ref="H12:H21" si="0">(E12+F12)/D12</f>
        <v>1.0196588679245282</v>
      </c>
      <c r="I12" s="31">
        <v>1510.78</v>
      </c>
      <c r="J12" s="32">
        <v>260.48</v>
      </c>
      <c r="K12" s="34">
        <f t="shared" ref="K12:K21" si="1">J12/D12</f>
        <v>1.9658867924528305E-2</v>
      </c>
      <c r="L12" s="131">
        <f t="shared" ref="L12:L21" si="2">((E12+F12)-D12)-J12</f>
        <v>-4.5474735088646412E-13</v>
      </c>
      <c r="M12" s="35">
        <f t="shared" ref="M12:M21" si="3">L12/D12</f>
        <v>-3.4320554783884086E-17</v>
      </c>
      <c r="N12" s="132">
        <f t="shared" ref="N12:N21" si="4">L12*G12</f>
        <v>-2.6375346351414918E-12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133">
        <v>2</v>
      </c>
      <c r="B13" s="30" t="s">
        <v>80</v>
      </c>
      <c r="C13" s="31">
        <v>556.39</v>
      </c>
      <c r="D13" s="32">
        <v>329.95</v>
      </c>
      <c r="E13" s="32">
        <v>329.95</v>
      </c>
      <c r="F13" s="32">
        <v>23.76</v>
      </c>
      <c r="G13" s="31">
        <v>156.72999999999999</v>
      </c>
      <c r="H13" s="33">
        <f t="shared" si="0"/>
        <v>1.0720109107440521</v>
      </c>
      <c r="I13" s="31">
        <v>3723.9</v>
      </c>
      <c r="J13" s="32">
        <v>3.55</v>
      </c>
      <c r="K13" s="34">
        <f t="shared" si="1"/>
        <v>1.0759205940293984E-2</v>
      </c>
      <c r="L13" s="131">
        <f t="shared" si="2"/>
        <v>20.20999999999999</v>
      </c>
      <c r="M13" s="35">
        <f t="shared" si="3"/>
        <v>6.125170480375812E-2</v>
      </c>
      <c r="N13" s="132">
        <f t="shared" si="4"/>
        <v>3167.5132999999983</v>
      </c>
      <c r="O13" s="36" t="s">
        <v>142</v>
      </c>
      <c r="P13" s="36" t="s">
        <v>26</v>
      </c>
      <c r="Q13" s="36" t="s">
        <v>145</v>
      </c>
      <c r="R13" s="37" t="s">
        <v>59</v>
      </c>
    </row>
    <row r="14" spans="1:18" s="39" customFormat="1" ht="24.95" customHeight="1" x14ac:dyDescent="0.25">
      <c r="A14" s="133">
        <v>3</v>
      </c>
      <c r="B14" s="30" t="s">
        <v>61</v>
      </c>
      <c r="C14" s="31">
        <v>527.26</v>
      </c>
      <c r="D14" s="32">
        <v>6215</v>
      </c>
      <c r="E14" s="32">
        <v>6215</v>
      </c>
      <c r="F14" s="32">
        <v>80.13</v>
      </c>
      <c r="G14" s="31">
        <v>6.58</v>
      </c>
      <c r="H14" s="33">
        <f t="shared" si="0"/>
        <v>1.0128930008045052</v>
      </c>
      <c r="I14" s="31">
        <v>527.26</v>
      </c>
      <c r="J14" s="32">
        <v>80.13</v>
      </c>
      <c r="K14" s="34">
        <f t="shared" si="1"/>
        <v>1.2893000804505228E-2</v>
      </c>
      <c r="L14" s="131">
        <f t="shared" si="2"/>
        <v>1.1368683772161603E-13</v>
      </c>
      <c r="M14" s="35">
        <f t="shared" si="3"/>
        <v>1.8292331089560101E-17</v>
      </c>
      <c r="N14" s="132">
        <f t="shared" si="4"/>
        <v>7.4805939220823348E-13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130">
        <v>4</v>
      </c>
      <c r="B15" s="30" t="s">
        <v>65</v>
      </c>
      <c r="C15" s="31">
        <v>487.92</v>
      </c>
      <c r="D15" s="32">
        <v>101</v>
      </c>
      <c r="E15" s="32">
        <v>101</v>
      </c>
      <c r="F15" s="32">
        <v>8.08</v>
      </c>
      <c r="G15" s="31">
        <v>160.5</v>
      </c>
      <c r="H15" s="33">
        <f t="shared" si="0"/>
        <v>1.08</v>
      </c>
      <c r="I15" s="31">
        <v>1296.8399999999999</v>
      </c>
      <c r="J15" s="32">
        <v>3.04</v>
      </c>
      <c r="K15" s="34">
        <f t="shared" si="1"/>
        <v>3.0099009900990098E-2</v>
      </c>
      <c r="L15" s="131">
        <f t="shared" si="2"/>
        <v>5.0399999999999983</v>
      </c>
      <c r="M15" s="35">
        <f t="shared" si="3"/>
        <v>4.9900990099009883E-2</v>
      </c>
      <c r="N15" s="132">
        <f t="shared" si="4"/>
        <v>808.91999999999973</v>
      </c>
      <c r="O15" s="36" t="s">
        <v>139</v>
      </c>
      <c r="P15" s="36" t="s">
        <v>25</v>
      </c>
      <c r="Q15" s="36" t="s">
        <v>141</v>
      </c>
      <c r="R15" s="37" t="s">
        <v>59</v>
      </c>
    </row>
    <row r="16" spans="1:18" s="39" customFormat="1" ht="24.95" customHeight="1" x14ac:dyDescent="0.25">
      <c r="A16" s="133">
        <v>5</v>
      </c>
      <c r="B16" s="30" t="s">
        <v>69</v>
      </c>
      <c r="C16" s="31">
        <v>340.9</v>
      </c>
      <c r="D16" s="32">
        <v>10409</v>
      </c>
      <c r="E16" s="32">
        <v>10409</v>
      </c>
      <c r="F16" s="32">
        <v>48.7</v>
      </c>
      <c r="G16" s="31">
        <v>7</v>
      </c>
      <c r="H16" s="33">
        <f t="shared" si="0"/>
        <v>1.0046786434816026</v>
      </c>
      <c r="I16" s="31">
        <v>340.9</v>
      </c>
      <c r="J16" s="32">
        <v>48.7</v>
      </c>
      <c r="K16" s="34">
        <f t="shared" si="1"/>
        <v>4.6786434816024599E-3</v>
      </c>
      <c r="L16" s="131">
        <f t="shared" si="2"/>
        <v>7.2475359047530219E-13</v>
      </c>
      <c r="M16" s="35">
        <f t="shared" si="3"/>
        <v>6.9627590592304944E-17</v>
      </c>
      <c r="N16" s="132">
        <f t="shared" si="4"/>
        <v>5.0732751333271153E-12</v>
      </c>
      <c r="O16" s="36" t="s">
        <v>142</v>
      </c>
      <c r="P16" s="36" t="s">
        <v>26</v>
      </c>
      <c r="Q16" s="36" t="s">
        <v>143</v>
      </c>
      <c r="R16" s="37" t="s">
        <v>59</v>
      </c>
    </row>
    <row r="17" spans="1:18" s="38" customFormat="1" ht="24.95" customHeight="1" x14ac:dyDescent="0.25">
      <c r="A17" s="130">
        <v>6</v>
      </c>
      <c r="B17" s="30" t="s">
        <v>90</v>
      </c>
      <c r="C17" s="31">
        <v>314.52</v>
      </c>
      <c r="D17" s="32">
        <v>89.1</v>
      </c>
      <c r="E17" s="32">
        <v>89.1</v>
      </c>
      <c r="F17" s="32">
        <v>4.99</v>
      </c>
      <c r="G17" s="31">
        <v>104.84</v>
      </c>
      <c r="H17" s="33">
        <f t="shared" si="0"/>
        <v>1.0560044893378226</v>
      </c>
      <c r="I17" s="31">
        <v>523.15</v>
      </c>
      <c r="J17" s="32">
        <v>3</v>
      </c>
      <c r="K17" s="34">
        <f t="shared" si="1"/>
        <v>3.3670033670033669E-2</v>
      </c>
      <c r="L17" s="131">
        <f t="shared" si="2"/>
        <v>1.9899999999999949</v>
      </c>
      <c r="M17" s="35">
        <f t="shared" si="3"/>
        <v>2.2334455667788945E-2</v>
      </c>
      <c r="N17" s="132">
        <f t="shared" si="4"/>
        <v>208.63159999999948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133">
        <v>7</v>
      </c>
      <c r="B18" s="30" t="s">
        <v>253</v>
      </c>
      <c r="C18" s="31">
        <v>279.35000000000002</v>
      </c>
      <c r="D18" s="32">
        <v>279.20999999999998</v>
      </c>
      <c r="E18" s="32">
        <v>279.20999999999998</v>
      </c>
      <c r="F18" s="32">
        <v>13.4</v>
      </c>
      <c r="G18" s="31">
        <v>95.34</v>
      </c>
      <c r="H18" s="33">
        <f t="shared" si="0"/>
        <v>1.0479925504100855</v>
      </c>
      <c r="I18" s="31">
        <v>1277.56</v>
      </c>
      <c r="J18" s="32">
        <v>2.93</v>
      </c>
      <c r="K18" s="34">
        <f t="shared" si="1"/>
        <v>1.0493893485190359E-2</v>
      </c>
      <c r="L18" s="131">
        <f t="shared" si="2"/>
        <v>10.469999999999978</v>
      </c>
      <c r="M18" s="35">
        <f t="shared" si="3"/>
        <v>3.7498656924895166E-2</v>
      </c>
      <c r="N18" s="132">
        <f t="shared" si="4"/>
        <v>998.20979999999793</v>
      </c>
      <c r="O18" s="36" t="s">
        <v>139</v>
      </c>
      <c r="P18" s="36" t="s">
        <v>25</v>
      </c>
      <c r="Q18" s="36" t="s">
        <v>144</v>
      </c>
      <c r="R18" s="37" t="s">
        <v>59</v>
      </c>
    </row>
    <row r="19" spans="1:18" s="38" customFormat="1" ht="24.95" customHeight="1" x14ac:dyDescent="0.25">
      <c r="A19" s="130">
        <v>8</v>
      </c>
      <c r="B19" s="30" t="s">
        <v>62</v>
      </c>
      <c r="C19" s="31">
        <v>214.62</v>
      </c>
      <c r="D19" s="32">
        <v>323.39999999999998</v>
      </c>
      <c r="E19" s="32">
        <v>323.39999999999998</v>
      </c>
      <c r="F19" s="32">
        <v>18.11</v>
      </c>
      <c r="G19" s="31">
        <v>111.2</v>
      </c>
      <c r="H19" s="33">
        <f t="shared" si="0"/>
        <v>1.0559987631416203</v>
      </c>
      <c r="I19" s="31">
        <v>2013.83</v>
      </c>
      <c r="J19" s="32">
        <v>1.93</v>
      </c>
      <c r="K19" s="34">
        <f t="shared" si="1"/>
        <v>5.9678416821273969E-3</v>
      </c>
      <c r="L19" s="131">
        <f t="shared" si="2"/>
        <v>16.180000000000014</v>
      </c>
      <c r="M19" s="35">
        <f t="shared" si="3"/>
        <v>5.0030921459492936E-2</v>
      </c>
      <c r="N19" s="132">
        <f t="shared" si="4"/>
        <v>1799.2160000000015</v>
      </c>
      <c r="O19" s="36" t="s">
        <v>139</v>
      </c>
      <c r="P19" s="36" t="s">
        <v>25</v>
      </c>
      <c r="Q19" s="36" t="s">
        <v>144</v>
      </c>
      <c r="R19" s="37" t="s">
        <v>63</v>
      </c>
    </row>
    <row r="20" spans="1:18" s="38" customFormat="1" ht="24.95" customHeight="1" x14ac:dyDescent="0.25">
      <c r="A20" s="133">
        <v>9</v>
      </c>
      <c r="B20" s="30" t="s">
        <v>60</v>
      </c>
      <c r="C20" s="31">
        <v>199.23</v>
      </c>
      <c r="D20" s="32">
        <v>217.53</v>
      </c>
      <c r="E20" s="32">
        <v>217.53</v>
      </c>
      <c r="F20" s="32">
        <v>12.18</v>
      </c>
      <c r="G20" s="31">
        <v>99.12</v>
      </c>
      <c r="H20" s="33">
        <f t="shared" si="0"/>
        <v>1.0559922769273205</v>
      </c>
      <c r="I20" s="31">
        <v>1207.28</v>
      </c>
      <c r="J20" s="32">
        <v>2.0099999999999998</v>
      </c>
      <c r="K20" s="34">
        <f t="shared" si="1"/>
        <v>9.2401048131292227E-3</v>
      </c>
      <c r="L20" s="131">
        <f t="shared" si="2"/>
        <v>10.170000000000007</v>
      </c>
      <c r="M20" s="35">
        <f t="shared" si="3"/>
        <v>4.6752172114191179E-2</v>
      </c>
      <c r="N20" s="132">
        <f t="shared" si="4"/>
        <v>1008.0504000000008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134">
        <v>10</v>
      </c>
      <c r="B21" s="40" t="s">
        <v>254</v>
      </c>
      <c r="C21" s="41">
        <v>190.47</v>
      </c>
      <c r="D21" s="42">
        <v>148.86000000000001</v>
      </c>
      <c r="E21" s="42">
        <v>148.86000000000001</v>
      </c>
      <c r="F21" s="42">
        <v>8.34</v>
      </c>
      <c r="G21" s="41">
        <v>110.1</v>
      </c>
      <c r="H21" s="43">
        <f t="shared" si="0"/>
        <v>1.0560257960499799</v>
      </c>
      <c r="I21" s="41">
        <v>918.23</v>
      </c>
      <c r="J21" s="42">
        <v>1.73</v>
      </c>
      <c r="K21" s="44">
        <f t="shared" si="1"/>
        <v>1.1621657933628913E-2</v>
      </c>
      <c r="L21" s="135">
        <f t="shared" si="2"/>
        <v>6.610000000000003</v>
      </c>
      <c r="M21" s="45">
        <f t="shared" si="3"/>
        <v>4.4404138116350952E-2</v>
      </c>
      <c r="N21" s="136">
        <f t="shared" si="4"/>
        <v>727.76100000000031</v>
      </c>
      <c r="O21" s="46" t="s">
        <v>139</v>
      </c>
      <c r="P21" s="46" t="s">
        <v>25</v>
      </c>
      <c r="Q21" s="46" t="s">
        <v>141</v>
      </c>
      <c r="R21" s="47" t="s">
        <v>59</v>
      </c>
    </row>
    <row r="22" spans="1:18" s="53" customFormat="1" ht="24.95" customHeight="1" thickBot="1" x14ac:dyDescent="0.3">
      <c r="A22" s="137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138"/>
      <c r="M22" s="51"/>
      <c r="N22" s="139"/>
      <c r="O22" s="52"/>
      <c r="P22" s="52"/>
      <c r="Q22" s="52"/>
      <c r="R22" s="48"/>
    </row>
    <row r="23" spans="1:18" s="53" customFormat="1" ht="40.5" customHeight="1" x14ac:dyDescent="0.25">
      <c r="A23" s="616" t="s">
        <v>255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229</v>
      </c>
      <c r="B24" s="620"/>
      <c r="C24" s="620"/>
      <c r="D24" s="620" t="s">
        <v>230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256</v>
      </c>
      <c r="P24" s="630" t="s">
        <v>257</v>
      </c>
      <c r="Q24" s="629" t="s">
        <v>233</v>
      </c>
      <c r="R24" s="1266" t="s">
        <v>258</v>
      </c>
    </row>
    <row r="25" spans="1:18" s="53" customFormat="1" ht="24.95" customHeight="1" x14ac:dyDescent="0.25">
      <c r="A25" s="1267" t="s">
        <v>235</v>
      </c>
      <c r="B25" s="634" t="s">
        <v>236</v>
      </c>
      <c r="C25" s="635"/>
      <c r="D25" s="636" t="s">
        <v>237</v>
      </c>
      <c r="E25" s="636"/>
      <c r="F25" s="636"/>
      <c r="G25" s="636"/>
      <c r="H25" s="636"/>
      <c r="I25" s="636"/>
      <c r="J25" s="637" t="s">
        <v>238</v>
      </c>
      <c r="K25" s="637"/>
      <c r="L25" s="637"/>
      <c r="M25" s="638"/>
      <c r="N25" s="638"/>
      <c r="O25" s="629"/>
      <c r="P25" s="629"/>
      <c r="Q25" s="629"/>
      <c r="R25" s="1266"/>
    </row>
    <row r="26" spans="1:18" s="53" customFormat="1" ht="24.95" customHeight="1" x14ac:dyDescent="0.3">
      <c r="A26" s="1268"/>
      <c r="B26" s="1270" t="s">
        <v>239</v>
      </c>
      <c r="C26" s="1272" t="s">
        <v>259</v>
      </c>
      <c r="D26" s="1274" t="s">
        <v>260</v>
      </c>
      <c r="E26" s="1274"/>
      <c r="F26" s="1274"/>
      <c r="G26" s="1274"/>
      <c r="H26" s="1274"/>
      <c r="I26" s="1274"/>
      <c r="J26" s="1275" t="s">
        <v>242</v>
      </c>
      <c r="K26" s="1276"/>
      <c r="L26" s="1277"/>
      <c r="M26" s="1275" t="s">
        <v>243</v>
      </c>
      <c r="N26" s="1277"/>
      <c r="O26" s="629"/>
      <c r="P26" s="629"/>
      <c r="Q26" s="629"/>
      <c r="R26" s="1266"/>
    </row>
    <row r="27" spans="1:18" s="53" customFormat="1" ht="50.1" customHeight="1" x14ac:dyDescent="0.25">
      <c r="A27" s="1269"/>
      <c r="B27" s="1271"/>
      <c r="C27" s="1273"/>
      <c r="D27" s="127" t="s">
        <v>244</v>
      </c>
      <c r="E27" s="127" t="s">
        <v>245</v>
      </c>
      <c r="F27" s="127" t="s">
        <v>261</v>
      </c>
      <c r="G27" s="127" t="s">
        <v>247</v>
      </c>
      <c r="H27" s="127" t="s">
        <v>248</v>
      </c>
      <c r="I27" s="127" t="s">
        <v>262</v>
      </c>
      <c r="J27" s="128" t="s">
        <v>250</v>
      </c>
      <c r="K27" s="128" t="s">
        <v>251</v>
      </c>
      <c r="L27" s="129" t="s">
        <v>252</v>
      </c>
      <c r="M27" s="128" t="s">
        <v>250</v>
      </c>
      <c r="N27" s="128" t="s">
        <v>251</v>
      </c>
      <c r="O27" s="629"/>
      <c r="P27" s="629"/>
      <c r="Q27" s="629"/>
      <c r="R27" s="1266"/>
    </row>
    <row r="28" spans="1:18" s="53" customFormat="1" ht="24.95" customHeight="1" x14ac:dyDescent="0.25">
      <c r="A28" s="130">
        <v>1</v>
      </c>
      <c r="B28" s="30" t="s">
        <v>68</v>
      </c>
      <c r="C28" s="31">
        <v>3916.93</v>
      </c>
      <c r="D28" s="32">
        <v>363.2</v>
      </c>
      <c r="E28" s="32">
        <v>363.2</v>
      </c>
      <c r="F28" s="32">
        <v>26.15</v>
      </c>
      <c r="G28" s="31">
        <v>156.74</v>
      </c>
      <c r="H28" s="54">
        <f t="shared" ref="H28:H37" si="5">(E28+F28)/D28</f>
        <v>1.0719988986784141</v>
      </c>
      <c r="I28" s="31">
        <v>4098.75</v>
      </c>
      <c r="J28" s="32">
        <v>1.1599999999999999</v>
      </c>
      <c r="K28" s="34">
        <f t="shared" ref="K28:K37" si="6">J28/D28</f>
        <v>3.1938325991189426E-3</v>
      </c>
      <c r="L28" s="132">
        <f t="shared" ref="L28:L37" si="7">J28*G28</f>
        <v>181.8184</v>
      </c>
      <c r="M28" s="131">
        <f t="shared" ref="M28:M37" si="8">((E28+F28)-D28)-J28</f>
        <v>24.989999999999977</v>
      </c>
      <c r="N28" s="35">
        <f t="shared" ref="N28:N37" si="9">M28/D28</f>
        <v>6.8805066079295096E-2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133">
        <v>2</v>
      </c>
      <c r="B29" s="30" t="s">
        <v>80</v>
      </c>
      <c r="C29" s="31">
        <v>3167.51</v>
      </c>
      <c r="D29" s="32">
        <v>329.95</v>
      </c>
      <c r="E29" s="32">
        <v>329.95</v>
      </c>
      <c r="F29" s="32">
        <v>23.76</v>
      </c>
      <c r="G29" s="31">
        <v>156.72999999999999</v>
      </c>
      <c r="H29" s="54">
        <f t="shared" si="5"/>
        <v>1.0720109107440521</v>
      </c>
      <c r="I29" s="31">
        <v>3723.9</v>
      </c>
      <c r="J29" s="32">
        <v>3.55</v>
      </c>
      <c r="K29" s="34">
        <f t="shared" si="6"/>
        <v>1.0759205940293984E-2</v>
      </c>
      <c r="L29" s="132">
        <f t="shared" si="7"/>
        <v>556.39149999999995</v>
      </c>
      <c r="M29" s="131">
        <f t="shared" si="8"/>
        <v>20.20999999999999</v>
      </c>
      <c r="N29" s="35">
        <f t="shared" si="9"/>
        <v>6.125170480375812E-2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133">
        <v>3</v>
      </c>
      <c r="B30" s="30" t="s">
        <v>87</v>
      </c>
      <c r="C30" s="31">
        <v>2105.33</v>
      </c>
      <c r="D30" s="32">
        <v>210.24</v>
      </c>
      <c r="E30" s="32">
        <v>210.24</v>
      </c>
      <c r="F30" s="32">
        <v>11.78</v>
      </c>
      <c r="G30" s="31">
        <v>194.04</v>
      </c>
      <c r="H30" s="54">
        <f t="shared" si="5"/>
        <v>1.056031202435312</v>
      </c>
      <c r="I30" s="31">
        <v>2285.79</v>
      </c>
      <c r="J30" s="57">
        <v>0.93</v>
      </c>
      <c r="K30" s="34">
        <f t="shared" si="6"/>
        <v>4.4235159817351596E-3</v>
      </c>
      <c r="L30" s="132">
        <f t="shared" si="7"/>
        <v>180.4572</v>
      </c>
      <c r="M30" s="131">
        <f t="shared" si="8"/>
        <v>10.850000000000001</v>
      </c>
      <c r="N30" s="35">
        <f t="shared" si="9"/>
        <v>5.160768645357687E-2</v>
      </c>
      <c r="O30" s="55" t="s">
        <v>133</v>
      </c>
      <c r="P30" s="56" t="s">
        <v>25</v>
      </c>
      <c r="Q30" s="56" t="s">
        <v>135</v>
      </c>
      <c r="R30" s="37" t="s">
        <v>88</v>
      </c>
    </row>
    <row r="31" spans="1:18" s="53" customFormat="1" ht="24.95" customHeight="1" x14ac:dyDescent="0.25">
      <c r="A31" s="130">
        <v>4</v>
      </c>
      <c r="B31" s="30" t="s">
        <v>62</v>
      </c>
      <c r="C31" s="31">
        <v>1799.21</v>
      </c>
      <c r="D31" s="32">
        <v>323.39999999999998</v>
      </c>
      <c r="E31" s="32">
        <v>323.39999999999998</v>
      </c>
      <c r="F31" s="32">
        <v>18.11</v>
      </c>
      <c r="G31" s="31">
        <v>111.2</v>
      </c>
      <c r="H31" s="54">
        <f t="shared" si="5"/>
        <v>1.0559987631416203</v>
      </c>
      <c r="I31" s="31">
        <v>2013.83</v>
      </c>
      <c r="J31" s="32">
        <v>1.93</v>
      </c>
      <c r="K31" s="34">
        <f t="shared" si="6"/>
        <v>5.9678416821273969E-3</v>
      </c>
      <c r="L31" s="132">
        <f t="shared" si="7"/>
        <v>214.61599999999999</v>
      </c>
      <c r="M31" s="131">
        <f t="shared" si="8"/>
        <v>16.180000000000014</v>
      </c>
      <c r="N31" s="35">
        <f t="shared" si="9"/>
        <v>5.0030921459492936E-2</v>
      </c>
      <c r="O31" s="55" t="s">
        <v>133</v>
      </c>
      <c r="P31" s="56" t="s">
        <v>25</v>
      </c>
      <c r="Q31" s="56" t="s">
        <v>135</v>
      </c>
      <c r="R31" s="37" t="s">
        <v>63</v>
      </c>
    </row>
    <row r="32" spans="1:18" s="53" customFormat="1" ht="24.95" customHeight="1" x14ac:dyDescent="0.25">
      <c r="A32" s="133">
        <v>5</v>
      </c>
      <c r="B32" s="30" t="s">
        <v>70</v>
      </c>
      <c r="C32" s="31">
        <v>1709.73</v>
      </c>
      <c r="D32" s="32">
        <v>28.98</v>
      </c>
      <c r="E32" s="32">
        <v>28.98</v>
      </c>
      <c r="F32" s="32">
        <v>2.3199999999999998</v>
      </c>
      <c r="G32" s="31">
        <v>814.16</v>
      </c>
      <c r="H32" s="54">
        <f t="shared" si="5"/>
        <v>1.0800552104899932</v>
      </c>
      <c r="I32" s="31">
        <v>1888.85</v>
      </c>
      <c r="J32" s="32">
        <v>0.22</v>
      </c>
      <c r="K32" s="34">
        <f t="shared" si="6"/>
        <v>7.59144237405107E-3</v>
      </c>
      <c r="L32" s="132">
        <f t="shared" si="7"/>
        <v>179.11519999999999</v>
      </c>
      <c r="M32" s="131">
        <f t="shared" si="8"/>
        <v>2.1</v>
      </c>
      <c r="N32" s="35">
        <f t="shared" si="9"/>
        <v>7.2463768115942032E-2</v>
      </c>
      <c r="O32" s="55" t="s">
        <v>133</v>
      </c>
      <c r="P32" s="56" t="s">
        <v>25</v>
      </c>
      <c r="Q32" s="56" t="s">
        <v>138</v>
      </c>
      <c r="R32" s="37" t="s">
        <v>71</v>
      </c>
    </row>
    <row r="33" spans="1:18" s="53" customFormat="1" ht="24.95" customHeight="1" x14ac:dyDescent="0.25">
      <c r="A33" s="130">
        <v>6</v>
      </c>
      <c r="B33" s="30" t="s">
        <v>179</v>
      </c>
      <c r="C33" s="31">
        <v>1692.49</v>
      </c>
      <c r="D33" s="32">
        <v>156.44</v>
      </c>
      <c r="E33" s="32">
        <v>156.44</v>
      </c>
      <c r="F33" s="32">
        <v>11.26</v>
      </c>
      <c r="G33" s="31">
        <v>166.42</v>
      </c>
      <c r="H33" s="54">
        <f t="shared" si="5"/>
        <v>1.0719764766044488</v>
      </c>
      <c r="I33" s="31">
        <v>1873.89</v>
      </c>
      <c r="J33" s="32">
        <v>1.0900000000000001</v>
      </c>
      <c r="K33" s="34">
        <f t="shared" si="6"/>
        <v>6.9675274865763238E-3</v>
      </c>
      <c r="L33" s="132">
        <f t="shared" si="7"/>
        <v>181.39779999999999</v>
      </c>
      <c r="M33" s="131">
        <f t="shared" si="8"/>
        <v>10.169999999999991</v>
      </c>
      <c r="N33" s="35">
        <f t="shared" si="9"/>
        <v>6.5008949117872611E-2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133">
        <v>7</v>
      </c>
      <c r="B34" s="30" t="s">
        <v>183</v>
      </c>
      <c r="C34" s="31">
        <v>1575.01</v>
      </c>
      <c r="D34" s="32">
        <v>89.1</v>
      </c>
      <c r="E34" s="32">
        <v>89.1</v>
      </c>
      <c r="F34" s="32">
        <v>4.28</v>
      </c>
      <c r="G34" s="31">
        <v>410.16</v>
      </c>
      <c r="H34" s="54">
        <f t="shared" si="5"/>
        <v>1.0480359147025813</v>
      </c>
      <c r="I34" s="31">
        <v>1755.48</v>
      </c>
      <c r="J34" s="32">
        <v>0.44</v>
      </c>
      <c r="K34" s="34">
        <f t="shared" si="6"/>
        <v>4.9382716049382724E-3</v>
      </c>
      <c r="L34" s="132">
        <f t="shared" si="7"/>
        <v>180.47040000000001</v>
      </c>
      <c r="M34" s="131">
        <f t="shared" si="8"/>
        <v>3.8400000000000012</v>
      </c>
      <c r="N34" s="35">
        <f t="shared" si="9"/>
        <v>4.3097643097643114E-2</v>
      </c>
      <c r="O34" s="55" t="s">
        <v>133</v>
      </c>
      <c r="P34" s="56" t="s">
        <v>25</v>
      </c>
      <c r="Q34" s="56" t="s">
        <v>134</v>
      </c>
      <c r="R34" s="37" t="s">
        <v>59</v>
      </c>
    </row>
    <row r="35" spans="1:18" s="53" customFormat="1" ht="24.95" customHeight="1" x14ac:dyDescent="0.25">
      <c r="A35" s="130">
        <v>8</v>
      </c>
      <c r="B35" s="30" t="s">
        <v>92</v>
      </c>
      <c r="C35" s="31">
        <v>1475.37</v>
      </c>
      <c r="D35" s="32">
        <v>101.74</v>
      </c>
      <c r="E35" s="32">
        <v>101.74</v>
      </c>
      <c r="F35" s="32">
        <v>8.14</v>
      </c>
      <c r="G35" s="31">
        <v>203.5</v>
      </c>
      <c r="H35" s="54">
        <f t="shared" si="5"/>
        <v>1.0800078631806567</v>
      </c>
      <c r="I35" s="31">
        <v>1656.49</v>
      </c>
      <c r="J35" s="32">
        <v>0.89</v>
      </c>
      <c r="K35" s="34">
        <f t="shared" si="6"/>
        <v>8.747788480440338E-3</v>
      </c>
      <c r="L35" s="132">
        <f t="shared" si="7"/>
        <v>181.11500000000001</v>
      </c>
      <c r="M35" s="131">
        <f t="shared" si="8"/>
        <v>7.2500000000000009</v>
      </c>
      <c r="N35" s="35">
        <f t="shared" si="9"/>
        <v>7.1260074700216253E-2</v>
      </c>
      <c r="O35" s="55" t="s">
        <v>133</v>
      </c>
      <c r="P35" s="56" t="s">
        <v>25</v>
      </c>
      <c r="Q35" s="56" t="s">
        <v>136</v>
      </c>
      <c r="R35" s="37" t="s">
        <v>59</v>
      </c>
    </row>
    <row r="36" spans="1:18" s="53" customFormat="1" ht="24.95" customHeight="1" x14ac:dyDescent="0.25">
      <c r="A36" s="133">
        <v>9</v>
      </c>
      <c r="B36" s="30" t="s">
        <v>263</v>
      </c>
      <c r="C36" s="31">
        <v>1357.9</v>
      </c>
      <c r="D36" s="32">
        <v>208.05</v>
      </c>
      <c r="E36" s="32">
        <v>208.05</v>
      </c>
      <c r="F36" s="32">
        <v>8.32</v>
      </c>
      <c r="G36" s="31">
        <v>185</v>
      </c>
      <c r="H36" s="54">
        <f t="shared" si="5"/>
        <v>1.0399903869262197</v>
      </c>
      <c r="I36" s="31">
        <v>1539.2</v>
      </c>
      <c r="J36" s="32">
        <v>0.98</v>
      </c>
      <c r="K36" s="34">
        <f t="shared" si="6"/>
        <v>4.710406152367219E-3</v>
      </c>
      <c r="L36" s="132">
        <f t="shared" si="7"/>
        <v>181.29999999999998</v>
      </c>
      <c r="M36" s="131">
        <f t="shared" si="8"/>
        <v>7.3399999999999928</v>
      </c>
      <c r="N36" s="35">
        <f t="shared" si="9"/>
        <v>3.5279980773852401E-2</v>
      </c>
      <c r="O36" s="55" t="s">
        <v>133</v>
      </c>
      <c r="P36" s="56" t="s">
        <v>25</v>
      </c>
      <c r="Q36" s="56" t="s">
        <v>135</v>
      </c>
      <c r="R36" s="37" t="s">
        <v>264</v>
      </c>
    </row>
    <row r="37" spans="1:18" s="53" customFormat="1" ht="24.95" customHeight="1" thickBot="1" x14ac:dyDescent="0.3">
      <c r="A37" s="134">
        <v>10</v>
      </c>
      <c r="B37" s="40" t="s">
        <v>211</v>
      </c>
      <c r="C37" s="41">
        <v>1328.0500000000002</v>
      </c>
      <c r="D37" s="42">
        <v>91.67</v>
      </c>
      <c r="E37" s="42">
        <v>91.67</v>
      </c>
      <c r="F37" s="42">
        <v>6.6</v>
      </c>
      <c r="G37" s="41">
        <v>228.58</v>
      </c>
      <c r="H37" s="58">
        <f t="shared" si="5"/>
        <v>1.071997381913385</v>
      </c>
      <c r="I37" s="41">
        <v>1508.63</v>
      </c>
      <c r="J37" s="42">
        <v>0.79</v>
      </c>
      <c r="K37" s="44">
        <f t="shared" si="6"/>
        <v>8.6178684411475949E-3</v>
      </c>
      <c r="L37" s="136">
        <f t="shared" si="7"/>
        <v>180.57820000000001</v>
      </c>
      <c r="M37" s="135">
        <f t="shared" si="8"/>
        <v>5.8099999999999943</v>
      </c>
      <c r="N37" s="45">
        <f t="shared" si="9"/>
        <v>6.3379513472237303E-2</v>
      </c>
      <c r="O37" s="59" t="s">
        <v>133</v>
      </c>
      <c r="P37" s="60" t="s">
        <v>25</v>
      </c>
      <c r="Q37" s="60" t="s">
        <v>135</v>
      </c>
      <c r="R37" s="61" t="s">
        <v>212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265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229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263" t="s">
        <v>235</v>
      </c>
      <c r="B41" s="623" t="s">
        <v>236</v>
      </c>
      <c r="C41" s="623"/>
      <c r="D41" s="624"/>
      <c r="E41" s="62"/>
      <c r="G41" s="64"/>
      <c r="H41" s="65"/>
    </row>
    <row r="42" spans="1:18" ht="20.45" customHeight="1" x14ac:dyDescent="0.35">
      <c r="A42" s="1263"/>
      <c r="B42" s="1264" t="s">
        <v>239</v>
      </c>
      <c r="C42" s="1265" t="s">
        <v>266</v>
      </c>
      <c r="D42" s="1266" t="s">
        <v>267</v>
      </c>
      <c r="E42" s="62"/>
      <c r="G42" s="64"/>
      <c r="H42" s="65"/>
    </row>
    <row r="43" spans="1:18" ht="20.45" customHeight="1" x14ac:dyDescent="0.35">
      <c r="A43" s="1263"/>
      <c r="B43" s="1264"/>
      <c r="C43" s="1265"/>
      <c r="D43" s="1266"/>
      <c r="E43" s="62"/>
      <c r="G43" s="64"/>
      <c r="H43" s="65"/>
    </row>
    <row r="44" spans="1:18" s="68" customFormat="1" ht="24.95" customHeight="1" x14ac:dyDescent="0.35">
      <c r="A44" s="140">
        <v>1</v>
      </c>
      <c r="B44" s="30" t="s">
        <v>58</v>
      </c>
      <c r="C44" s="31">
        <v>1510.78</v>
      </c>
      <c r="D44" s="66">
        <f t="shared" ref="D44:D53" si="10">C44/$L$5</f>
        <v>0.22968350446815436</v>
      </c>
      <c r="E44" s="67"/>
      <c r="G44" s="64"/>
      <c r="H44" s="65"/>
    </row>
    <row r="45" spans="1:18" s="68" customFormat="1" ht="24.95" customHeight="1" x14ac:dyDescent="0.35">
      <c r="A45" s="141">
        <v>2</v>
      </c>
      <c r="B45" s="30" t="s">
        <v>80</v>
      </c>
      <c r="C45" s="31">
        <v>556.39</v>
      </c>
      <c r="D45" s="66">
        <f t="shared" si="10"/>
        <v>8.4587832146994529E-2</v>
      </c>
      <c r="E45" s="67"/>
      <c r="G45" s="64"/>
      <c r="H45" s="65"/>
    </row>
    <row r="46" spans="1:18" s="68" customFormat="1" ht="24.95" customHeight="1" x14ac:dyDescent="0.35">
      <c r="A46" s="141">
        <v>3</v>
      </c>
      <c r="B46" s="30" t="s">
        <v>61</v>
      </c>
      <c r="C46" s="31">
        <v>527.26</v>
      </c>
      <c r="D46" s="66">
        <f t="shared" si="10"/>
        <v>8.0159205553342688E-2</v>
      </c>
      <c r="E46" s="67"/>
      <c r="G46" s="64"/>
      <c r="H46" s="65"/>
    </row>
    <row r="47" spans="1:18" s="68" customFormat="1" ht="24.95" customHeight="1" x14ac:dyDescent="0.35">
      <c r="A47" s="140">
        <v>4</v>
      </c>
      <c r="B47" s="30" t="s">
        <v>65</v>
      </c>
      <c r="C47" s="31">
        <v>487.92</v>
      </c>
      <c r="D47" s="66">
        <f t="shared" si="10"/>
        <v>7.4178355220549566E-2</v>
      </c>
      <c r="E47" s="67"/>
      <c r="G47" s="64"/>
      <c r="H47" s="65"/>
    </row>
    <row r="48" spans="1:18" s="68" customFormat="1" ht="24.95" customHeight="1" x14ac:dyDescent="0.35">
      <c r="A48" s="141">
        <v>5</v>
      </c>
      <c r="B48" s="30" t="s">
        <v>69</v>
      </c>
      <c r="C48" s="31">
        <v>340.9</v>
      </c>
      <c r="D48" s="66">
        <f t="shared" si="10"/>
        <v>5.1826941495911924E-2</v>
      </c>
      <c r="E48" s="67"/>
      <c r="G48" s="64"/>
      <c r="H48" s="65"/>
    </row>
    <row r="49" spans="1:5" s="68" customFormat="1" ht="24.95" customHeight="1" x14ac:dyDescent="0.25">
      <c r="A49" s="140">
        <v>6</v>
      </c>
      <c r="B49" s="30" t="s">
        <v>90</v>
      </c>
      <c r="C49" s="31">
        <v>314.52</v>
      </c>
      <c r="D49" s="66">
        <f t="shared" si="10"/>
        <v>4.7816396712508709E-2</v>
      </c>
      <c r="E49" s="67"/>
    </row>
    <row r="50" spans="1:5" s="68" customFormat="1" ht="24.95" customHeight="1" x14ac:dyDescent="0.25">
      <c r="A50" s="141">
        <v>7</v>
      </c>
      <c r="B50" s="30" t="s">
        <v>253</v>
      </c>
      <c r="C50" s="31">
        <v>279.35000000000002</v>
      </c>
      <c r="D50" s="66">
        <f t="shared" si="10"/>
        <v>4.2469510433801698E-2</v>
      </c>
      <c r="E50" s="67"/>
    </row>
    <row r="51" spans="1:5" s="68" customFormat="1" ht="24.95" customHeight="1" x14ac:dyDescent="0.25">
      <c r="A51" s="140">
        <v>8</v>
      </c>
      <c r="B51" s="30" t="s">
        <v>60</v>
      </c>
      <c r="C51" s="31">
        <v>199.23</v>
      </c>
      <c r="D51" s="66">
        <f t="shared" si="10"/>
        <v>3.0288886929394347E-2</v>
      </c>
      <c r="E51" s="67"/>
    </row>
    <row r="52" spans="1:5" s="68" customFormat="1" ht="24.95" customHeight="1" x14ac:dyDescent="0.25">
      <c r="A52" s="141">
        <v>9</v>
      </c>
      <c r="B52" s="30" t="s">
        <v>254</v>
      </c>
      <c r="C52" s="31">
        <v>190.47</v>
      </c>
      <c r="D52" s="66">
        <f t="shared" si="10"/>
        <v>2.8957106326565986E-2</v>
      </c>
      <c r="E52" s="67"/>
    </row>
    <row r="53" spans="1:5" s="68" customFormat="1" ht="24.95" customHeight="1" thickBot="1" x14ac:dyDescent="0.3">
      <c r="A53" s="142">
        <v>10</v>
      </c>
      <c r="B53" s="40" t="s">
        <v>268</v>
      </c>
      <c r="C53" s="41">
        <v>181.98</v>
      </c>
      <c r="D53" s="69">
        <f t="shared" si="10"/>
        <v>2.766637375601658E-2</v>
      </c>
      <c r="E53" s="67"/>
    </row>
    <row r="54" spans="1:5" x14ac:dyDescent="0.25">
      <c r="A54" s="614" t="s">
        <v>269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270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151" priority="33" operator="containsText" text="024">
      <formula>NOT(ISERROR(SEARCH("024",A12)))</formula>
    </cfRule>
    <cfRule type="containsText" dxfId="150" priority="34" operator="containsText" text="白醬">
      <formula>NOT(ISERROR(SEARCH("白醬",A12)))</formula>
    </cfRule>
    <cfRule type="containsText" dxfId="149" priority="35" operator="containsText" text="青蔥">
      <formula>NOT(ISERROR(SEARCH("青蔥",A12)))</formula>
    </cfRule>
    <cfRule type="containsText" dxfId="148" priority="36" operator="containsText" text=")川燙小青花菜">
      <formula>NOT(ISERROR(SEARCH(")川燙小青花菜",A12)))</formula>
    </cfRule>
    <cfRule type="containsText" dxfId="147" priority="37" operator="containsText" text="湯凍">
      <formula>NOT(ISERROR(SEARCH("湯凍",A12)))</formula>
    </cfRule>
    <cfRule type="containsText" dxfId="146" priority="38" operator="containsText" text="中華">
      <formula>NOT(ISERROR(SEARCH("中華",A12)))</formula>
    </cfRule>
  </conditionalFormatting>
  <conditionalFormatting sqref="A12:A22">
    <cfRule type="containsText" dxfId="145" priority="31" operator="containsText" text="綠豆芽">
      <formula>NOT(ISERROR(SEARCH("綠豆芽",A12)))</formula>
    </cfRule>
    <cfRule type="containsText" dxfId="144" priority="32" operator="containsText" text="煮白細麵生(方#12)">
      <formula>NOT(ISERROR(SEARCH("煮白細麵生(方#12)",A12)))</formula>
    </cfRule>
  </conditionalFormatting>
  <conditionalFormatting sqref="E5">
    <cfRule type="cellIs" dxfId="143" priority="16" operator="greaterThan">
      <formula>0.0025</formula>
    </cfRule>
    <cfRule type="cellIs" dxfId="142" priority="19" operator="greaterThan">
      <formula>0.0025</formula>
    </cfRule>
    <cfRule type="cellIs" dxfId="141" priority="29" operator="greaterThan">
      <formula>0.072</formula>
    </cfRule>
    <cfRule type="cellIs" dxfId="140" priority="30" operator="greaterThan">
      <formula>7.2</formula>
    </cfRule>
  </conditionalFormatting>
  <conditionalFormatting sqref="E5">
    <cfRule type="cellIs" dxfId="139" priority="28" operator="greaterThan">
      <formula>0.0025</formula>
    </cfRule>
  </conditionalFormatting>
  <conditionalFormatting sqref="A44:A53">
    <cfRule type="containsText" dxfId="138" priority="22" operator="containsText" text="024">
      <formula>NOT(ISERROR(SEARCH("024",A44)))</formula>
    </cfRule>
    <cfRule type="containsText" dxfId="137" priority="23" operator="containsText" text="白醬">
      <formula>NOT(ISERROR(SEARCH("白醬",A44)))</formula>
    </cfRule>
    <cfRule type="containsText" dxfId="136" priority="24" operator="containsText" text="青蔥">
      <formula>NOT(ISERROR(SEARCH("青蔥",A44)))</formula>
    </cfRule>
    <cfRule type="containsText" dxfId="135" priority="25" operator="containsText" text=")川燙小青花菜">
      <formula>NOT(ISERROR(SEARCH(")川燙小青花菜",A44)))</formula>
    </cfRule>
    <cfRule type="containsText" dxfId="134" priority="26" operator="containsText" text="湯凍">
      <formula>NOT(ISERROR(SEARCH("湯凍",A44)))</formula>
    </cfRule>
    <cfRule type="containsText" dxfId="133" priority="27" operator="containsText" text="中華">
      <formula>NOT(ISERROR(SEARCH("中華",A44)))</formula>
    </cfRule>
  </conditionalFormatting>
  <conditionalFormatting sqref="A44:A53">
    <cfRule type="containsText" dxfId="132" priority="20" operator="containsText" text="綠豆芽">
      <formula>NOT(ISERROR(SEARCH("綠豆芽",A44)))</formula>
    </cfRule>
    <cfRule type="containsText" dxfId="131" priority="21" operator="containsText" text="煮白細麵生(方#12)">
      <formula>NOT(ISERROR(SEARCH("煮白細麵生(方#12)",A44)))</formula>
    </cfRule>
  </conditionalFormatting>
  <conditionalFormatting sqref="D44:D53">
    <cfRule type="cellIs" dxfId="130" priority="18" operator="greaterThan">
      <formula>0.146</formula>
    </cfRule>
  </conditionalFormatting>
  <conditionalFormatting sqref="H12:H22">
    <cfRule type="cellIs" dxfId="129" priority="17" operator="greaterThan">
      <formula>1.1</formula>
    </cfRule>
  </conditionalFormatting>
  <conditionalFormatting sqref="I5">
    <cfRule type="cellIs" dxfId="128" priority="15" operator="greaterThan">
      <formula>0.2</formula>
    </cfRule>
  </conditionalFormatting>
  <conditionalFormatting sqref="A28:A37">
    <cfRule type="containsText" dxfId="127" priority="9" operator="containsText" text="024">
      <formula>NOT(ISERROR(SEARCH("024",A28)))</formula>
    </cfRule>
    <cfRule type="containsText" dxfId="126" priority="10" operator="containsText" text="白醬">
      <formula>NOT(ISERROR(SEARCH("白醬",A28)))</formula>
    </cfRule>
    <cfRule type="containsText" dxfId="125" priority="11" operator="containsText" text="青蔥">
      <formula>NOT(ISERROR(SEARCH("青蔥",A28)))</formula>
    </cfRule>
    <cfRule type="containsText" dxfId="124" priority="12" operator="containsText" text=")川燙小青花菜">
      <formula>NOT(ISERROR(SEARCH(")川燙小青花菜",A28)))</formula>
    </cfRule>
    <cfRule type="containsText" dxfId="123" priority="13" operator="containsText" text="湯凍">
      <formula>NOT(ISERROR(SEARCH("湯凍",A28)))</formula>
    </cfRule>
    <cfRule type="containsText" dxfId="122" priority="14" operator="containsText" text="中華">
      <formula>NOT(ISERROR(SEARCH("中華",A28)))</formula>
    </cfRule>
  </conditionalFormatting>
  <conditionalFormatting sqref="A28:A37">
    <cfRule type="containsText" dxfId="121" priority="7" operator="containsText" text="綠豆芽">
      <formula>NOT(ISERROR(SEARCH("綠豆芽",A28)))</formula>
    </cfRule>
    <cfRule type="containsText" dxfId="120" priority="8" operator="containsText" text="煮白細麵生(方#12)">
      <formula>NOT(ISERROR(SEARCH("煮白細麵生(方#12)",A28)))</formula>
    </cfRule>
  </conditionalFormatting>
  <conditionalFormatting sqref="H28:H37">
    <cfRule type="cellIs" dxfId="119" priority="6" operator="greaterThan">
      <formula>1.1</formula>
    </cfRule>
  </conditionalFormatting>
  <conditionalFormatting sqref="G5">
    <cfRule type="cellIs" dxfId="118" priority="1" operator="greaterThan">
      <formula>0.0025</formula>
    </cfRule>
    <cfRule type="cellIs" dxfId="117" priority="2" operator="greaterThan">
      <formula>0.0025</formula>
    </cfRule>
    <cfRule type="cellIs" dxfId="116" priority="4" operator="greaterThan">
      <formula>0.072</formula>
    </cfRule>
    <cfRule type="cellIs" dxfId="115" priority="5" operator="greaterThan">
      <formula>7.2</formula>
    </cfRule>
  </conditionalFormatting>
  <conditionalFormatting sqref="G5">
    <cfRule type="cellIs" dxfId="11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N10" zoomScale="60" zoomScaleNormal="60" zoomScaleSheetLayoutView="70" workbookViewId="0">
      <selection activeCell="O12" sqref="O12:R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288" t="s">
        <v>31</v>
      </c>
      <c r="B2" s="1289"/>
      <c r="C2" s="107" t="s">
        <v>32</v>
      </c>
      <c r="D2" s="1290" t="s">
        <v>33</v>
      </c>
      <c r="E2" s="1290"/>
      <c r="F2" s="1290" t="s">
        <v>34</v>
      </c>
      <c r="G2" s="1290"/>
      <c r="H2" s="1290" t="s">
        <v>33</v>
      </c>
      <c r="I2" s="1290"/>
      <c r="J2" s="1290" t="s">
        <v>34</v>
      </c>
      <c r="K2" s="1290"/>
      <c r="L2" s="1290" t="s">
        <v>33</v>
      </c>
      <c r="M2" s="1291"/>
      <c r="R2" s="17"/>
    </row>
    <row r="3" spans="1:18" s="18" customFormat="1" ht="28.5" x14ac:dyDescent="0.45">
      <c r="A3" s="1298">
        <v>45903</v>
      </c>
      <c r="B3" s="1299"/>
      <c r="C3" s="1300">
        <v>6228436.4100000011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298"/>
      <c r="B4" s="1299"/>
      <c r="C4" s="1300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292" t="s">
        <v>44</v>
      </c>
      <c r="B5" s="1293"/>
      <c r="C5" s="1293"/>
      <c r="D5" s="108">
        <v>15219.379999999997</v>
      </c>
      <c r="E5" s="22">
        <f>D5/C3</f>
        <v>2.4435314095147026E-3</v>
      </c>
      <c r="F5" s="108">
        <v>47136.369999999995</v>
      </c>
      <c r="G5" s="23">
        <f>F5/C3</f>
        <v>7.5679298779258129E-3</v>
      </c>
      <c r="H5" s="24">
        <f>SUM(C12:C21)</f>
        <v>5276.32</v>
      </c>
      <c r="I5" s="25">
        <f>H5/D5</f>
        <v>0.34668429331549649</v>
      </c>
      <c r="J5" s="24">
        <f>SUM(C28:C37)</f>
        <v>19380.36</v>
      </c>
      <c r="K5" s="26">
        <f>J5/F5</f>
        <v>0.41115512289130457</v>
      </c>
      <c r="L5" s="27">
        <v>5632.2900000000009</v>
      </c>
      <c r="M5" s="28">
        <f>L5/D5</f>
        <v>0.37007355095936906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190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191</v>
      </c>
      <c r="B8" s="620"/>
      <c r="C8" s="620"/>
      <c r="D8" s="620" t="s">
        <v>192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193</v>
      </c>
      <c r="P8" s="630" t="s">
        <v>194</v>
      </c>
      <c r="Q8" s="629" t="s">
        <v>195</v>
      </c>
      <c r="R8" s="1294" t="s">
        <v>114</v>
      </c>
    </row>
    <row r="9" spans="1:18" ht="20.45" customHeight="1" x14ac:dyDescent="0.25">
      <c r="A9" s="1295" t="s">
        <v>97</v>
      </c>
      <c r="B9" s="634" t="s">
        <v>196</v>
      </c>
      <c r="C9" s="635"/>
      <c r="D9" s="636" t="s">
        <v>197</v>
      </c>
      <c r="E9" s="636"/>
      <c r="F9" s="636"/>
      <c r="G9" s="636"/>
      <c r="H9" s="636"/>
      <c r="I9" s="636"/>
      <c r="J9" s="637" t="s">
        <v>198</v>
      </c>
      <c r="K9" s="637"/>
      <c r="L9" s="637"/>
      <c r="M9" s="638"/>
      <c r="N9" s="638"/>
      <c r="O9" s="629"/>
      <c r="P9" s="629"/>
      <c r="Q9" s="629"/>
      <c r="R9" s="1294"/>
    </row>
    <row r="10" spans="1:18" ht="20.45" customHeight="1" x14ac:dyDescent="0.3">
      <c r="A10" s="1296"/>
      <c r="B10" s="1301" t="s">
        <v>199</v>
      </c>
      <c r="C10" s="1303" t="s">
        <v>200</v>
      </c>
      <c r="D10" s="1305" t="s">
        <v>50</v>
      </c>
      <c r="E10" s="1305"/>
      <c r="F10" s="1305"/>
      <c r="G10" s="1305"/>
      <c r="H10" s="1305"/>
      <c r="I10" s="1305"/>
      <c r="J10" s="1306" t="s">
        <v>201</v>
      </c>
      <c r="K10" s="1307"/>
      <c r="L10" s="1308" t="s">
        <v>202</v>
      </c>
      <c r="M10" s="1306"/>
      <c r="N10" s="1306"/>
      <c r="O10" s="629"/>
      <c r="P10" s="629"/>
      <c r="Q10" s="629"/>
      <c r="R10" s="1294"/>
    </row>
    <row r="11" spans="1:18" s="29" customFormat="1" ht="47.25" customHeight="1" x14ac:dyDescent="0.25">
      <c r="A11" s="1297"/>
      <c r="B11" s="1302"/>
      <c r="C11" s="1304"/>
      <c r="D11" s="109" t="s">
        <v>203</v>
      </c>
      <c r="E11" s="109" t="s">
        <v>204</v>
      </c>
      <c r="F11" s="109" t="s">
        <v>205</v>
      </c>
      <c r="G11" s="109" t="s">
        <v>206</v>
      </c>
      <c r="H11" s="109" t="s">
        <v>207</v>
      </c>
      <c r="I11" s="109" t="s">
        <v>106</v>
      </c>
      <c r="J11" s="110" t="s">
        <v>208</v>
      </c>
      <c r="K11" s="110" t="s">
        <v>107</v>
      </c>
      <c r="L11" s="110" t="s">
        <v>209</v>
      </c>
      <c r="M11" s="110" t="s">
        <v>107</v>
      </c>
      <c r="N11" s="111" t="s">
        <v>210</v>
      </c>
      <c r="O11" s="629"/>
      <c r="P11" s="629"/>
      <c r="Q11" s="629"/>
      <c r="R11" s="1294"/>
    </row>
    <row r="12" spans="1:18" s="38" customFormat="1" ht="24.95" customHeight="1" x14ac:dyDescent="0.25">
      <c r="A12" s="112">
        <v>1</v>
      </c>
      <c r="B12" s="30" t="s">
        <v>58</v>
      </c>
      <c r="C12" s="31">
        <v>1998.74</v>
      </c>
      <c r="D12" s="32">
        <v>14177</v>
      </c>
      <c r="E12" s="32">
        <v>14177</v>
      </c>
      <c r="F12" s="32">
        <v>344.61</v>
      </c>
      <c r="G12" s="31">
        <v>5.8</v>
      </c>
      <c r="H12" s="33">
        <f t="shared" ref="H12:H21" si="0">(E12+F12)/D12</f>
        <v>1.0243076814558794</v>
      </c>
      <c r="I12" s="31">
        <v>1998.74</v>
      </c>
      <c r="J12" s="32">
        <v>344.61</v>
      </c>
      <c r="K12" s="34">
        <f t="shared" ref="K12:K21" si="1">J12/D12</f>
        <v>2.4307681455879242E-2</v>
      </c>
      <c r="L12" s="113">
        <f t="shared" ref="L12:L21" si="2">((E12+F12)-D12)-J12</f>
        <v>5.6843418860808015E-13</v>
      </c>
      <c r="M12" s="35">
        <f t="shared" ref="M12:M21" si="3">L12/D12</f>
        <v>4.0095520110607334E-17</v>
      </c>
      <c r="N12" s="114">
        <f t="shared" ref="N12:N21" si="4">L12*G12</f>
        <v>3.2969182939268649E-12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115">
        <v>2</v>
      </c>
      <c r="B13" s="30" t="s">
        <v>211</v>
      </c>
      <c r="C13" s="31">
        <v>772.6</v>
      </c>
      <c r="D13" s="32">
        <v>105.28</v>
      </c>
      <c r="E13" s="32">
        <v>105.28</v>
      </c>
      <c r="F13" s="32">
        <v>6.26</v>
      </c>
      <c r="G13" s="31">
        <v>228.58</v>
      </c>
      <c r="H13" s="33">
        <f t="shared" si="0"/>
        <v>1.0594604863221886</v>
      </c>
      <c r="I13" s="31">
        <v>1430.91</v>
      </c>
      <c r="J13" s="32">
        <v>3.38</v>
      </c>
      <c r="K13" s="34">
        <f t="shared" si="1"/>
        <v>3.2104863221884494E-2</v>
      </c>
      <c r="L13" s="113">
        <f t="shared" si="2"/>
        <v>2.8800000000000052</v>
      </c>
      <c r="M13" s="35">
        <f t="shared" si="3"/>
        <v>2.7355623100304E-2</v>
      </c>
      <c r="N13" s="114">
        <f t="shared" si="4"/>
        <v>658.31040000000121</v>
      </c>
      <c r="O13" s="36" t="s">
        <v>139</v>
      </c>
      <c r="P13" s="36" t="s">
        <v>25</v>
      </c>
      <c r="Q13" s="36" t="s">
        <v>144</v>
      </c>
      <c r="R13" s="37" t="s">
        <v>212</v>
      </c>
    </row>
    <row r="14" spans="1:18" s="39" customFormat="1" ht="24.95" customHeight="1" x14ac:dyDescent="0.25">
      <c r="A14" s="115">
        <v>3</v>
      </c>
      <c r="B14" s="30" t="s">
        <v>62</v>
      </c>
      <c r="C14" s="31">
        <v>629.39</v>
      </c>
      <c r="D14" s="32">
        <v>334.8</v>
      </c>
      <c r="E14" s="32">
        <v>334.8</v>
      </c>
      <c r="F14" s="32">
        <v>15.47</v>
      </c>
      <c r="G14" s="31">
        <v>111.2</v>
      </c>
      <c r="H14" s="33">
        <f t="shared" si="0"/>
        <v>1.0462066905615293</v>
      </c>
      <c r="I14" s="31">
        <v>1720.26</v>
      </c>
      <c r="J14" s="32">
        <v>5.66</v>
      </c>
      <c r="K14" s="34">
        <f t="shared" si="1"/>
        <v>1.6905615292712065E-2</v>
      </c>
      <c r="L14" s="113">
        <f t="shared" si="2"/>
        <v>9.8100000000000271</v>
      </c>
      <c r="M14" s="35">
        <f t="shared" si="3"/>
        <v>2.9301075268817284E-2</v>
      </c>
      <c r="N14" s="114">
        <f t="shared" si="4"/>
        <v>1090.872000000003</v>
      </c>
      <c r="O14" s="36" t="s">
        <v>139</v>
      </c>
      <c r="P14" s="36" t="s">
        <v>25</v>
      </c>
      <c r="Q14" s="36" t="s">
        <v>144</v>
      </c>
      <c r="R14" s="37" t="s">
        <v>63</v>
      </c>
    </row>
    <row r="15" spans="1:18" s="38" customFormat="1" ht="24.95" customHeight="1" x14ac:dyDescent="0.25">
      <c r="A15" s="112">
        <v>4</v>
      </c>
      <c r="B15" s="30" t="s">
        <v>165</v>
      </c>
      <c r="C15" s="31">
        <v>400.92</v>
      </c>
      <c r="D15" s="32">
        <v>90.2</v>
      </c>
      <c r="E15" s="32">
        <v>90.2</v>
      </c>
      <c r="F15" s="32">
        <v>3.57</v>
      </c>
      <c r="G15" s="31">
        <v>200.46</v>
      </c>
      <c r="H15" s="33">
        <f t="shared" si="0"/>
        <v>1.0395787139689578</v>
      </c>
      <c r="I15" s="31">
        <v>715.64</v>
      </c>
      <c r="J15" s="32">
        <v>2</v>
      </c>
      <c r="K15" s="34">
        <f t="shared" si="1"/>
        <v>2.2172949002217293E-2</v>
      </c>
      <c r="L15" s="113">
        <f t="shared" si="2"/>
        <v>1.5699999999999932</v>
      </c>
      <c r="M15" s="35">
        <f t="shared" si="3"/>
        <v>1.7405764966740501E-2</v>
      </c>
      <c r="N15" s="114">
        <f t="shared" si="4"/>
        <v>314.72219999999862</v>
      </c>
      <c r="O15" s="36" t="s">
        <v>99</v>
      </c>
      <c r="P15" s="36" t="s">
        <v>271</v>
      </c>
      <c r="Q15" s="36" t="s">
        <v>272</v>
      </c>
      <c r="R15" s="37" t="s">
        <v>59</v>
      </c>
    </row>
    <row r="16" spans="1:18" s="39" customFormat="1" ht="24.95" customHeight="1" x14ac:dyDescent="0.25">
      <c r="A16" s="115">
        <v>5</v>
      </c>
      <c r="B16" s="30" t="s">
        <v>68</v>
      </c>
      <c r="C16" s="31">
        <v>391.85</v>
      </c>
      <c r="D16" s="32">
        <v>388.63</v>
      </c>
      <c r="E16" s="32">
        <v>388.63</v>
      </c>
      <c r="F16" s="32">
        <v>23.09</v>
      </c>
      <c r="G16" s="31">
        <v>156.74</v>
      </c>
      <c r="H16" s="33">
        <f t="shared" si="0"/>
        <v>1.0594138383552478</v>
      </c>
      <c r="I16" s="31">
        <v>3619.13</v>
      </c>
      <c r="J16" s="32">
        <v>2.5</v>
      </c>
      <c r="K16" s="34">
        <f t="shared" si="1"/>
        <v>6.4328538712914596E-3</v>
      </c>
      <c r="L16" s="113">
        <f t="shared" si="2"/>
        <v>20.589999999999975</v>
      </c>
      <c r="M16" s="35">
        <f t="shared" si="3"/>
        <v>5.2980984483956398E-2</v>
      </c>
      <c r="N16" s="114">
        <f t="shared" si="4"/>
        <v>3227.2765999999961</v>
      </c>
      <c r="O16" s="36" t="s">
        <v>142</v>
      </c>
      <c r="P16" s="36" t="s">
        <v>26</v>
      </c>
      <c r="Q16" s="36" t="s">
        <v>145</v>
      </c>
      <c r="R16" s="37" t="s">
        <v>59</v>
      </c>
    </row>
    <row r="17" spans="1:18" s="38" customFormat="1" ht="24.95" customHeight="1" x14ac:dyDescent="0.25">
      <c r="A17" s="112">
        <v>6</v>
      </c>
      <c r="B17" s="30" t="s">
        <v>213</v>
      </c>
      <c r="C17" s="31">
        <v>382.32</v>
      </c>
      <c r="D17" s="32">
        <v>4500</v>
      </c>
      <c r="E17" s="32">
        <v>4500</v>
      </c>
      <c r="F17" s="32">
        <v>87.89</v>
      </c>
      <c r="G17" s="31">
        <v>4.3499999999999996</v>
      </c>
      <c r="H17" s="33">
        <f t="shared" si="0"/>
        <v>1.0195311111111112</v>
      </c>
      <c r="I17" s="31">
        <v>382.32</v>
      </c>
      <c r="J17" s="32">
        <v>87.89</v>
      </c>
      <c r="K17" s="34">
        <f t="shared" si="1"/>
        <v>1.953111111111111E-2</v>
      </c>
      <c r="L17" s="113">
        <f t="shared" si="2"/>
        <v>3.2684965844964609E-13</v>
      </c>
      <c r="M17" s="35">
        <f t="shared" si="3"/>
        <v>7.263325743325469E-17</v>
      </c>
      <c r="N17" s="114">
        <f t="shared" si="4"/>
        <v>1.4217960142559604E-12</v>
      </c>
      <c r="O17" s="36" t="s">
        <v>139</v>
      </c>
      <c r="P17" s="36" t="s">
        <v>28</v>
      </c>
      <c r="Q17" s="36" t="s">
        <v>140</v>
      </c>
      <c r="R17" s="37" t="s">
        <v>214</v>
      </c>
    </row>
    <row r="18" spans="1:18" s="39" customFormat="1" ht="24.95" customHeight="1" x14ac:dyDescent="0.25">
      <c r="A18" s="115">
        <v>7</v>
      </c>
      <c r="B18" s="30" t="s">
        <v>215</v>
      </c>
      <c r="C18" s="31">
        <v>204.28</v>
      </c>
      <c r="D18" s="32">
        <v>66.900000000000006</v>
      </c>
      <c r="E18" s="32">
        <v>66.900000000000006</v>
      </c>
      <c r="F18" s="32">
        <v>2.21</v>
      </c>
      <c r="G18" s="31">
        <v>215.03</v>
      </c>
      <c r="H18" s="33">
        <f t="shared" si="0"/>
        <v>1.033034379671151</v>
      </c>
      <c r="I18" s="31">
        <v>475.22</v>
      </c>
      <c r="J18" s="32">
        <v>0.95</v>
      </c>
      <c r="K18" s="34">
        <f t="shared" si="1"/>
        <v>1.4200298953662181E-2</v>
      </c>
      <c r="L18" s="113">
        <f t="shared" si="2"/>
        <v>1.2599999999999938</v>
      </c>
      <c r="M18" s="35">
        <f t="shared" si="3"/>
        <v>1.8834080717488696E-2</v>
      </c>
      <c r="N18" s="114">
        <f t="shared" si="4"/>
        <v>270.93779999999867</v>
      </c>
      <c r="O18" s="36" t="s">
        <v>139</v>
      </c>
      <c r="P18" s="36" t="s">
        <v>25</v>
      </c>
      <c r="Q18" s="36" t="s">
        <v>141</v>
      </c>
      <c r="R18" s="37" t="s">
        <v>79</v>
      </c>
    </row>
    <row r="19" spans="1:18" s="38" customFormat="1" ht="24.95" customHeight="1" x14ac:dyDescent="0.25">
      <c r="A19" s="112">
        <v>8</v>
      </c>
      <c r="B19" s="30" t="s">
        <v>69</v>
      </c>
      <c r="C19" s="31">
        <v>192.22</v>
      </c>
      <c r="D19" s="32">
        <v>10886</v>
      </c>
      <c r="E19" s="32">
        <v>10886</v>
      </c>
      <c r="F19" s="32">
        <v>27.46</v>
      </c>
      <c r="G19" s="31">
        <v>7</v>
      </c>
      <c r="H19" s="33">
        <f t="shared" si="0"/>
        <v>1.0025225059709717</v>
      </c>
      <c r="I19" s="31">
        <v>192.22</v>
      </c>
      <c r="J19" s="32">
        <v>27.46</v>
      </c>
      <c r="K19" s="34">
        <f t="shared" si="1"/>
        <v>2.5225059709718905E-3</v>
      </c>
      <c r="L19" s="113">
        <f t="shared" si="2"/>
        <v>-8.7396756498492323E-13</v>
      </c>
      <c r="M19" s="35">
        <f t="shared" si="3"/>
        <v>-8.0283627134385744E-17</v>
      </c>
      <c r="N19" s="114">
        <f t="shared" si="4"/>
        <v>-6.1177729548944626E-12</v>
      </c>
      <c r="O19" s="36" t="s">
        <v>142</v>
      </c>
      <c r="P19" s="36" t="s">
        <v>26</v>
      </c>
      <c r="Q19" s="36" t="s">
        <v>143</v>
      </c>
      <c r="R19" s="37" t="s">
        <v>59</v>
      </c>
    </row>
    <row r="20" spans="1:18" s="38" customFormat="1" ht="24.95" customHeight="1" x14ac:dyDescent="0.25">
      <c r="A20" s="115">
        <v>9</v>
      </c>
      <c r="B20" s="30" t="s">
        <v>65</v>
      </c>
      <c r="C20" s="31">
        <v>154.08000000000001</v>
      </c>
      <c r="D20" s="32">
        <v>106.82</v>
      </c>
      <c r="E20" s="32">
        <v>106.82</v>
      </c>
      <c r="F20" s="32">
        <v>7.05</v>
      </c>
      <c r="G20" s="31">
        <v>160.5</v>
      </c>
      <c r="H20" s="33">
        <f t="shared" si="0"/>
        <v>1.065998876614866</v>
      </c>
      <c r="I20" s="31">
        <v>1131.53</v>
      </c>
      <c r="J20" s="32">
        <v>0.96</v>
      </c>
      <c r="K20" s="34">
        <f t="shared" si="1"/>
        <v>8.9870810709604954E-3</v>
      </c>
      <c r="L20" s="113">
        <f t="shared" si="2"/>
        <v>6.0899999999999972</v>
      </c>
      <c r="M20" s="35">
        <f t="shared" si="3"/>
        <v>5.7011795543905612E-2</v>
      </c>
      <c r="N20" s="114">
        <f t="shared" si="4"/>
        <v>977.4449999999996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116">
        <v>10</v>
      </c>
      <c r="B21" s="40" t="s">
        <v>90</v>
      </c>
      <c r="C21" s="41">
        <v>149.91999999999999</v>
      </c>
      <c r="D21" s="42">
        <v>97.46</v>
      </c>
      <c r="E21" s="42">
        <v>97.46</v>
      </c>
      <c r="F21" s="42">
        <v>4.5</v>
      </c>
      <c r="G21" s="41">
        <v>104.84</v>
      </c>
      <c r="H21" s="43">
        <f t="shared" si="0"/>
        <v>1.0461727888364458</v>
      </c>
      <c r="I21" s="41">
        <v>471.78</v>
      </c>
      <c r="J21" s="42">
        <v>1.43</v>
      </c>
      <c r="K21" s="44">
        <f t="shared" si="1"/>
        <v>1.4672686230248307E-2</v>
      </c>
      <c r="L21" s="117">
        <f t="shared" si="2"/>
        <v>3.0700000000000003</v>
      </c>
      <c r="M21" s="45">
        <f t="shared" si="3"/>
        <v>3.1500102606197421E-2</v>
      </c>
      <c r="N21" s="118">
        <f t="shared" si="4"/>
        <v>321.85880000000003</v>
      </c>
      <c r="O21" s="46" t="s">
        <v>139</v>
      </c>
      <c r="P21" s="46" t="s">
        <v>25</v>
      </c>
      <c r="Q21" s="46" t="s">
        <v>141</v>
      </c>
      <c r="R21" s="47" t="s">
        <v>59</v>
      </c>
    </row>
    <row r="22" spans="1:18" s="53" customFormat="1" ht="24.95" customHeight="1" thickBot="1" x14ac:dyDescent="0.3">
      <c r="A22" s="119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120"/>
      <c r="M22" s="51"/>
      <c r="N22" s="121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128</v>
      </c>
      <c r="B24" s="620"/>
      <c r="C24" s="620"/>
      <c r="D24" s="620" t="s">
        <v>95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111</v>
      </c>
      <c r="P24" s="630" t="s">
        <v>47</v>
      </c>
      <c r="Q24" s="629" t="s">
        <v>96</v>
      </c>
      <c r="R24" s="1294" t="s">
        <v>114</v>
      </c>
    </row>
    <row r="25" spans="1:18" s="53" customFormat="1" ht="24.95" customHeight="1" x14ac:dyDescent="0.25">
      <c r="A25" s="1295" t="s">
        <v>97</v>
      </c>
      <c r="B25" s="634" t="s">
        <v>216</v>
      </c>
      <c r="C25" s="635"/>
      <c r="D25" s="636" t="s">
        <v>117</v>
      </c>
      <c r="E25" s="636"/>
      <c r="F25" s="636"/>
      <c r="G25" s="636"/>
      <c r="H25" s="636"/>
      <c r="I25" s="636"/>
      <c r="J25" s="637" t="s">
        <v>99</v>
      </c>
      <c r="K25" s="637"/>
      <c r="L25" s="637"/>
      <c r="M25" s="638"/>
      <c r="N25" s="638"/>
      <c r="O25" s="629"/>
      <c r="P25" s="629"/>
      <c r="Q25" s="629"/>
      <c r="R25" s="1294"/>
    </row>
    <row r="26" spans="1:18" s="53" customFormat="1" ht="24.95" customHeight="1" x14ac:dyDescent="0.3">
      <c r="A26" s="1296"/>
      <c r="B26" s="1301" t="s">
        <v>100</v>
      </c>
      <c r="C26" s="1303" t="s">
        <v>120</v>
      </c>
      <c r="D26" s="1305" t="s">
        <v>50</v>
      </c>
      <c r="E26" s="1305"/>
      <c r="F26" s="1305"/>
      <c r="G26" s="1305"/>
      <c r="H26" s="1305"/>
      <c r="I26" s="1305"/>
      <c r="J26" s="1306" t="s">
        <v>51</v>
      </c>
      <c r="K26" s="1309"/>
      <c r="L26" s="1307"/>
      <c r="M26" s="1306" t="s">
        <v>102</v>
      </c>
      <c r="N26" s="1307"/>
      <c r="O26" s="629"/>
      <c r="P26" s="629"/>
      <c r="Q26" s="629"/>
      <c r="R26" s="1294"/>
    </row>
    <row r="27" spans="1:18" s="53" customFormat="1" ht="50.1" customHeight="1" x14ac:dyDescent="0.25">
      <c r="A27" s="1297"/>
      <c r="B27" s="1302"/>
      <c r="C27" s="1304"/>
      <c r="D27" s="109" t="s">
        <v>103</v>
      </c>
      <c r="E27" s="109" t="s">
        <v>217</v>
      </c>
      <c r="F27" s="109" t="s">
        <v>53</v>
      </c>
      <c r="G27" s="109" t="s">
        <v>105</v>
      </c>
      <c r="H27" s="109" t="s">
        <v>160</v>
      </c>
      <c r="I27" s="109" t="s">
        <v>106</v>
      </c>
      <c r="J27" s="110" t="s">
        <v>56</v>
      </c>
      <c r="K27" s="110" t="s">
        <v>107</v>
      </c>
      <c r="L27" s="111" t="s">
        <v>109</v>
      </c>
      <c r="M27" s="110" t="s">
        <v>56</v>
      </c>
      <c r="N27" s="110" t="s">
        <v>107</v>
      </c>
      <c r="O27" s="629"/>
      <c r="P27" s="629"/>
      <c r="Q27" s="629"/>
      <c r="R27" s="1294"/>
    </row>
    <row r="28" spans="1:18" s="53" customFormat="1" ht="24.95" customHeight="1" x14ac:dyDescent="0.25">
      <c r="A28" s="112">
        <v>1</v>
      </c>
      <c r="B28" s="30" t="s">
        <v>68</v>
      </c>
      <c r="C28" s="31">
        <v>3227.28</v>
      </c>
      <c r="D28" s="32">
        <v>388.63</v>
      </c>
      <c r="E28" s="32">
        <v>388.63</v>
      </c>
      <c r="F28" s="32">
        <v>23.09</v>
      </c>
      <c r="G28" s="31">
        <v>156.74</v>
      </c>
      <c r="H28" s="54">
        <f t="shared" ref="H28:H37" si="5">(E28+F28)/D28</f>
        <v>1.0594138383552478</v>
      </c>
      <c r="I28" s="31">
        <v>3619.13</v>
      </c>
      <c r="J28" s="32">
        <v>2.5</v>
      </c>
      <c r="K28" s="34">
        <f t="shared" ref="K28:K37" si="6">J28/D28</f>
        <v>6.4328538712914596E-3</v>
      </c>
      <c r="L28" s="114">
        <f t="shared" ref="L28:L37" si="7">J28*G28</f>
        <v>391.85</v>
      </c>
      <c r="M28" s="113">
        <f t="shared" ref="M28:M37" si="8">((E28+F28)-D28)-J28</f>
        <v>20.589999999999975</v>
      </c>
      <c r="N28" s="35">
        <f t="shared" ref="N28:N37" si="9">M28/D28</f>
        <v>5.2980984483956398E-2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115">
        <v>2</v>
      </c>
      <c r="B29" s="30" t="s">
        <v>80</v>
      </c>
      <c r="C29" s="31">
        <v>3150.2700000000004</v>
      </c>
      <c r="D29" s="32">
        <v>353.99</v>
      </c>
      <c r="E29" s="32">
        <v>353.99</v>
      </c>
      <c r="F29" s="32">
        <v>21.03</v>
      </c>
      <c r="G29" s="31">
        <v>156.72999999999999</v>
      </c>
      <c r="H29" s="54">
        <f t="shared" si="5"/>
        <v>1.0594084578660414</v>
      </c>
      <c r="I29" s="31">
        <v>3296.03</v>
      </c>
      <c r="J29" s="32">
        <v>0.93</v>
      </c>
      <c r="K29" s="34">
        <f t="shared" si="6"/>
        <v>2.6271928585553266E-3</v>
      </c>
      <c r="L29" s="114">
        <f t="shared" si="7"/>
        <v>145.75890000000001</v>
      </c>
      <c r="M29" s="113">
        <f t="shared" si="8"/>
        <v>20.099999999999973</v>
      </c>
      <c r="N29" s="35">
        <f t="shared" si="9"/>
        <v>5.6781265007486009E-2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115">
        <v>3</v>
      </c>
      <c r="B30" s="30" t="s">
        <v>74</v>
      </c>
      <c r="C30" s="31">
        <v>2500.88</v>
      </c>
      <c r="D30" s="32">
        <v>332.9</v>
      </c>
      <c r="E30" s="32">
        <v>332.9</v>
      </c>
      <c r="F30" s="32">
        <v>19.77</v>
      </c>
      <c r="G30" s="31">
        <v>133.88</v>
      </c>
      <c r="H30" s="54">
        <f t="shared" si="5"/>
        <v>1.0593872033643736</v>
      </c>
      <c r="I30" s="31">
        <v>2646.81</v>
      </c>
      <c r="J30" s="57">
        <v>1.0900000000000001</v>
      </c>
      <c r="K30" s="34">
        <f t="shared" si="6"/>
        <v>3.274256533493542E-3</v>
      </c>
      <c r="L30" s="114">
        <f t="shared" si="7"/>
        <v>145.92920000000001</v>
      </c>
      <c r="M30" s="113">
        <f t="shared" si="8"/>
        <v>18.679999999999982</v>
      </c>
      <c r="N30" s="35">
        <f t="shared" si="9"/>
        <v>5.6112946830880091E-2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112">
        <v>4</v>
      </c>
      <c r="B31" s="30" t="s">
        <v>70</v>
      </c>
      <c r="C31" s="31">
        <v>1766.73</v>
      </c>
      <c r="D31" s="32">
        <v>35.590000000000003</v>
      </c>
      <c r="E31" s="32">
        <v>35.590000000000003</v>
      </c>
      <c r="F31" s="32">
        <v>2.35</v>
      </c>
      <c r="G31" s="31">
        <v>814.16</v>
      </c>
      <c r="H31" s="54">
        <f t="shared" si="5"/>
        <v>1.066029783647092</v>
      </c>
      <c r="I31" s="31">
        <v>1913.28</v>
      </c>
      <c r="J31" s="32">
        <v>0.18</v>
      </c>
      <c r="K31" s="34">
        <f t="shared" si="6"/>
        <v>5.0576004495644835E-3</v>
      </c>
      <c r="L31" s="114">
        <f t="shared" si="7"/>
        <v>146.5488</v>
      </c>
      <c r="M31" s="113">
        <f t="shared" si="8"/>
        <v>2.1700000000000013</v>
      </c>
      <c r="N31" s="35">
        <f t="shared" si="9"/>
        <v>6.0972183197527424E-2</v>
      </c>
      <c r="O31" s="55" t="s">
        <v>133</v>
      </c>
      <c r="P31" s="56" t="s">
        <v>25</v>
      </c>
      <c r="Q31" s="56" t="s">
        <v>138</v>
      </c>
      <c r="R31" s="37" t="s">
        <v>71</v>
      </c>
    </row>
    <row r="32" spans="1:18" s="53" customFormat="1" ht="24.95" customHeight="1" x14ac:dyDescent="0.25">
      <c r="A32" s="115">
        <v>5</v>
      </c>
      <c r="B32" s="30" t="s">
        <v>87</v>
      </c>
      <c r="C32" s="31">
        <v>1705.6100000000001</v>
      </c>
      <c r="D32" s="32">
        <v>206.43</v>
      </c>
      <c r="E32" s="32">
        <v>206.43</v>
      </c>
      <c r="F32" s="32">
        <v>9.5399999999999991</v>
      </c>
      <c r="G32" s="31">
        <v>194.04</v>
      </c>
      <c r="H32" s="54">
        <f t="shared" si="5"/>
        <v>1.0462142130504286</v>
      </c>
      <c r="I32" s="31">
        <v>1851.14</v>
      </c>
      <c r="J32" s="32">
        <v>0.75</v>
      </c>
      <c r="K32" s="34">
        <f t="shared" si="6"/>
        <v>3.6331928498764712E-3</v>
      </c>
      <c r="L32" s="114">
        <f t="shared" si="7"/>
        <v>145.53</v>
      </c>
      <c r="M32" s="113">
        <f t="shared" si="8"/>
        <v>8.789999999999992</v>
      </c>
      <c r="N32" s="35">
        <f t="shared" si="9"/>
        <v>4.2581020200552204E-2</v>
      </c>
      <c r="O32" s="55" t="s">
        <v>133</v>
      </c>
      <c r="P32" s="56" t="s">
        <v>25</v>
      </c>
      <c r="Q32" s="56" t="s">
        <v>135</v>
      </c>
      <c r="R32" s="37" t="s">
        <v>88</v>
      </c>
    </row>
    <row r="33" spans="1:18" s="53" customFormat="1" ht="24.95" customHeight="1" x14ac:dyDescent="0.25">
      <c r="A33" s="112">
        <v>6</v>
      </c>
      <c r="B33" s="30" t="s">
        <v>179</v>
      </c>
      <c r="C33" s="31">
        <v>1502.77</v>
      </c>
      <c r="D33" s="32">
        <v>166.8</v>
      </c>
      <c r="E33" s="32">
        <v>166.8</v>
      </c>
      <c r="F33" s="32">
        <v>9.91</v>
      </c>
      <c r="G33" s="31">
        <v>166.42</v>
      </c>
      <c r="H33" s="54">
        <f t="shared" si="5"/>
        <v>1.0594124700239809</v>
      </c>
      <c r="I33" s="31">
        <v>1649.22</v>
      </c>
      <c r="J33" s="32">
        <v>0.88</v>
      </c>
      <c r="K33" s="34">
        <f t="shared" si="6"/>
        <v>5.2757793764988004E-3</v>
      </c>
      <c r="L33" s="114">
        <f t="shared" si="7"/>
        <v>146.4496</v>
      </c>
      <c r="M33" s="113">
        <f t="shared" si="8"/>
        <v>9.0299999999999958</v>
      </c>
      <c r="N33" s="35">
        <f t="shared" si="9"/>
        <v>5.4136690647481986E-2</v>
      </c>
      <c r="O33" s="55" t="s">
        <v>133</v>
      </c>
      <c r="P33" s="56" t="s">
        <v>25</v>
      </c>
      <c r="Q33" s="56" t="s">
        <v>135</v>
      </c>
      <c r="R33" s="37" t="s">
        <v>180</v>
      </c>
    </row>
    <row r="34" spans="1:18" s="53" customFormat="1" ht="24.95" customHeight="1" x14ac:dyDescent="0.25">
      <c r="A34" s="115">
        <v>7</v>
      </c>
      <c r="B34" s="30" t="s">
        <v>181</v>
      </c>
      <c r="C34" s="31">
        <v>1465.1399999999999</v>
      </c>
      <c r="D34" s="32">
        <v>193.52</v>
      </c>
      <c r="E34" s="32">
        <v>193.52</v>
      </c>
      <c r="F34" s="32">
        <v>11.5</v>
      </c>
      <c r="G34" s="31">
        <v>140.07</v>
      </c>
      <c r="H34" s="54">
        <f t="shared" si="5"/>
        <v>1.0594253823894171</v>
      </c>
      <c r="I34" s="31">
        <v>1610.81</v>
      </c>
      <c r="J34" s="32">
        <v>1.04</v>
      </c>
      <c r="K34" s="34">
        <f t="shared" si="6"/>
        <v>5.3741215378255479E-3</v>
      </c>
      <c r="L34" s="114">
        <f t="shared" si="7"/>
        <v>145.6728</v>
      </c>
      <c r="M34" s="113">
        <f t="shared" si="8"/>
        <v>10.46</v>
      </c>
      <c r="N34" s="35">
        <f t="shared" si="9"/>
        <v>5.4051260851591565E-2</v>
      </c>
      <c r="O34" s="55" t="s">
        <v>133</v>
      </c>
      <c r="P34" s="56" t="s">
        <v>25</v>
      </c>
      <c r="Q34" s="56" t="s">
        <v>138</v>
      </c>
      <c r="R34" s="37" t="s">
        <v>182</v>
      </c>
    </row>
    <row r="35" spans="1:18" s="53" customFormat="1" ht="24.95" customHeight="1" x14ac:dyDescent="0.25">
      <c r="A35" s="112">
        <v>8</v>
      </c>
      <c r="B35" s="30" t="s">
        <v>183</v>
      </c>
      <c r="C35" s="31">
        <v>1435.56</v>
      </c>
      <c r="D35" s="32">
        <v>97.46</v>
      </c>
      <c r="E35" s="32">
        <v>97.46</v>
      </c>
      <c r="F35" s="32">
        <v>3.86</v>
      </c>
      <c r="G35" s="31">
        <v>410.16</v>
      </c>
      <c r="H35" s="54">
        <f t="shared" si="5"/>
        <v>1.039605992201929</v>
      </c>
      <c r="I35" s="31">
        <v>1583.22</v>
      </c>
      <c r="J35" s="32">
        <v>0.36</v>
      </c>
      <c r="K35" s="34">
        <f t="shared" si="6"/>
        <v>3.6938231069156579E-3</v>
      </c>
      <c r="L35" s="114">
        <f t="shared" si="7"/>
        <v>147.6576</v>
      </c>
      <c r="M35" s="113">
        <f t="shared" si="8"/>
        <v>3.4999999999999996</v>
      </c>
      <c r="N35" s="35">
        <f t="shared" si="9"/>
        <v>3.5912169095013338E-2</v>
      </c>
      <c r="O35" s="55" t="s">
        <v>133</v>
      </c>
      <c r="P35" s="56" t="s">
        <v>25</v>
      </c>
      <c r="Q35" s="56" t="s">
        <v>134</v>
      </c>
      <c r="R35" s="37" t="s">
        <v>59</v>
      </c>
    </row>
    <row r="36" spans="1:18" s="53" customFormat="1" ht="24.95" customHeight="1" x14ac:dyDescent="0.25">
      <c r="A36" s="115">
        <v>9</v>
      </c>
      <c r="B36" s="30" t="s">
        <v>218</v>
      </c>
      <c r="C36" s="31">
        <v>1342.03</v>
      </c>
      <c r="D36" s="32">
        <v>217.95</v>
      </c>
      <c r="E36" s="32">
        <v>217.95</v>
      </c>
      <c r="F36" s="32">
        <v>10.07</v>
      </c>
      <c r="G36" s="31">
        <v>147.80000000000001</v>
      </c>
      <c r="H36" s="54">
        <f t="shared" si="5"/>
        <v>1.0462032576278963</v>
      </c>
      <c r="I36" s="31">
        <v>1488.35</v>
      </c>
      <c r="J36" s="32">
        <v>0.99</v>
      </c>
      <c r="K36" s="34">
        <f t="shared" si="6"/>
        <v>4.5423262216104611E-3</v>
      </c>
      <c r="L36" s="114">
        <f t="shared" si="7"/>
        <v>146.322</v>
      </c>
      <c r="M36" s="113">
        <f t="shared" si="8"/>
        <v>9.079999999999993</v>
      </c>
      <c r="N36" s="35">
        <f t="shared" si="9"/>
        <v>4.1660931406285816E-2</v>
      </c>
      <c r="O36" s="55" t="s">
        <v>133</v>
      </c>
      <c r="P36" s="56" t="s">
        <v>25</v>
      </c>
      <c r="Q36" s="56" t="s">
        <v>135</v>
      </c>
      <c r="R36" s="37" t="s">
        <v>219</v>
      </c>
    </row>
    <row r="37" spans="1:18" s="53" customFormat="1" ht="24.95" customHeight="1" thickBot="1" x14ac:dyDescent="0.3">
      <c r="A37" s="116">
        <v>10</v>
      </c>
      <c r="B37" s="40" t="s">
        <v>92</v>
      </c>
      <c r="C37" s="41">
        <v>1284.0899999999999</v>
      </c>
      <c r="D37" s="42">
        <v>106.54</v>
      </c>
      <c r="E37" s="42">
        <v>106.54</v>
      </c>
      <c r="F37" s="42">
        <v>7.03</v>
      </c>
      <c r="G37" s="41">
        <v>203.5</v>
      </c>
      <c r="H37" s="58">
        <f t="shared" si="5"/>
        <v>1.0659846067204806</v>
      </c>
      <c r="I37" s="41">
        <v>1430.61</v>
      </c>
      <c r="J37" s="42">
        <v>0.72</v>
      </c>
      <c r="K37" s="44">
        <f t="shared" si="6"/>
        <v>6.7580251548714091E-3</v>
      </c>
      <c r="L37" s="118">
        <f t="shared" si="7"/>
        <v>146.51999999999998</v>
      </c>
      <c r="M37" s="117">
        <f t="shared" si="8"/>
        <v>6.3100000000000014</v>
      </c>
      <c r="N37" s="45">
        <f t="shared" si="9"/>
        <v>5.9226581565609171E-2</v>
      </c>
      <c r="O37" s="59" t="s">
        <v>133</v>
      </c>
      <c r="P37" s="60" t="s">
        <v>25</v>
      </c>
      <c r="Q37" s="60" t="s">
        <v>136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220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221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310" t="s">
        <v>222</v>
      </c>
      <c r="B41" s="623" t="s">
        <v>216</v>
      </c>
      <c r="C41" s="623"/>
      <c r="D41" s="624"/>
      <c r="E41" s="62"/>
      <c r="G41" s="64"/>
      <c r="H41" s="65"/>
    </row>
    <row r="42" spans="1:18" ht="20.45" customHeight="1" x14ac:dyDescent="0.35">
      <c r="A42" s="1310"/>
      <c r="B42" s="1311" t="s">
        <v>223</v>
      </c>
      <c r="C42" s="1312" t="s">
        <v>224</v>
      </c>
      <c r="D42" s="1294" t="s">
        <v>225</v>
      </c>
      <c r="E42" s="62"/>
      <c r="G42" s="64"/>
      <c r="H42" s="65"/>
    </row>
    <row r="43" spans="1:18" ht="20.45" customHeight="1" x14ac:dyDescent="0.35">
      <c r="A43" s="1310"/>
      <c r="B43" s="1311"/>
      <c r="C43" s="1312"/>
      <c r="D43" s="1294"/>
      <c r="E43" s="62"/>
      <c r="G43" s="64"/>
      <c r="H43" s="65"/>
    </row>
    <row r="44" spans="1:18" s="68" customFormat="1" ht="24.95" customHeight="1" x14ac:dyDescent="0.35">
      <c r="A44" s="122">
        <v>1</v>
      </c>
      <c r="B44" s="30" t="s">
        <v>58</v>
      </c>
      <c r="C44" s="31">
        <v>1998.74</v>
      </c>
      <c r="D44" s="66">
        <f t="shared" ref="D44:D53" si="10">C44/$L$5</f>
        <v>0.3548716419076432</v>
      </c>
      <c r="E44" s="67"/>
      <c r="G44" s="64"/>
      <c r="H44" s="65"/>
    </row>
    <row r="45" spans="1:18" s="68" customFormat="1" ht="24.95" customHeight="1" x14ac:dyDescent="0.35">
      <c r="A45" s="123">
        <v>2</v>
      </c>
      <c r="B45" s="30" t="s">
        <v>165</v>
      </c>
      <c r="C45" s="31">
        <v>400.92</v>
      </c>
      <c r="D45" s="66">
        <f t="shared" si="10"/>
        <v>7.1182414257788568E-2</v>
      </c>
      <c r="E45" s="67"/>
      <c r="G45" s="64"/>
      <c r="H45" s="65"/>
    </row>
    <row r="46" spans="1:18" s="68" customFormat="1" ht="24.95" customHeight="1" x14ac:dyDescent="0.35">
      <c r="A46" s="123">
        <v>3</v>
      </c>
      <c r="B46" s="30" t="s">
        <v>68</v>
      </c>
      <c r="C46" s="31">
        <v>391.85</v>
      </c>
      <c r="D46" s="66">
        <f t="shared" si="10"/>
        <v>6.9572056836562035E-2</v>
      </c>
      <c r="E46" s="67"/>
      <c r="G46" s="64"/>
      <c r="H46" s="65"/>
    </row>
    <row r="47" spans="1:18" s="68" customFormat="1" ht="24.95" customHeight="1" x14ac:dyDescent="0.35">
      <c r="A47" s="122">
        <v>4</v>
      </c>
      <c r="B47" s="30" t="s">
        <v>69</v>
      </c>
      <c r="C47" s="31">
        <v>192.22</v>
      </c>
      <c r="D47" s="66">
        <f t="shared" si="10"/>
        <v>3.4128214278739195E-2</v>
      </c>
      <c r="E47" s="67"/>
      <c r="G47" s="64"/>
      <c r="H47" s="65"/>
    </row>
    <row r="48" spans="1:18" s="68" customFormat="1" ht="24.95" customHeight="1" x14ac:dyDescent="0.35">
      <c r="A48" s="123">
        <v>5</v>
      </c>
      <c r="B48" s="30" t="s">
        <v>65</v>
      </c>
      <c r="C48" s="31">
        <v>154.08000000000001</v>
      </c>
      <c r="D48" s="66">
        <f t="shared" si="10"/>
        <v>2.7356545916492225E-2</v>
      </c>
      <c r="E48" s="67"/>
      <c r="G48" s="64"/>
      <c r="H48" s="65"/>
    </row>
    <row r="49" spans="1:5" s="68" customFormat="1" ht="24.95" customHeight="1" x14ac:dyDescent="0.25">
      <c r="A49" s="122">
        <v>6</v>
      </c>
      <c r="B49" s="30" t="s">
        <v>90</v>
      </c>
      <c r="C49" s="31">
        <v>149.91999999999999</v>
      </c>
      <c r="D49" s="66">
        <f t="shared" si="10"/>
        <v>2.6617947584375089E-2</v>
      </c>
      <c r="E49" s="67"/>
    </row>
    <row r="50" spans="1:5" s="68" customFormat="1" ht="24.95" customHeight="1" x14ac:dyDescent="0.25">
      <c r="A50" s="123">
        <v>7</v>
      </c>
      <c r="B50" s="30" t="s">
        <v>183</v>
      </c>
      <c r="C50" s="31">
        <v>147.66</v>
      </c>
      <c r="D50" s="66">
        <f t="shared" si="10"/>
        <v>2.6216689836638378E-2</v>
      </c>
      <c r="E50" s="67"/>
    </row>
    <row r="51" spans="1:5" s="68" customFormat="1" ht="24.95" customHeight="1" x14ac:dyDescent="0.25">
      <c r="A51" s="122">
        <v>8</v>
      </c>
      <c r="B51" s="30" t="s">
        <v>91</v>
      </c>
      <c r="C51" s="31">
        <v>146.88999999999999</v>
      </c>
      <c r="D51" s="66">
        <f t="shared" si="10"/>
        <v>2.6079978126126311E-2</v>
      </c>
      <c r="E51" s="67"/>
    </row>
    <row r="52" spans="1:5" s="68" customFormat="1" ht="24.95" customHeight="1" x14ac:dyDescent="0.25">
      <c r="A52" s="123">
        <v>9</v>
      </c>
      <c r="B52" s="30" t="s">
        <v>226</v>
      </c>
      <c r="C52" s="31">
        <v>146.80000000000001</v>
      </c>
      <c r="D52" s="66">
        <f t="shared" si="10"/>
        <v>2.6063998835287244E-2</v>
      </c>
      <c r="E52" s="67"/>
    </row>
    <row r="53" spans="1:5" s="68" customFormat="1" ht="24.95" customHeight="1" thickBot="1" x14ac:dyDescent="0.3">
      <c r="A53" s="124">
        <v>10</v>
      </c>
      <c r="B53" s="40" t="s">
        <v>227</v>
      </c>
      <c r="C53" s="41">
        <v>146.79</v>
      </c>
      <c r="D53" s="69">
        <f t="shared" si="10"/>
        <v>2.6062223358527342E-2</v>
      </c>
      <c r="E53" s="67"/>
    </row>
    <row r="54" spans="1:5" x14ac:dyDescent="0.25">
      <c r="A54" s="614" t="s">
        <v>188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14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113" priority="33" operator="containsText" text="024">
      <formula>NOT(ISERROR(SEARCH("024",A12)))</formula>
    </cfRule>
    <cfRule type="containsText" dxfId="112" priority="34" operator="containsText" text="白醬">
      <formula>NOT(ISERROR(SEARCH("白醬",A12)))</formula>
    </cfRule>
    <cfRule type="containsText" dxfId="111" priority="35" operator="containsText" text="青蔥">
      <formula>NOT(ISERROR(SEARCH("青蔥",A12)))</formula>
    </cfRule>
    <cfRule type="containsText" dxfId="110" priority="36" operator="containsText" text=")川燙小青花菜">
      <formula>NOT(ISERROR(SEARCH(")川燙小青花菜",A12)))</formula>
    </cfRule>
    <cfRule type="containsText" dxfId="109" priority="37" operator="containsText" text="湯凍">
      <formula>NOT(ISERROR(SEARCH("湯凍",A12)))</formula>
    </cfRule>
    <cfRule type="containsText" dxfId="108" priority="38" operator="containsText" text="中華">
      <formula>NOT(ISERROR(SEARCH("中華",A12)))</formula>
    </cfRule>
  </conditionalFormatting>
  <conditionalFormatting sqref="A12:A22">
    <cfRule type="containsText" dxfId="107" priority="31" operator="containsText" text="綠豆芽">
      <formula>NOT(ISERROR(SEARCH("綠豆芽",A12)))</formula>
    </cfRule>
    <cfRule type="containsText" dxfId="106" priority="32" operator="containsText" text="煮白細麵生(方#12)">
      <formula>NOT(ISERROR(SEARCH("煮白細麵生(方#12)",A12)))</formula>
    </cfRule>
  </conditionalFormatting>
  <conditionalFormatting sqref="E5">
    <cfRule type="cellIs" dxfId="105" priority="16" operator="greaterThan">
      <formula>0.0025</formula>
    </cfRule>
    <cfRule type="cellIs" dxfId="104" priority="19" operator="greaterThan">
      <formula>0.0025</formula>
    </cfRule>
    <cfRule type="cellIs" dxfId="103" priority="29" operator="greaterThan">
      <formula>0.072</formula>
    </cfRule>
    <cfRule type="cellIs" dxfId="102" priority="30" operator="greaterThan">
      <formula>7.2</formula>
    </cfRule>
  </conditionalFormatting>
  <conditionalFormatting sqref="E5">
    <cfRule type="cellIs" dxfId="101" priority="28" operator="greaterThan">
      <formula>0.0025</formula>
    </cfRule>
  </conditionalFormatting>
  <conditionalFormatting sqref="A44:A53">
    <cfRule type="containsText" dxfId="100" priority="22" operator="containsText" text="024">
      <formula>NOT(ISERROR(SEARCH("024",A44)))</formula>
    </cfRule>
    <cfRule type="containsText" dxfId="99" priority="23" operator="containsText" text="白醬">
      <formula>NOT(ISERROR(SEARCH("白醬",A44)))</formula>
    </cfRule>
    <cfRule type="containsText" dxfId="98" priority="24" operator="containsText" text="青蔥">
      <formula>NOT(ISERROR(SEARCH("青蔥",A44)))</formula>
    </cfRule>
    <cfRule type="containsText" dxfId="97" priority="25" operator="containsText" text=")川燙小青花菜">
      <formula>NOT(ISERROR(SEARCH(")川燙小青花菜",A44)))</formula>
    </cfRule>
    <cfRule type="containsText" dxfId="96" priority="26" operator="containsText" text="湯凍">
      <formula>NOT(ISERROR(SEARCH("湯凍",A44)))</formula>
    </cfRule>
    <cfRule type="containsText" dxfId="95" priority="27" operator="containsText" text="中華">
      <formula>NOT(ISERROR(SEARCH("中華",A44)))</formula>
    </cfRule>
  </conditionalFormatting>
  <conditionalFormatting sqref="A44:A53">
    <cfRule type="containsText" dxfId="94" priority="20" operator="containsText" text="綠豆芽">
      <formula>NOT(ISERROR(SEARCH("綠豆芽",A44)))</formula>
    </cfRule>
    <cfRule type="containsText" dxfId="93" priority="21" operator="containsText" text="煮白細麵生(方#12)">
      <formula>NOT(ISERROR(SEARCH("煮白細麵生(方#12)",A44)))</formula>
    </cfRule>
  </conditionalFormatting>
  <conditionalFormatting sqref="D44:D53">
    <cfRule type="cellIs" dxfId="92" priority="18" operator="greaterThan">
      <formula>0.146</formula>
    </cfRule>
  </conditionalFormatting>
  <conditionalFormatting sqref="H12:H22">
    <cfRule type="cellIs" dxfId="91" priority="17" operator="greaterThan">
      <formula>1.1</formula>
    </cfRule>
  </conditionalFormatting>
  <conditionalFormatting sqref="I5">
    <cfRule type="cellIs" dxfId="90" priority="15" operator="greaterThan">
      <formula>0.2</formula>
    </cfRule>
  </conditionalFormatting>
  <conditionalFormatting sqref="A28:A37">
    <cfRule type="containsText" dxfId="89" priority="9" operator="containsText" text="024">
      <formula>NOT(ISERROR(SEARCH("024",A28)))</formula>
    </cfRule>
    <cfRule type="containsText" dxfId="88" priority="10" operator="containsText" text="白醬">
      <formula>NOT(ISERROR(SEARCH("白醬",A28)))</formula>
    </cfRule>
    <cfRule type="containsText" dxfId="87" priority="11" operator="containsText" text="青蔥">
      <formula>NOT(ISERROR(SEARCH("青蔥",A28)))</formula>
    </cfRule>
    <cfRule type="containsText" dxfId="86" priority="12" operator="containsText" text=")川燙小青花菜">
      <formula>NOT(ISERROR(SEARCH(")川燙小青花菜",A28)))</formula>
    </cfRule>
    <cfRule type="containsText" dxfId="85" priority="13" operator="containsText" text="湯凍">
      <formula>NOT(ISERROR(SEARCH("湯凍",A28)))</formula>
    </cfRule>
    <cfRule type="containsText" dxfId="84" priority="14" operator="containsText" text="中華">
      <formula>NOT(ISERROR(SEARCH("中華",A28)))</formula>
    </cfRule>
  </conditionalFormatting>
  <conditionalFormatting sqref="A28:A37">
    <cfRule type="containsText" dxfId="83" priority="7" operator="containsText" text="綠豆芽">
      <formula>NOT(ISERROR(SEARCH("綠豆芽",A28)))</formula>
    </cfRule>
    <cfRule type="containsText" dxfId="82" priority="8" operator="containsText" text="煮白細麵生(方#12)">
      <formula>NOT(ISERROR(SEARCH("煮白細麵生(方#12)",A28)))</formula>
    </cfRule>
  </conditionalFormatting>
  <conditionalFormatting sqref="H28:H37">
    <cfRule type="cellIs" dxfId="81" priority="6" operator="greaterThan">
      <formula>1.1</formula>
    </cfRule>
  </conditionalFormatting>
  <conditionalFormatting sqref="G5">
    <cfRule type="cellIs" dxfId="80" priority="1" operator="greaterThan">
      <formula>0.0025</formula>
    </cfRule>
    <cfRule type="cellIs" dxfId="79" priority="2" operator="greaterThan">
      <formula>0.0025</formula>
    </cfRule>
    <cfRule type="cellIs" dxfId="78" priority="4" operator="greaterThan">
      <formula>0.072</formula>
    </cfRule>
    <cfRule type="cellIs" dxfId="77" priority="5" operator="greaterThan">
      <formula>7.2</formula>
    </cfRule>
  </conditionalFormatting>
  <conditionalFormatting sqref="G5">
    <cfRule type="cellIs" dxfId="7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N7" zoomScale="60" zoomScaleNormal="60" zoomScaleSheetLayoutView="70" workbookViewId="0">
      <selection activeCell="O12" sqref="O12:R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334" t="s">
        <v>31</v>
      </c>
      <c r="B2" s="1335"/>
      <c r="C2" s="89" t="s">
        <v>32</v>
      </c>
      <c r="D2" s="1336" t="s">
        <v>33</v>
      </c>
      <c r="E2" s="1336"/>
      <c r="F2" s="1336" t="s">
        <v>34</v>
      </c>
      <c r="G2" s="1336"/>
      <c r="H2" s="1336" t="s">
        <v>33</v>
      </c>
      <c r="I2" s="1336"/>
      <c r="J2" s="1336" t="s">
        <v>34</v>
      </c>
      <c r="K2" s="1336"/>
      <c r="L2" s="1336" t="s">
        <v>33</v>
      </c>
      <c r="M2" s="1337"/>
      <c r="R2" s="17"/>
    </row>
    <row r="3" spans="1:18" s="18" customFormat="1" ht="28.5" x14ac:dyDescent="0.45">
      <c r="A3" s="1331">
        <v>45902</v>
      </c>
      <c r="B3" s="1332"/>
      <c r="C3" s="1333">
        <v>6639488.3500000024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331"/>
      <c r="B4" s="1332"/>
      <c r="C4" s="1333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329" t="s">
        <v>44</v>
      </c>
      <c r="B5" s="1330"/>
      <c r="C5" s="1330"/>
      <c r="D5" s="90">
        <v>16262.180000000002</v>
      </c>
      <c r="E5" s="22">
        <f>D5/C3</f>
        <v>2.4493122275001801E-3</v>
      </c>
      <c r="F5" s="90">
        <v>51882.13</v>
      </c>
      <c r="G5" s="23">
        <f>F5/C3</f>
        <v>7.8141759221552025E-3</v>
      </c>
      <c r="H5" s="24">
        <f>SUM(C12:C21)</f>
        <v>5042.42</v>
      </c>
      <c r="I5" s="25">
        <f>H5/D5</f>
        <v>0.31007035957048806</v>
      </c>
      <c r="J5" s="24">
        <f>SUM(C28:C37)</f>
        <v>18567.52</v>
      </c>
      <c r="K5" s="26">
        <f>J5/F5</f>
        <v>0.35787890743884265</v>
      </c>
      <c r="L5" s="27">
        <v>7506.82</v>
      </c>
      <c r="M5" s="28">
        <f>L5/D5</f>
        <v>0.4616121577795842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147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148</v>
      </c>
      <c r="B8" s="620"/>
      <c r="C8" s="620"/>
      <c r="D8" s="620" t="s">
        <v>46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47</v>
      </c>
      <c r="Q8" s="629" t="s">
        <v>149</v>
      </c>
      <c r="R8" s="1316" t="s">
        <v>150</v>
      </c>
    </row>
    <row r="9" spans="1:18" ht="20.45" customHeight="1" x14ac:dyDescent="0.25">
      <c r="A9" s="1317" t="s">
        <v>97</v>
      </c>
      <c r="B9" s="634" t="s">
        <v>98</v>
      </c>
      <c r="C9" s="635"/>
      <c r="D9" s="636" t="s">
        <v>151</v>
      </c>
      <c r="E9" s="636"/>
      <c r="F9" s="636"/>
      <c r="G9" s="636"/>
      <c r="H9" s="636"/>
      <c r="I9" s="636"/>
      <c r="J9" s="637" t="s">
        <v>152</v>
      </c>
      <c r="K9" s="637"/>
      <c r="L9" s="637"/>
      <c r="M9" s="638"/>
      <c r="N9" s="638"/>
      <c r="O9" s="629"/>
      <c r="P9" s="629"/>
      <c r="Q9" s="629"/>
      <c r="R9" s="1316"/>
    </row>
    <row r="10" spans="1:18" ht="20.45" customHeight="1" x14ac:dyDescent="0.3">
      <c r="A10" s="1318"/>
      <c r="B10" s="1320" t="s">
        <v>153</v>
      </c>
      <c r="C10" s="1322" t="s">
        <v>154</v>
      </c>
      <c r="D10" s="1324" t="s">
        <v>50</v>
      </c>
      <c r="E10" s="1324"/>
      <c r="F10" s="1324"/>
      <c r="G10" s="1324"/>
      <c r="H10" s="1324"/>
      <c r="I10" s="1324"/>
      <c r="J10" s="1325" t="s">
        <v>155</v>
      </c>
      <c r="K10" s="1327"/>
      <c r="L10" s="1328" t="s">
        <v>156</v>
      </c>
      <c r="M10" s="1325"/>
      <c r="N10" s="1325"/>
      <c r="O10" s="629"/>
      <c r="P10" s="629"/>
      <c r="Q10" s="629"/>
      <c r="R10" s="1316"/>
    </row>
    <row r="11" spans="1:18" s="29" customFormat="1" ht="47.25" customHeight="1" x14ac:dyDescent="0.25">
      <c r="A11" s="1319"/>
      <c r="B11" s="1321"/>
      <c r="C11" s="1323"/>
      <c r="D11" s="91" t="s">
        <v>157</v>
      </c>
      <c r="E11" s="91" t="s">
        <v>158</v>
      </c>
      <c r="F11" s="91" t="s">
        <v>159</v>
      </c>
      <c r="G11" s="91" t="s">
        <v>54</v>
      </c>
      <c r="H11" s="91" t="s">
        <v>160</v>
      </c>
      <c r="I11" s="91" t="s">
        <v>161</v>
      </c>
      <c r="J11" s="92" t="s">
        <v>56</v>
      </c>
      <c r="K11" s="92" t="s">
        <v>162</v>
      </c>
      <c r="L11" s="92" t="s">
        <v>163</v>
      </c>
      <c r="M11" s="92" t="s">
        <v>57</v>
      </c>
      <c r="N11" s="93" t="s">
        <v>164</v>
      </c>
      <c r="O11" s="629"/>
      <c r="P11" s="629"/>
      <c r="Q11" s="629"/>
      <c r="R11" s="1316"/>
    </row>
    <row r="12" spans="1:18" s="38" customFormat="1" ht="24.95" customHeight="1" x14ac:dyDescent="0.25">
      <c r="A12" s="94">
        <v>1</v>
      </c>
      <c r="B12" s="30" t="s">
        <v>58</v>
      </c>
      <c r="C12" s="31">
        <v>1874.68</v>
      </c>
      <c r="D12" s="32">
        <v>14351</v>
      </c>
      <c r="E12" s="32">
        <v>14351</v>
      </c>
      <c r="F12" s="32">
        <v>323.22000000000003</v>
      </c>
      <c r="G12" s="31">
        <v>5.8</v>
      </c>
      <c r="H12" s="33">
        <f t="shared" ref="H12:H21" si="0">(E12+F12)/D12</f>
        <v>1.0225224723015818</v>
      </c>
      <c r="I12" s="31">
        <v>1874.68</v>
      </c>
      <c r="J12" s="32">
        <v>323.22000000000003</v>
      </c>
      <c r="K12" s="34">
        <f t="shared" ref="K12:K21" si="1">J12/D12</f>
        <v>2.2522472301581772E-2</v>
      </c>
      <c r="L12" s="95">
        <f t="shared" ref="L12:L21" si="2">((E12+F12)-D12)-J12</f>
        <v>-6.8212102632969618E-13</v>
      </c>
      <c r="M12" s="35">
        <f t="shared" ref="M12:M21" si="3">L12/D12</f>
        <v>-4.7531254012242782E-17</v>
      </c>
      <c r="N12" s="96">
        <f t="shared" ref="N12:N21" si="4">L12*G12</f>
        <v>-3.9563019527122375E-12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97">
        <v>2</v>
      </c>
      <c r="B13" s="30" t="s">
        <v>80</v>
      </c>
      <c r="C13" s="31">
        <v>648.86</v>
      </c>
      <c r="D13" s="32">
        <v>384.52</v>
      </c>
      <c r="E13" s="32">
        <v>384.52</v>
      </c>
      <c r="F13" s="32">
        <v>19.73</v>
      </c>
      <c r="G13" s="31">
        <v>156.72999999999999</v>
      </c>
      <c r="H13" s="33">
        <f t="shared" si="0"/>
        <v>1.0513107250598148</v>
      </c>
      <c r="I13" s="31">
        <v>3092.28</v>
      </c>
      <c r="J13" s="32">
        <v>4.1399999999999997</v>
      </c>
      <c r="K13" s="34">
        <f t="shared" si="1"/>
        <v>1.0766670134193279E-2</v>
      </c>
      <c r="L13" s="95">
        <f t="shared" si="2"/>
        <v>15.590000000000018</v>
      </c>
      <c r="M13" s="35">
        <f t="shared" si="3"/>
        <v>4.0544054925621603E-2</v>
      </c>
      <c r="N13" s="96">
        <f t="shared" si="4"/>
        <v>2443.4207000000024</v>
      </c>
      <c r="O13" s="36" t="s">
        <v>142</v>
      </c>
      <c r="P13" s="36" t="s">
        <v>26</v>
      </c>
      <c r="Q13" s="36" t="s">
        <v>145</v>
      </c>
      <c r="R13" s="37" t="s">
        <v>59</v>
      </c>
    </row>
    <row r="14" spans="1:18" s="39" customFormat="1" ht="24.95" customHeight="1" x14ac:dyDescent="0.25">
      <c r="A14" s="97">
        <v>3</v>
      </c>
      <c r="B14" s="30" t="s">
        <v>61</v>
      </c>
      <c r="C14" s="31">
        <v>547.98</v>
      </c>
      <c r="D14" s="32">
        <v>6692</v>
      </c>
      <c r="E14" s="32">
        <v>6692</v>
      </c>
      <c r="F14" s="32">
        <v>83.28</v>
      </c>
      <c r="G14" s="31">
        <v>6.58</v>
      </c>
      <c r="H14" s="33">
        <f t="shared" si="0"/>
        <v>1.0124447101016139</v>
      </c>
      <c r="I14" s="31">
        <v>547.98</v>
      </c>
      <c r="J14" s="32">
        <v>83.28</v>
      </c>
      <c r="K14" s="34">
        <f t="shared" si="1"/>
        <v>1.2444710101613868E-2</v>
      </c>
      <c r="L14" s="95">
        <f t="shared" si="2"/>
        <v>-2.5579538487363607E-13</v>
      </c>
      <c r="M14" s="35">
        <f t="shared" si="3"/>
        <v>-3.8224056317040658E-17</v>
      </c>
      <c r="N14" s="96">
        <f t="shared" si="4"/>
        <v>-1.6831336324685253E-12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94">
        <v>4</v>
      </c>
      <c r="B15" s="30" t="s">
        <v>165</v>
      </c>
      <c r="C15" s="31">
        <v>453.04</v>
      </c>
      <c r="D15" s="32">
        <v>134.37</v>
      </c>
      <c r="E15" s="32">
        <v>134.37</v>
      </c>
      <c r="F15" s="32">
        <v>4.59</v>
      </c>
      <c r="G15" s="31">
        <v>200.46</v>
      </c>
      <c r="H15" s="33">
        <f t="shared" si="0"/>
        <v>1.0341594105827194</v>
      </c>
      <c r="I15" s="31">
        <v>920.11</v>
      </c>
      <c r="J15" s="32">
        <v>2.2599999999999998</v>
      </c>
      <c r="K15" s="34">
        <f t="shared" si="1"/>
        <v>1.6819230482994715E-2</v>
      </c>
      <c r="L15" s="95">
        <f t="shared" si="2"/>
        <v>2.3300000000000036</v>
      </c>
      <c r="M15" s="35">
        <f t="shared" si="3"/>
        <v>1.7340180099724666E-2</v>
      </c>
      <c r="N15" s="96">
        <f t="shared" si="4"/>
        <v>467.07180000000074</v>
      </c>
      <c r="O15" s="36" t="s">
        <v>99</v>
      </c>
      <c r="P15" s="36" t="s">
        <v>271</v>
      </c>
      <c r="Q15" s="36" t="s">
        <v>272</v>
      </c>
      <c r="R15" s="37" t="s">
        <v>59</v>
      </c>
    </row>
    <row r="16" spans="1:18" s="39" customFormat="1" ht="24.95" customHeight="1" x14ac:dyDescent="0.25">
      <c r="A16" s="97">
        <v>5</v>
      </c>
      <c r="B16" s="30" t="s">
        <v>69</v>
      </c>
      <c r="C16" s="31">
        <v>400.05</v>
      </c>
      <c r="D16" s="32">
        <v>13901</v>
      </c>
      <c r="E16" s="32">
        <v>13901</v>
      </c>
      <c r="F16" s="32">
        <v>57.15</v>
      </c>
      <c r="G16" s="31">
        <v>7</v>
      </c>
      <c r="H16" s="33">
        <f t="shared" si="0"/>
        <v>1.004111215020502</v>
      </c>
      <c r="I16" s="31">
        <v>400.05</v>
      </c>
      <c r="J16" s="32">
        <v>57.15</v>
      </c>
      <c r="K16" s="34">
        <f t="shared" si="1"/>
        <v>4.1112150205021222E-3</v>
      </c>
      <c r="L16" s="95">
        <f t="shared" si="2"/>
        <v>-3.6237679523765109E-13</v>
      </c>
      <c r="M16" s="35">
        <f t="shared" si="3"/>
        <v>-2.6068397614391129E-17</v>
      </c>
      <c r="N16" s="96">
        <f t="shared" si="4"/>
        <v>-2.5366375666635577E-12</v>
      </c>
      <c r="O16" s="36" t="s">
        <v>142</v>
      </c>
      <c r="P16" s="36" t="s">
        <v>26</v>
      </c>
      <c r="Q16" s="36" t="s">
        <v>143</v>
      </c>
      <c r="R16" s="37" t="s">
        <v>59</v>
      </c>
    </row>
    <row r="17" spans="1:18" s="38" customFormat="1" ht="24.95" customHeight="1" x14ac:dyDescent="0.25">
      <c r="A17" s="94">
        <v>6</v>
      </c>
      <c r="B17" s="30" t="s">
        <v>64</v>
      </c>
      <c r="C17" s="31">
        <v>303.10000000000002</v>
      </c>
      <c r="D17" s="32">
        <v>3759</v>
      </c>
      <c r="E17" s="32">
        <v>3759</v>
      </c>
      <c r="F17" s="32">
        <v>43.3</v>
      </c>
      <c r="G17" s="31">
        <v>7</v>
      </c>
      <c r="H17" s="33">
        <f t="shared" si="0"/>
        <v>1.0115190210162277</v>
      </c>
      <c r="I17" s="31">
        <v>303.10000000000002</v>
      </c>
      <c r="J17" s="32">
        <v>43.3</v>
      </c>
      <c r="K17" s="34">
        <f t="shared" si="1"/>
        <v>1.151902101622772E-2</v>
      </c>
      <c r="L17" s="95">
        <f t="shared" si="2"/>
        <v>1.8474111129762605E-13</v>
      </c>
      <c r="M17" s="35">
        <f t="shared" si="3"/>
        <v>4.9146345117751011E-17</v>
      </c>
      <c r="N17" s="96">
        <f t="shared" si="4"/>
        <v>1.2931877790833823E-12</v>
      </c>
      <c r="O17" s="36" t="s">
        <v>142</v>
      </c>
      <c r="P17" s="36" t="s">
        <v>26</v>
      </c>
      <c r="Q17" s="36" t="s">
        <v>143</v>
      </c>
      <c r="R17" s="37" t="s">
        <v>59</v>
      </c>
    </row>
    <row r="18" spans="1:18" s="39" customFormat="1" ht="24.95" customHeight="1" x14ac:dyDescent="0.25">
      <c r="A18" s="97">
        <v>7</v>
      </c>
      <c r="B18" s="30" t="s">
        <v>166</v>
      </c>
      <c r="C18" s="31">
        <v>249.48</v>
      </c>
      <c r="D18" s="32">
        <v>5755</v>
      </c>
      <c r="E18" s="32">
        <v>5755</v>
      </c>
      <c r="F18" s="32">
        <v>56.7</v>
      </c>
      <c r="G18" s="31">
        <v>4.4000000000000004</v>
      </c>
      <c r="H18" s="33">
        <f t="shared" si="0"/>
        <v>1.0098523023457862</v>
      </c>
      <c r="I18" s="31">
        <v>249.48</v>
      </c>
      <c r="J18" s="32">
        <v>56.7</v>
      </c>
      <c r="K18" s="34">
        <f t="shared" si="1"/>
        <v>9.8523023457862732E-3</v>
      </c>
      <c r="L18" s="95">
        <f t="shared" si="2"/>
        <v>-1.8474111129762605E-13</v>
      </c>
      <c r="M18" s="35">
        <f t="shared" si="3"/>
        <v>-3.2100975029995835E-17</v>
      </c>
      <c r="N18" s="96">
        <f t="shared" si="4"/>
        <v>-8.1286088970955465E-13</v>
      </c>
      <c r="O18" s="36" t="s">
        <v>139</v>
      </c>
      <c r="P18" s="36" t="s">
        <v>28</v>
      </c>
      <c r="Q18" s="36" t="s">
        <v>140</v>
      </c>
      <c r="R18" s="37" t="s">
        <v>59</v>
      </c>
    </row>
    <row r="19" spans="1:18" s="38" customFormat="1" ht="24.95" customHeight="1" x14ac:dyDescent="0.25">
      <c r="A19" s="94">
        <v>8</v>
      </c>
      <c r="B19" s="30" t="s">
        <v>60</v>
      </c>
      <c r="C19" s="31">
        <v>248.79</v>
      </c>
      <c r="D19" s="32">
        <v>234.23</v>
      </c>
      <c r="E19" s="32">
        <v>234.23</v>
      </c>
      <c r="F19" s="32">
        <v>9.35</v>
      </c>
      <c r="G19" s="31">
        <v>99.12</v>
      </c>
      <c r="H19" s="33">
        <f t="shared" si="0"/>
        <v>1.0399180292874526</v>
      </c>
      <c r="I19" s="31">
        <v>926.77</v>
      </c>
      <c r="J19" s="32">
        <v>2.5099999999999998</v>
      </c>
      <c r="K19" s="34">
        <f t="shared" si="1"/>
        <v>1.0715962942407035E-2</v>
      </c>
      <c r="L19" s="95">
        <f t="shared" si="2"/>
        <v>6.8399999999999945</v>
      </c>
      <c r="M19" s="35">
        <f t="shared" si="3"/>
        <v>2.9202066345045446E-2</v>
      </c>
      <c r="N19" s="96">
        <f t="shared" si="4"/>
        <v>677.98079999999948</v>
      </c>
      <c r="O19" s="36" t="s">
        <v>139</v>
      </c>
      <c r="P19" s="36" t="s">
        <v>25</v>
      </c>
      <c r="Q19" s="36" t="s">
        <v>141</v>
      </c>
      <c r="R19" s="37" t="s">
        <v>59</v>
      </c>
    </row>
    <row r="20" spans="1:18" s="38" customFormat="1" ht="24.95" customHeight="1" x14ac:dyDescent="0.25">
      <c r="A20" s="97">
        <v>9</v>
      </c>
      <c r="B20" s="30" t="s">
        <v>91</v>
      </c>
      <c r="C20" s="31">
        <v>189.47</v>
      </c>
      <c r="D20" s="32">
        <v>157.38</v>
      </c>
      <c r="E20" s="32">
        <v>157.38</v>
      </c>
      <c r="F20" s="32">
        <v>5.38</v>
      </c>
      <c r="G20" s="31">
        <v>212.89</v>
      </c>
      <c r="H20" s="33">
        <f t="shared" si="0"/>
        <v>1.0341847757021223</v>
      </c>
      <c r="I20" s="31">
        <v>1145.3499999999999</v>
      </c>
      <c r="J20" s="32">
        <v>0.89</v>
      </c>
      <c r="K20" s="34">
        <f t="shared" si="1"/>
        <v>5.6551023001652056E-3</v>
      </c>
      <c r="L20" s="95">
        <f t="shared" si="2"/>
        <v>4.4899999999999958</v>
      </c>
      <c r="M20" s="35">
        <f t="shared" si="3"/>
        <v>2.8529673401957022E-2</v>
      </c>
      <c r="N20" s="96">
        <f t="shared" si="4"/>
        <v>955.87609999999904</v>
      </c>
      <c r="O20" s="36" t="s">
        <v>139</v>
      </c>
      <c r="P20" s="36" t="s">
        <v>25</v>
      </c>
      <c r="Q20" s="36" t="s">
        <v>141</v>
      </c>
      <c r="R20" s="37" t="s">
        <v>59</v>
      </c>
    </row>
    <row r="21" spans="1:18" s="38" customFormat="1" ht="24.95" customHeight="1" thickBot="1" x14ac:dyDescent="0.3">
      <c r="A21" s="98">
        <v>10</v>
      </c>
      <c r="B21" s="40" t="s">
        <v>167</v>
      </c>
      <c r="C21" s="41">
        <v>126.97</v>
      </c>
      <c r="D21" s="42">
        <v>16.62</v>
      </c>
      <c r="E21" s="42">
        <v>16.62</v>
      </c>
      <c r="F21" s="42">
        <v>0.76</v>
      </c>
      <c r="G21" s="41">
        <v>846.44</v>
      </c>
      <c r="H21" s="43">
        <f t="shared" si="0"/>
        <v>1.045728038507822</v>
      </c>
      <c r="I21" s="41">
        <v>643.29</v>
      </c>
      <c r="J21" s="42">
        <v>0.15</v>
      </c>
      <c r="K21" s="44">
        <f t="shared" si="1"/>
        <v>9.0252707581227436E-3</v>
      </c>
      <c r="L21" s="99">
        <f t="shared" si="2"/>
        <v>0.61000000000000154</v>
      </c>
      <c r="M21" s="45">
        <f t="shared" si="3"/>
        <v>3.6702767749699251E-2</v>
      </c>
      <c r="N21" s="100">
        <f t="shared" si="4"/>
        <v>516.32840000000135</v>
      </c>
      <c r="O21" s="46" t="s">
        <v>139</v>
      </c>
      <c r="P21" s="46" t="s">
        <v>25</v>
      </c>
      <c r="Q21" s="46" t="s">
        <v>144</v>
      </c>
      <c r="R21" s="47" t="s">
        <v>84</v>
      </c>
    </row>
    <row r="22" spans="1:18" s="53" customFormat="1" ht="24.95" customHeight="1" thickBot="1" x14ac:dyDescent="0.3">
      <c r="A22" s="101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102"/>
      <c r="M22" s="51"/>
      <c r="N22" s="103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148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72</v>
      </c>
      <c r="P24" s="630" t="s">
        <v>168</v>
      </c>
      <c r="Q24" s="629" t="s">
        <v>169</v>
      </c>
      <c r="R24" s="1316" t="s">
        <v>170</v>
      </c>
    </row>
    <row r="25" spans="1:18" s="53" customFormat="1" ht="24.95" customHeight="1" x14ac:dyDescent="0.25">
      <c r="A25" s="1317" t="s">
        <v>97</v>
      </c>
      <c r="B25" s="634" t="s">
        <v>171</v>
      </c>
      <c r="C25" s="635"/>
      <c r="D25" s="636" t="s">
        <v>151</v>
      </c>
      <c r="E25" s="636"/>
      <c r="F25" s="636"/>
      <c r="G25" s="636"/>
      <c r="H25" s="636"/>
      <c r="I25" s="636"/>
      <c r="J25" s="637" t="s">
        <v>152</v>
      </c>
      <c r="K25" s="637"/>
      <c r="L25" s="637"/>
      <c r="M25" s="638"/>
      <c r="N25" s="638"/>
      <c r="O25" s="629"/>
      <c r="P25" s="629"/>
      <c r="Q25" s="629"/>
      <c r="R25" s="1316"/>
    </row>
    <row r="26" spans="1:18" s="53" customFormat="1" ht="24.95" customHeight="1" x14ac:dyDescent="0.3">
      <c r="A26" s="1318"/>
      <c r="B26" s="1320" t="s">
        <v>100</v>
      </c>
      <c r="C26" s="1322" t="s">
        <v>172</v>
      </c>
      <c r="D26" s="1324" t="s">
        <v>50</v>
      </c>
      <c r="E26" s="1324"/>
      <c r="F26" s="1324"/>
      <c r="G26" s="1324"/>
      <c r="H26" s="1324"/>
      <c r="I26" s="1324"/>
      <c r="J26" s="1325" t="s">
        <v>173</v>
      </c>
      <c r="K26" s="1326"/>
      <c r="L26" s="1327"/>
      <c r="M26" s="1325" t="s">
        <v>174</v>
      </c>
      <c r="N26" s="1327"/>
      <c r="O26" s="629"/>
      <c r="P26" s="629"/>
      <c r="Q26" s="629"/>
      <c r="R26" s="1316"/>
    </row>
    <row r="27" spans="1:18" s="53" customFormat="1" ht="50.1" customHeight="1" x14ac:dyDescent="0.25">
      <c r="A27" s="1319"/>
      <c r="B27" s="1321"/>
      <c r="C27" s="1323"/>
      <c r="D27" s="91" t="s">
        <v>157</v>
      </c>
      <c r="E27" s="91" t="s">
        <v>104</v>
      </c>
      <c r="F27" s="91" t="s">
        <v>159</v>
      </c>
      <c r="G27" s="91" t="s">
        <v>54</v>
      </c>
      <c r="H27" s="91" t="s">
        <v>175</v>
      </c>
      <c r="I27" s="91" t="s">
        <v>176</v>
      </c>
      <c r="J27" s="92" t="s">
        <v>56</v>
      </c>
      <c r="K27" s="92" t="s">
        <v>177</v>
      </c>
      <c r="L27" s="93" t="s">
        <v>164</v>
      </c>
      <c r="M27" s="92" t="s">
        <v>178</v>
      </c>
      <c r="N27" s="92" t="s">
        <v>162</v>
      </c>
      <c r="O27" s="629"/>
      <c r="P27" s="629"/>
      <c r="Q27" s="629"/>
      <c r="R27" s="1316"/>
    </row>
    <row r="28" spans="1:18" s="53" customFormat="1" ht="24.95" customHeight="1" x14ac:dyDescent="0.25">
      <c r="A28" s="94">
        <v>1</v>
      </c>
      <c r="B28" s="30" t="s">
        <v>68</v>
      </c>
      <c r="C28" s="31">
        <v>3058</v>
      </c>
      <c r="D28" s="32">
        <v>395.77</v>
      </c>
      <c r="E28" s="32">
        <v>395.77</v>
      </c>
      <c r="F28" s="32">
        <v>20.3</v>
      </c>
      <c r="G28" s="31">
        <v>156.74</v>
      </c>
      <c r="H28" s="54">
        <f t="shared" ref="H28:H37" si="5">(E28+F28)/D28</f>
        <v>1.051292417313086</v>
      </c>
      <c r="I28" s="31">
        <v>3181.82</v>
      </c>
      <c r="J28" s="32">
        <v>0.79</v>
      </c>
      <c r="K28" s="34">
        <f t="shared" ref="K28:K37" si="6">J28/D28</f>
        <v>1.9961088511003867E-3</v>
      </c>
      <c r="L28" s="96">
        <f t="shared" ref="L28:L37" si="7">J28*G28</f>
        <v>123.82460000000002</v>
      </c>
      <c r="M28" s="95">
        <f t="shared" ref="M28:M37" si="8">((E28+F28)-D28)-J28</f>
        <v>19.510000000000012</v>
      </c>
      <c r="N28" s="35">
        <f t="shared" ref="N28:N37" si="9">M28/D28</f>
        <v>4.929630846198553E-2</v>
      </c>
      <c r="O28" s="55" t="s">
        <v>133</v>
      </c>
      <c r="P28" s="56" t="s">
        <v>25</v>
      </c>
      <c r="Q28" s="56" t="s">
        <v>136</v>
      </c>
      <c r="R28" s="37" t="s">
        <v>59</v>
      </c>
    </row>
    <row r="29" spans="1:18" s="53" customFormat="1" ht="24.75" customHeight="1" x14ac:dyDescent="0.25">
      <c r="A29" s="97">
        <v>2</v>
      </c>
      <c r="B29" s="30" t="s">
        <v>80</v>
      </c>
      <c r="C29" s="31">
        <v>2443.42</v>
      </c>
      <c r="D29" s="32">
        <v>384.52</v>
      </c>
      <c r="E29" s="32">
        <v>384.52</v>
      </c>
      <c r="F29" s="32">
        <v>19.73</v>
      </c>
      <c r="G29" s="31">
        <v>156.72999999999999</v>
      </c>
      <c r="H29" s="54">
        <f t="shared" si="5"/>
        <v>1.0513107250598148</v>
      </c>
      <c r="I29" s="31">
        <v>3092.28</v>
      </c>
      <c r="J29" s="32">
        <v>4.1399999999999997</v>
      </c>
      <c r="K29" s="34">
        <f t="shared" si="6"/>
        <v>1.0766670134193279E-2</v>
      </c>
      <c r="L29" s="96">
        <f t="shared" si="7"/>
        <v>648.86219999999992</v>
      </c>
      <c r="M29" s="95">
        <f t="shared" si="8"/>
        <v>15.590000000000018</v>
      </c>
      <c r="N29" s="35">
        <f t="shared" si="9"/>
        <v>4.0544054925621603E-2</v>
      </c>
      <c r="O29" s="55" t="s">
        <v>133</v>
      </c>
      <c r="P29" s="56" t="s">
        <v>25</v>
      </c>
      <c r="Q29" s="56" t="s">
        <v>136</v>
      </c>
      <c r="R29" s="37" t="s">
        <v>59</v>
      </c>
    </row>
    <row r="30" spans="1:18" s="53" customFormat="1" ht="24.95" customHeight="1" x14ac:dyDescent="0.25">
      <c r="A30" s="97">
        <v>3</v>
      </c>
      <c r="B30" s="30" t="s">
        <v>74</v>
      </c>
      <c r="C30" s="31">
        <v>2325.5</v>
      </c>
      <c r="D30" s="32">
        <v>356.46</v>
      </c>
      <c r="E30" s="32">
        <v>356.46</v>
      </c>
      <c r="F30" s="32">
        <v>18.29</v>
      </c>
      <c r="G30" s="31">
        <v>133.88</v>
      </c>
      <c r="H30" s="54">
        <f t="shared" si="5"/>
        <v>1.0513101049206082</v>
      </c>
      <c r="I30" s="31">
        <v>2448.67</v>
      </c>
      <c r="J30" s="57">
        <v>0.92</v>
      </c>
      <c r="K30" s="34">
        <f t="shared" si="6"/>
        <v>2.580934747236717E-3</v>
      </c>
      <c r="L30" s="96">
        <f t="shared" si="7"/>
        <v>123.1696</v>
      </c>
      <c r="M30" s="95">
        <f t="shared" si="8"/>
        <v>17.370000000000019</v>
      </c>
      <c r="N30" s="35">
        <f t="shared" si="9"/>
        <v>4.8729170173371542E-2</v>
      </c>
      <c r="O30" s="55" t="s">
        <v>133</v>
      </c>
      <c r="P30" s="56" t="s">
        <v>25</v>
      </c>
      <c r="Q30" s="56" t="s">
        <v>134</v>
      </c>
      <c r="R30" s="37" t="s">
        <v>75</v>
      </c>
    </row>
    <row r="31" spans="1:18" s="53" customFormat="1" ht="24.95" customHeight="1" x14ac:dyDescent="0.25">
      <c r="A31" s="94">
        <v>4</v>
      </c>
      <c r="B31" s="30" t="s">
        <v>83</v>
      </c>
      <c r="C31" s="31">
        <v>2079.73</v>
      </c>
      <c r="D31" s="32">
        <v>502.38</v>
      </c>
      <c r="E31" s="32">
        <v>502.38</v>
      </c>
      <c r="F31" s="32">
        <v>25.77</v>
      </c>
      <c r="G31" s="31">
        <v>85.48</v>
      </c>
      <c r="H31" s="54">
        <f t="shared" si="5"/>
        <v>1.0512958318404395</v>
      </c>
      <c r="I31" s="31">
        <v>2202.8200000000002</v>
      </c>
      <c r="J31" s="32">
        <v>1.44</v>
      </c>
      <c r="K31" s="34">
        <f t="shared" si="6"/>
        <v>2.8663561447509851E-3</v>
      </c>
      <c r="L31" s="96">
        <f t="shared" si="7"/>
        <v>123.0912</v>
      </c>
      <c r="M31" s="95">
        <f t="shared" si="8"/>
        <v>24.329999999999981</v>
      </c>
      <c r="N31" s="35">
        <f t="shared" si="9"/>
        <v>4.8429475695688486E-2</v>
      </c>
      <c r="O31" s="55" t="s">
        <v>133</v>
      </c>
      <c r="P31" s="56" t="s">
        <v>25</v>
      </c>
      <c r="Q31" s="56" t="s">
        <v>134</v>
      </c>
      <c r="R31" s="37" t="s">
        <v>84</v>
      </c>
    </row>
    <row r="32" spans="1:18" s="53" customFormat="1" ht="24.95" customHeight="1" x14ac:dyDescent="0.25">
      <c r="A32" s="97">
        <v>5</v>
      </c>
      <c r="B32" s="30" t="s">
        <v>70</v>
      </c>
      <c r="C32" s="31">
        <v>1717.88</v>
      </c>
      <c r="D32" s="32">
        <v>39.630000000000003</v>
      </c>
      <c r="E32" s="32">
        <v>39.630000000000003</v>
      </c>
      <c r="F32" s="32">
        <v>2.2599999999999998</v>
      </c>
      <c r="G32" s="31">
        <v>814.16</v>
      </c>
      <c r="H32" s="54">
        <f t="shared" si="5"/>
        <v>1.0570275044158466</v>
      </c>
      <c r="I32" s="31">
        <v>1840</v>
      </c>
      <c r="J32" s="32">
        <v>0.15</v>
      </c>
      <c r="K32" s="34">
        <f t="shared" si="6"/>
        <v>3.7850113550340647E-3</v>
      </c>
      <c r="L32" s="96">
        <f t="shared" si="7"/>
        <v>122.124</v>
      </c>
      <c r="M32" s="95">
        <f t="shared" si="8"/>
        <v>2.1099999999999981</v>
      </c>
      <c r="N32" s="35">
        <f t="shared" si="9"/>
        <v>5.3242493060812461E-2</v>
      </c>
      <c r="O32" s="55" t="s">
        <v>133</v>
      </c>
      <c r="P32" s="56" t="s">
        <v>25</v>
      </c>
      <c r="Q32" s="56" t="s">
        <v>138</v>
      </c>
      <c r="R32" s="37" t="s">
        <v>71</v>
      </c>
    </row>
    <row r="33" spans="1:18" s="53" customFormat="1" ht="24.95" customHeight="1" x14ac:dyDescent="0.25">
      <c r="A33" s="94">
        <v>6</v>
      </c>
      <c r="B33" s="30" t="s">
        <v>87</v>
      </c>
      <c r="C33" s="31">
        <v>1532.9099999999999</v>
      </c>
      <c r="D33" s="32">
        <v>213.99</v>
      </c>
      <c r="E33" s="32">
        <v>213.99</v>
      </c>
      <c r="F33" s="32">
        <v>8.5399999999999991</v>
      </c>
      <c r="G33" s="31">
        <v>194.04</v>
      </c>
      <c r="H33" s="54">
        <f t="shared" si="5"/>
        <v>1.0399084069349034</v>
      </c>
      <c r="I33" s="31">
        <v>1657.1</v>
      </c>
      <c r="J33" s="32">
        <v>0.64</v>
      </c>
      <c r="K33" s="34">
        <f t="shared" si="6"/>
        <v>2.9907939623346883E-3</v>
      </c>
      <c r="L33" s="96">
        <f t="shared" si="7"/>
        <v>124.18559999999999</v>
      </c>
      <c r="M33" s="95">
        <f t="shared" si="8"/>
        <v>7.8999999999999924</v>
      </c>
      <c r="N33" s="35">
        <f t="shared" si="9"/>
        <v>3.6917612972568771E-2</v>
      </c>
      <c r="O33" s="55" t="s">
        <v>133</v>
      </c>
      <c r="P33" s="56" t="s">
        <v>25</v>
      </c>
      <c r="Q33" s="56" t="s">
        <v>135</v>
      </c>
      <c r="R33" s="37" t="s">
        <v>88</v>
      </c>
    </row>
    <row r="34" spans="1:18" s="53" customFormat="1" ht="24.95" customHeight="1" x14ac:dyDescent="0.25">
      <c r="A34" s="97">
        <v>7</v>
      </c>
      <c r="B34" s="30" t="s">
        <v>179</v>
      </c>
      <c r="C34" s="31">
        <v>1391.27</v>
      </c>
      <c r="D34" s="32">
        <v>177.44</v>
      </c>
      <c r="E34" s="32">
        <v>177.44</v>
      </c>
      <c r="F34" s="32">
        <v>9.1</v>
      </c>
      <c r="G34" s="31">
        <v>166.42</v>
      </c>
      <c r="H34" s="54">
        <f t="shared" si="5"/>
        <v>1.0512849413886385</v>
      </c>
      <c r="I34" s="31">
        <v>1514.42</v>
      </c>
      <c r="J34" s="32">
        <v>0.74</v>
      </c>
      <c r="K34" s="34">
        <f t="shared" si="6"/>
        <v>4.1704238052299369E-3</v>
      </c>
      <c r="L34" s="96">
        <f t="shared" si="7"/>
        <v>123.15079999999999</v>
      </c>
      <c r="M34" s="95">
        <f t="shared" si="8"/>
        <v>8.3599999999999941</v>
      </c>
      <c r="N34" s="35">
        <f t="shared" si="9"/>
        <v>4.7114517583408441E-2</v>
      </c>
      <c r="O34" s="55" t="s">
        <v>133</v>
      </c>
      <c r="P34" s="56" t="s">
        <v>25</v>
      </c>
      <c r="Q34" s="56" t="s">
        <v>135</v>
      </c>
      <c r="R34" s="37" t="s">
        <v>180</v>
      </c>
    </row>
    <row r="35" spans="1:18" s="53" customFormat="1" ht="24.95" customHeight="1" x14ac:dyDescent="0.25">
      <c r="A35" s="94">
        <v>8</v>
      </c>
      <c r="B35" s="30" t="s">
        <v>181</v>
      </c>
      <c r="C35" s="31">
        <v>1381.09</v>
      </c>
      <c r="D35" s="32">
        <v>209.36</v>
      </c>
      <c r="E35" s="32">
        <v>209.36</v>
      </c>
      <c r="F35" s="32">
        <v>10.74</v>
      </c>
      <c r="G35" s="31">
        <v>140.07</v>
      </c>
      <c r="H35" s="54">
        <f t="shared" si="5"/>
        <v>1.0512991975544517</v>
      </c>
      <c r="I35" s="31">
        <v>1504.35</v>
      </c>
      <c r="J35" s="32">
        <v>0.88</v>
      </c>
      <c r="K35" s="34">
        <f t="shared" si="6"/>
        <v>4.2032862055789069E-3</v>
      </c>
      <c r="L35" s="96">
        <f t="shared" si="7"/>
        <v>123.2616</v>
      </c>
      <c r="M35" s="95">
        <f t="shared" si="8"/>
        <v>9.8600000000000083</v>
      </c>
      <c r="N35" s="35">
        <f t="shared" si="9"/>
        <v>4.7095911348872789E-2</v>
      </c>
      <c r="O35" s="55" t="s">
        <v>133</v>
      </c>
      <c r="P35" s="56" t="s">
        <v>25</v>
      </c>
      <c r="Q35" s="56" t="s">
        <v>138</v>
      </c>
      <c r="R35" s="37" t="s">
        <v>182</v>
      </c>
    </row>
    <row r="36" spans="1:18" s="53" customFormat="1" ht="24.95" customHeight="1" x14ac:dyDescent="0.25">
      <c r="A36" s="97">
        <v>9</v>
      </c>
      <c r="B36" s="30" t="s">
        <v>62</v>
      </c>
      <c r="C36" s="31">
        <v>1374.4299999999998</v>
      </c>
      <c r="D36" s="32">
        <v>337.7</v>
      </c>
      <c r="E36" s="32">
        <v>337.7</v>
      </c>
      <c r="F36" s="32">
        <v>13.47</v>
      </c>
      <c r="G36" s="31">
        <v>111.2</v>
      </c>
      <c r="H36" s="54">
        <f t="shared" si="5"/>
        <v>1.0398874740894286</v>
      </c>
      <c r="I36" s="31">
        <v>1497.86</v>
      </c>
      <c r="J36" s="32">
        <v>1.1100000000000001</v>
      </c>
      <c r="K36" s="34">
        <f t="shared" si="6"/>
        <v>3.2869410719573592E-3</v>
      </c>
      <c r="L36" s="96">
        <f t="shared" si="7"/>
        <v>123.43200000000002</v>
      </c>
      <c r="M36" s="95">
        <f t="shared" si="8"/>
        <v>12.360000000000028</v>
      </c>
      <c r="N36" s="35">
        <f t="shared" si="9"/>
        <v>3.660053301747121E-2</v>
      </c>
      <c r="O36" s="55" t="s">
        <v>133</v>
      </c>
      <c r="P36" s="56" t="s">
        <v>25</v>
      </c>
      <c r="Q36" s="56" t="s">
        <v>135</v>
      </c>
      <c r="R36" s="37" t="s">
        <v>63</v>
      </c>
    </row>
    <row r="37" spans="1:18" s="53" customFormat="1" ht="24.95" customHeight="1" thickBot="1" x14ac:dyDescent="0.3">
      <c r="A37" s="98">
        <v>10</v>
      </c>
      <c r="B37" s="40" t="s">
        <v>183</v>
      </c>
      <c r="C37" s="41">
        <v>1263.29</v>
      </c>
      <c r="D37" s="42">
        <v>98.86</v>
      </c>
      <c r="E37" s="42">
        <v>98.86</v>
      </c>
      <c r="F37" s="42">
        <v>3.38</v>
      </c>
      <c r="G37" s="41">
        <v>410.16</v>
      </c>
      <c r="H37" s="58">
        <f t="shared" si="5"/>
        <v>1.0341897633016386</v>
      </c>
      <c r="I37" s="41">
        <v>1386.34</v>
      </c>
      <c r="J37" s="42">
        <v>0.3</v>
      </c>
      <c r="K37" s="44">
        <f t="shared" si="6"/>
        <v>3.0345943758850898E-3</v>
      </c>
      <c r="L37" s="100">
        <f t="shared" si="7"/>
        <v>123.048</v>
      </c>
      <c r="M37" s="99">
        <f t="shared" si="8"/>
        <v>3.0799999999999956</v>
      </c>
      <c r="N37" s="45">
        <f t="shared" si="9"/>
        <v>3.1155168925753547E-2</v>
      </c>
      <c r="O37" s="59" t="s">
        <v>133</v>
      </c>
      <c r="P37" s="60" t="s">
        <v>25</v>
      </c>
      <c r="Q37" s="60" t="s">
        <v>134</v>
      </c>
      <c r="R37" s="61" t="s">
        <v>59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184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45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313" t="s">
        <v>185</v>
      </c>
      <c r="B41" s="623" t="s">
        <v>98</v>
      </c>
      <c r="C41" s="623"/>
      <c r="D41" s="624"/>
      <c r="E41" s="62"/>
      <c r="G41" s="64"/>
      <c r="H41" s="65"/>
    </row>
    <row r="42" spans="1:18" ht="20.45" customHeight="1" x14ac:dyDescent="0.35">
      <c r="A42" s="1313"/>
      <c r="B42" s="1314" t="s">
        <v>186</v>
      </c>
      <c r="C42" s="1315" t="s">
        <v>154</v>
      </c>
      <c r="D42" s="1316" t="s">
        <v>187</v>
      </c>
      <c r="E42" s="62"/>
      <c r="G42" s="64"/>
      <c r="H42" s="65"/>
    </row>
    <row r="43" spans="1:18" ht="20.45" customHeight="1" x14ac:dyDescent="0.35">
      <c r="A43" s="1313"/>
      <c r="B43" s="1314"/>
      <c r="C43" s="1315"/>
      <c r="D43" s="1316"/>
      <c r="E43" s="62"/>
      <c r="G43" s="64"/>
      <c r="H43" s="65"/>
    </row>
    <row r="44" spans="1:18" s="68" customFormat="1" ht="24.95" customHeight="1" x14ac:dyDescent="0.35">
      <c r="A44" s="104">
        <v>1</v>
      </c>
      <c r="B44" s="30" t="s">
        <v>58</v>
      </c>
      <c r="C44" s="31">
        <v>1874.68</v>
      </c>
      <c r="D44" s="66">
        <f t="shared" ref="D44:D53" si="10">C44/$L$5</f>
        <v>0.24973024529694332</v>
      </c>
      <c r="E44" s="67"/>
      <c r="G44" s="64"/>
      <c r="H44" s="65"/>
    </row>
    <row r="45" spans="1:18" s="68" customFormat="1" ht="24.95" customHeight="1" x14ac:dyDescent="0.35">
      <c r="A45" s="105">
        <v>2</v>
      </c>
      <c r="B45" s="30" t="s">
        <v>80</v>
      </c>
      <c r="C45" s="31">
        <v>648.86</v>
      </c>
      <c r="D45" s="66">
        <f t="shared" si="10"/>
        <v>8.6436067469314579E-2</v>
      </c>
      <c r="E45" s="67"/>
      <c r="G45" s="64"/>
      <c r="H45" s="65"/>
    </row>
    <row r="46" spans="1:18" s="68" customFormat="1" ht="24.95" customHeight="1" x14ac:dyDescent="0.35">
      <c r="A46" s="105">
        <v>3</v>
      </c>
      <c r="B46" s="30" t="s">
        <v>61</v>
      </c>
      <c r="C46" s="31">
        <v>547.98</v>
      </c>
      <c r="D46" s="66">
        <f t="shared" si="10"/>
        <v>7.2997620830125148E-2</v>
      </c>
      <c r="E46" s="67"/>
      <c r="G46" s="64"/>
      <c r="H46" s="65"/>
    </row>
    <row r="47" spans="1:18" s="68" customFormat="1" ht="24.95" customHeight="1" x14ac:dyDescent="0.35">
      <c r="A47" s="104">
        <v>4</v>
      </c>
      <c r="B47" s="30" t="s">
        <v>165</v>
      </c>
      <c r="C47" s="31">
        <v>453.04</v>
      </c>
      <c r="D47" s="66">
        <f t="shared" si="10"/>
        <v>6.0350454653235332E-2</v>
      </c>
      <c r="E47" s="67"/>
      <c r="G47" s="64"/>
      <c r="H47" s="65"/>
    </row>
    <row r="48" spans="1:18" s="68" customFormat="1" ht="24.95" customHeight="1" x14ac:dyDescent="0.35">
      <c r="A48" s="105">
        <v>5</v>
      </c>
      <c r="B48" s="30" t="s">
        <v>69</v>
      </c>
      <c r="C48" s="31">
        <v>400.05</v>
      </c>
      <c r="D48" s="66">
        <f t="shared" si="10"/>
        <v>5.3291540226087751E-2</v>
      </c>
      <c r="E48" s="67"/>
      <c r="G48" s="64"/>
      <c r="H48" s="65"/>
    </row>
    <row r="49" spans="1:5" s="68" customFormat="1" ht="24.95" customHeight="1" x14ac:dyDescent="0.25">
      <c r="A49" s="104">
        <v>6</v>
      </c>
      <c r="B49" s="30" t="s">
        <v>64</v>
      </c>
      <c r="C49" s="31">
        <v>303.10000000000002</v>
      </c>
      <c r="D49" s="66">
        <f t="shared" si="10"/>
        <v>4.037661752912685E-2</v>
      </c>
      <c r="E49" s="67"/>
    </row>
    <row r="50" spans="1:5" s="68" customFormat="1" ht="24.95" customHeight="1" x14ac:dyDescent="0.25">
      <c r="A50" s="105">
        <v>7</v>
      </c>
      <c r="B50" s="30" t="s">
        <v>166</v>
      </c>
      <c r="C50" s="31">
        <v>249.48</v>
      </c>
      <c r="D50" s="66">
        <f t="shared" si="10"/>
        <v>3.3233779416583856E-2</v>
      </c>
      <c r="E50" s="67"/>
    </row>
    <row r="51" spans="1:5" s="68" customFormat="1" ht="24.95" customHeight="1" x14ac:dyDescent="0.25">
      <c r="A51" s="104">
        <v>8</v>
      </c>
      <c r="B51" s="30" t="s">
        <v>60</v>
      </c>
      <c r="C51" s="31">
        <v>248.79</v>
      </c>
      <c r="D51" s="66">
        <f t="shared" si="10"/>
        <v>3.314186299924602E-2</v>
      </c>
      <c r="E51" s="67"/>
    </row>
    <row r="52" spans="1:5" s="68" customFormat="1" ht="24.95" customHeight="1" x14ac:dyDescent="0.25">
      <c r="A52" s="105">
        <v>9</v>
      </c>
      <c r="B52" s="30" t="s">
        <v>91</v>
      </c>
      <c r="C52" s="31">
        <v>189.47</v>
      </c>
      <c r="D52" s="66">
        <f t="shared" si="10"/>
        <v>2.5239715352173092E-2</v>
      </c>
      <c r="E52" s="67"/>
    </row>
    <row r="53" spans="1:5" s="68" customFormat="1" ht="24.95" customHeight="1" thickBot="1" x14ac:dyDescent="0.3">
      <c r="A53" s="106">
        <v>10</v>
      </c>
      <c r="B53" s="40" t="s">
        <v>92</v>
      </c>
      <c r="C53" s="41">
        <v>124.14</v>
      </c>
      <c r="D53" s="69">
        <f t="shared" si="10"/>
        <v>1.6536962388867725E-2</v>
      </c>
      <c r="E53" s="67"/>
    </row>
    <row r="54" spans="1:5" x14ac:dyDescent="0.25">
      <c r="A54" s="614" t="s">
        <v>188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189</v>
      </c>
      <c r="B56" s="615"/>
      <c r="C56" s="615"/>
      <c r="D56" s="615"/>
      <c r="E56" s="61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23" type="noConversion"/>
  <conditionalFormatting sqref="A12:A22">
    <cfRule type="containsText" dxfId="75" priority="33" operator="containsText" text="024">
      <formula>NOT(ISERROR(SEARCH("024",A12)))</formula>
    </cfRule>
    <cfRule type="containsText" dxfId="74" priority="34" operator="containsText" text="白醬">
      <formula>NOT(ISERROR(SEARCH("白醬",A12)))</formula>
    </cfRule>
    <cfRule type="containsText" dxfId="73" priority="35" operator="containsText" text="青蔥">
      <formula>NOT(ISERROR(SEARCH("青蔥",A12)))</formula>
    </cfRule>
    <cfRule type="containsText" dxfId="72" priority="36" operator="containsText" text=")川燙小青花菜">
      <formula>NOT(ISERROR(SEARCH(")川燙小青花菜",A12)))</formula>
    </cfRule>
    <cfRule type="containsText" dxfId="71" priority="37" operator="containsText" text="湯凍">
      <formula>NOT(ISERROR(SEARCH("湯凍",A12)))</formula>
    </cfRule>
    <cfRule type="containsText" dxfId="70" priority="38" operator="containsText" text="中華">
      <formula>NOT(ISERROR(SEARCH("中華",A12)))</formula>
    </cfRule>
  </conditionalFormatting>
  <conditionalFormatting sqref="A12:A22">
    <cfRule type="containsText" dxfId="69" priority="31" operator="containsText" text="綠豆芽">
      <formula>NOT(ISERROR(SEARCH("綠豆芽",A12)))</formula>
    </cfRule>
    <cfRule type="containsText" dxfId="68" priority="32" operator="containsText" text="煮白細麵生(方#12)">
      <formula>NOT(ISERROR(SEARCH("煮白細麵生(方#12)",A12)))</formula>
    </cfRule>
  </conditionalFormatting>
  <conditionalFormatting sqref="E5">
    <cfRule type="cellIs" dxfId="67" priority="16" operator="greaterThan">
      <formula>0.0025</formula>
    </cfRule>
    <cfRule type="cellIs" dxfId="66" priority="19" operator="greaterThan">
      <formula>0.0025</formula>
    </cfRule>
    <cfRule type="cellIs" dxfId="65" priority="29" operator="greaterThan">
      <formula>0.072</formula>
    </cfRule>
    <cfRule type="cellIs" dxfId="64" priority="30" operator="greaterThan">
      <formula>7.2</formula>
    </cfRule>
  </conditionalFormatting>
  <conditionalFormatting sqref="E5">
    <cfRule type="cellIs" dxfId="63" priority="28" operator="greaterThan">
      <formula>0.0025</formula>
    </cfRule>
  </conditionalFormatting>
  <conditionalFormatting sqref="A44:A53">
    <cfRule type="containsText" dxfId="62" priority="22" operator="containsText" text="024">
      <formula>NOT(ISERROR(SEARCH("024",A44)))</formula>
    </cfRule>
    <cfRule type="containsText" dxfId="61" priority="23" operator="containsText" text="白醬">
      <formula>NOT(ISERROR(SEARCH("白醬",A44)))</formula>
    </cfRule>
    <cfRule type="containsText" dxfId="60" priority="24" operator="containsText" text="青蔥">
      <formula>NOT(ISERROR(SEARCH("青蔥",A44)))</formula>
    </cfRule>
    <cfRule type="containsText" dxfId="59" priority="25" operator="containsText" text=")川燙小青花菜">
      <formula>NOT(ISERROR(SEARCH(")川燙小青花菜",A44)))</formula>
    </cfRule>
    <cfRule type="containsText" dxfId="58" priority="26" operator="containsText" text="湯凍">
      <formula>NOT(ISERROR(SEARCH("湯凍",A44)))</formula>
    </cfRule>
    <cfRule type="containsText" dxfId="57" priority="27" operator="containsText" text="中華">
      <formula>NOT(ISERROR(SEARCH("中華",A44)))</formula>
    </cfRule>
  </conditionalFormatting>
  <conditionalFormatting sqref="A44:A53">
    <cfRule type="containsText" dxfId="56" priority="20" operator="containsText" text="綠豆芽">
      <formula>NOT(ISERROR(SEARCH("綠豆芽",A44)))</formula>
    </cfRule>
    <cfRule type="containsText" dxfId="55" priority="21" operator="containsText" text="煮白細麵生(方#12)">
      <formula>NOT(ISERROR(SEARCH("煮白細麵生(方#12)",A44)))</formula>
    </cfRule>
  </conditionalFormatting>
  <conditionalFormatting sqref="D44:D53">
    <cfRule type="cellIs" dxfId="54" priority="18" operator="greaterThan">
      <formula>0.146</formula>
    </cfRule>
  </conditionalFormatting>
  <conditionalFormatting sqref="H12:H22">
    <cfRule type="cellIs" dxfId="53" priority="17" operator="greaterThan">
      <formula>1.1</formula>
    </cfRule>
  </conditionalFormatting>
  <conditionalFormatting sqref="I5">
    <cfRule type="cellIs" dxfId="52" priority="15" operator="greaterThan">
      <formula>0.2</formula>
    </cfRule>
  </conditionalFormatting>
  <conditionalFormatting sqref="A28:A37">
    <cfRule type="containsText" dxfId="51" priority="9" operator="containsText" text="024">
      <formula>NOT(ISERROR(SEARCH("024",A28)))</formula>
    </cfRule>
    <cfRule type="containsText" dxfId="50" priority="10" operator="containsText" text="白醬">
      <formula>NOT(ISERROR(SEARCH("白醬",A28)))</formula>
    </cfRule>
    <cfRule type="containsText" dxfId="49" priority="11" operator="containsText" text="青蔥">
      <formula>NOT(ISERROR(SEARCH("青蔥",A28)))</formula>
    </cfRule>
    <cfRule type="containsText" dxfId="48" priority="12" operator="containsText" text=")川燙小青花菜">
      <formula>NOT(ISERROR(SEARCH(")川燙小青花菜",A28)))</formula>
    </cfRule>
    <cfRule type="containsText" dxfId="47" priority="13" operator="containsText" text="湯凍">
      <formula>NOT(ISERROR(SEARCH("湯凍",A28)))</formula>
    </cfRule>
    <cfRule type="containsText" dxfId="46" priority="14" operator="containsText" text="中華">
      <formula>NOT(ISERROR(SEARCH("中華",A28)))</formula>
    </cfRule>
  </conditionalFormatting>
  <conditionalFormatting sqref="A28:A37">
    <cfRule type="containsText" dxfId="45" priority="7" operator="containsText" text="綠豆芽">
      <formula>NOT(ISERROR(SEARCH("綠豆芽",A28)))</formula>
    </cfRule>
    <cfRule type="containsText" dxfId="44" priority="8" operator="containsText" text="煮白細麵生(方#12)">
      <formula>NOT(ISERROR(SEARCH("煮白細麵生(方#12)",A28)))</formula>
    </cfRule>
  </conditionalFormatting>
  <conditionalFormatting sqref="H28:H37">
    <cfRule type="cellIs" dxfId="43" priority="6" operator="greaterThan">
      <formula>1.1</formula>
    </cfRule>
  </conditionalFormatting>
  <conditionalFormatting sqref="G5">
    <cfRule type="cellIs" dxfId="42" priority="1" operator="greaterThan">
      <formula>0.0025</formula>
    </cfRule>
    <cfRule type="cellIs" dxfId="41" priority="2" operator="greaterThan">
      <formula>0.0025</formula>
    </cfRule>
    <cfRule type="cellIs" dxfId="40" priority="4" operator="greaterThan">
      <formula>0.072</formula>
    </cfRule>
    <cfRule type="cellIs" dxfId="39" priority="5" operator="greaterThan">
      <formula>7.2</formula>
    </cfRule>
  </conditionalFormatting>
  <conditionalFormatting sqref="G5">
    <cfRule type="cellIs" dxfId="3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60" zoomScaleNormal="60" zoomScaleSheetLayoutView="70" workbookViewId="0">
      <selection activeCell="O12" sqref="O12:R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656" t="s">
        <v>30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P1" s="16"/>
      <c r="Q1" s="16"/>
    </row>
    <row r="2" spans="1:18" ht="24.95" customHeight="1" x14ac:dyDescent="0.25">
      <c r="A2" s="1338" t="s">
        <v>31</v>
      </c>
      <c r="B2" s="1339"/>
      <c r="C2" s="70" t="s">
        <v>32</v>
      </c>
      <c r="D2" s="1340" t="s">
        <v>33</v>
      </c>
      <c r="E2" s="1340"/>
      <c r="F2" s="1340" t="s">
        <v>34</v>
      </c>
      <c r="G2" s="1340"/>
      <c r="H2" s="1340" t="s">
        <v>33</v>
      </c>
      <c r="I2" s="1340"/>
      <c r="J2" s="1340" t="s">
        <v>34</v>
      </c>
      <c r="K2" s="1340"/>
      <c r="L2" s="1340" t="s">
        <v>33</v>
      </c>
      <c r="M2" s="1341"/>
      <c r="R2" s="17"/>
    </row>
    <row r="3" spans="1:18" s="18" customFormat="1" ht="28.5" x14ac:dyDescent="0.45">
      <c r="A3" s="1348">
        <v>45901</v>
      </c>
      <c r="B3" s="1349"/>
      <c r="C3" s="1350">
        <v>6002768.9400000004</v>
      </c>
      <c r="D3" s="655" t="s">
        <v>35</v>
      </c>
      <c r="E3" s="655"/>
      <c r="F3" s="655" t="s">
        <v>36</v>
      </c>
      <c r="G3" s="655"/>
      <c r="H3" s="648" t="s">
        <v>37</v>
      </c>
      <c r="I3" s="648"/>
      <c r="J3" s="648" t="s">
        <v>38</v>
      </c>
      <c r="K3" s="648"/>
      <c r="L3" s="648" t="s">
        <v>39</v>
      </c>
      <c r="M3" s="649"/>
    </row>
    <row r="4" spans="1:18" ht="28.5" customHeight="1" x14ac:dyDescent="0.25">
      <c r="A4" s="1348"/>
      <c r="B4" s="1349"/>
      <c r="C4" s="1350"/>
      <c r="D4" s="19" t="s">
        <v>40</v>
      </c>
      <c r="E4" s="19" t="s">
        <v>41</v>
      </c>
      <c r="F4" s="19" t="s">
        <v>40</v>
      </c>
      <c r="G4" s="19" t="s">
        <v>41</v>
      </c>
      <c r="H4" s="20" t="s">
        <v>40</v>
      </c>
      <c r="I4" s="20" t="s">
        <v>42</v>
      </c>
      <c r="J4" s="20" t="s">
        <v>40</v>
      </c>
      <c r="K4" s="20" t="s">
        <v>43</v>
      </c>
      <c r="L4" s="20" t="s">
        <v>40</v>
      </c>
      <c r="M4" s="21" t="s">
        <v>42</v>
      </c>
      <c r="R4" s="17"/>
    </row>
    <row r="5" spans="1:18" s="29" customFormat="1" ht="46.5" customHeight="1" thickBot="1" x14ac:dyDescent="0.3">
      <c r="A5" s="1342" t="s">
        <v>44</v>
      </c>
      <c r="B5" s="1343"/>
      <c r="C5" s="1343"/>
      <c r="D5" s="71">
        <v>14638.259999999998</v>
      </c>
      <c r="E5" s="22">
        <f>D5/C3</f>
        <v>2.4385846175848302E-3</v>
      </c>
      <c r="F5" s="71">
        <v>47054.64</v>
      </c>
      <c r="G5" s="23">
        <f>F5/C3</f>
        <v>7.8388224618220932E-3</v>
      </c>
      <c r="H5" s="24">
        <f>SUM(C12:C21)</f>
        <v>4785.1299999999992</v>
      </c>
      <c r="I5" s="25">
        <f>H5/D5</f>
        <v>0.32689199399382163</v>
      </c>
      <c r="J5" s="24">
        <f>SUM(C28:C37)</f>
        <v>15850.84</v>
      </c>
      <c r="K5" s="26">
        <f>J5/F5</f>
        <v>0.33686029688039265</v>
      </c>
      <c r="L5" s="27">
        <v>6583.92</v>
      </c>
      <c r="M5" s="28">
        <f>L5/D5</f>
        <v>0.44977476831262736</v>
      </c>
    </row>
    <row r="6" spans="1:18" s="29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616" t="s">
        <v>93</v>
      </c>
      <c r="B7" s="617"/>
      <c r="C7" s="617"/>
      <c r="D7" s="617"/>
      <c r="E7" s="617"/>
      <c r="F7" s="617"/>
      <c r="G7" s="617"/>
      <c r="H7" s="617"/>
      <c r="I7" s="617"/>
      <c r="J7" s="617"/>
      <c r="K7" s="617"/>
      <c r="L7" s="617"/>
      <c r="M7" s="617"/>
      <c r="N7" s="617"/>
      <c r="O7" s="617"/>
      <c r="P7" s="628"/>
      <c r="Q7" s="628"/>
      <c r="R7" s="618"/>
    </row>
    <row r="8" spans="1:18" ht="26.1" customHeight="1" x14ac:dyDescent="0.25">
      <c r="A8" s="619" t="s">
        <v>94</v>
      </c>
      <c r="B8" s="620"/>
      <c r="C8" s="620"/>
      <c r="D8" s="620" t="s">
        <v>95</v>
      </c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9" t="s">
        <v>72</v>
      </c>
      <c r="P8" s="630" t="s">
        <v>47</v>
      </c>
      <c r="Q8" s="629" t="s">
        <v>96</v>
      </c>
      <c r="R8" s="1344" t="s">
        <v>48</v>
      </c>
    </row>
    <row r="9" spans="1:18" ht="20.45" customHeight="1" x14ac:dyDescent="0.25">
      <c r="A9" s="1345" t="s">
        <v>97</v>
      </c>
      <c r="B9" s="634" t="s">
        <v>98</v>
      </c>
      <c r="C9" s="635"/>
      <c r="D9" s="636" t="s">
        <v>49</v>
      </c>
      <c r="E9" s="636"/>
      <c r="F9" s="636"/>
      <c r="G9" s="636"/>
      <c r="H9" s="636"/>
      <c r="I9" s="636"/>
      <c r="J9" s="637" t="s">
        <v>99</v>
      </c>
      <c r="K9" s="637"/>
      <c r="L9" s="637"/>
      <c r="M9" s="638"/>
      <c r="N9" s="638"/>
      <c r="O9" s="629"/>
      <c r="P9" s="629"/>
      <c r="Q9" s="629"/>
      <c r="R9" s="1344"/>
    </row>
    <row r="10" spans="1:18" ht="20.45" customHeight="1" x14ac:dyDescent="0.3">
      <c r="A10" s="1346"/>
      <c r="B10" s="1351" t="s">
        <v>100</v>
      </c>
      <c r="C10" s="1353" t="s">
        <v>101</v>
      </c>
      <c r="D10" s="1355" t="s">
        <v>50</v>
      </c>
      <c r="E10" s="1355"/>
      <c r="F10" s="1355"/>
      <c r="G10" s="1355"/>
      <c r="H10" s="1355"/>
      <c r="I10" s="1355"/>
      <c r="J10" s="1356" t="s">
        <v>51</v>
      </c>
      <c r="K10" s="1357"/>
      <c r="L10" s="1358" t="s">
        <v>102</v>
      </c>
      <c r="M10" s="1356"/>
      <c r="N10" s="1356"/>
      <c r="O10" s="629"/>
      <c r="P10" s="629"/>
      <c r="Q10" s="629"/>
      <c r="R10" s="1344"/>
    </row>
    <row r="11" spans="1:18" s="29" customFormat="1" ht="47.25" customHeight="1" x14ac:dyDescent="0.25">
      <c r="A11" s="1347"/>
      <c r="B11" s="1352"/>
      <c r="C11" s="1354"/>
      <c r="D11" s="72" t="s">
        <v>103</v>
      </c>
      <c r="E11" s="72" t="s">
        <v>104</v>
      </c>
      <c r="F11" s="72" t="s">
        <v>53</v>
      </c>
      <c r="G11" s="72" t="s">
        <v>105</v>
      </c>
      <c r="H11" s="72" t="s">
        <v>55</v>
      </c>
      <c r="I11" s="72" t="s">
        <v>106</v>
      </c>
      <c r="J11" s="73" t="s">
        <v>56</v>
      </c>
      <c r="K11" s="73" t="s">
        <v>107</v>
      </c>
      <c r="L11" s="73" t="s">
        <v>108</v>
      </c>
      <c r="M11" s="73" t="s">
        <v>57</v>
      </c>
      <c r="N11" s="74" t="s">
        <v>109</v>
      </c>
      <c r="O11" s="629"/>
      <c r="P11" s="629"/>
      <c r="Q11" s="629"/>
      <c r="R11" s="1344"/>
    </row>
    <row r="12" spans="1:18" s="38" customFormat="1" ht="24.95" customHeight="1" x14ac:dyDescent="0.25">
      <c r="A12" s="75">
        <v>1</v>
      </c>
      <c r="B12" s="30" t="s">
        <v>58</v>
      </c>
      <c r="C12" s="31">
        <v>2750.42</v>
      </c>
      <c r="D12" s="32">
        <v>14253</v>
      </c>
      <c r="E12" s="32">
        <v>14253</v>
      </c>
      <c r="F12" s="32">
        <v>474.21</v>
      </c>
      <c r="G12" s="31">
        <v>5.8</v>
      </c>
      <c r="H12" s="33">
        <f t="shared" ref="H12:H21" si="0">(E12+F12)/D12</f>
        <v>1.0332708903388759</v>
      </c>
      <c r="I12" s="31">
        <v>2750.42</v>
      </c>
      <c r="J12" s="32">
        <v>474.21</v>
      </c>
      <c r="K12" s="34">
        <f t="shared" ref="K12:K21" si="1">J12/D12</f>
        <v>3.3270890338876022E-2</v>
      </c>
      <c r="L12" s="76">
        <f t="shared" ref="L12:L21" si="2">((E12+F12)-D12)-J12</f>
        <v>-8.5265128291212022E-13</v>
      </c>
      <c r="M12" s="35">
        <f t="shared" ref="M12:M21" si="3">L12/D12</f>
        <v>-5.9822583520109472E-17</v>
      </c>
      <c r="N12" s="77">
        <f t="shared" ref="N12:N21" si="4">L12*G12</f>
        <v>-4.9453774408902973E-12</v>
      </c>
      <c r="O12" s="36" t="s">
        <v>139</v>
      </c>
      <c r="P12" s="36" t="s">
        <v>28</v>
      </c>
      <c r="Q12" s="36" t="s">
        <v>140</v>
      </c>
      <c r="R12" s="37" t="s">
        <v>59</v>
      </c>
    </row>
    <row r="13" spans="1:18" s="38" customFormat="1" ht="24.95" customHeight="1" x14ac:dyDescent="0.25">
      <c r="A13" s="78">
        <v>2</v>
      </c>
      <c r="B13" s="30" t="s">
        <v>60</v>
      </c>
      <c r="C13" s="31">
        <v>394.5</v>
      </c>
      <c r="D13" s="32">
        <v>251.62</v>
      </c>
      <c r="E13" s="32">
        <v>251.62</v>
      </c>
      <c r="F13" s="32">
        <v>7.92</v>
      </c>
      <c r="G13" s="31">
        <v>99.12</v>
      </c>
      <c r="H13" s="33">
        <f t="shared" si="0"/>
        <v>1.0314760352913124</v>
      </c>
      <c r="I13" s="31">
        <v>785.03</v>
      </c>
      <c r="J13" s="32">
        <v>3.98</v>
      </c>
      <c r="K13" s="34">
        <f t="shared" si="1"/>
        <v>1.5817502583260472E-2</v>
      </c>
      <c r="L13" s="76">
        <f t="shared" si="2"/>
        <v>3.9400000000000159</v>
      </c>
      <c r="M13" s="35">
        <f t="shared" si="3"/>
        <v>1.5658532708051887E-2</v>
      </c>
      <c r="N13" s="77">
        <f t="shared" si="4"/>
        <v>390.5328000000016</v>
      </c>
      <c r="O13" s="36" t="s">
        <v>139</v>
      </c>
      <c r="P13" s="36" t="s">
        <v>25</v>
      </c>
      <c r="Q13" s="36" t="s">
        <v>141</v>
      </c>
      <c r="R13" s="37" t="s">
        <v>59</v>
      </c>
    </row>
    <row r="14" spans="1:18" s="39" customFormat="1" ht="24.95" customHeight="1" x14ac:dyDescent="0.25">
      <c r="A14" s="78">
        <v>3</v>
      </c>
      <c r="B14" s="30" t="s">
        <v>61</v>
      </c>
      <c r="C14" s="31">
        <v>371.18</v>
      </c>
      <c r="D14" s="32">
        <v>7189</v>
      </c>
      <c r="E14" s="32">
        <v>7189</v>
      </c>
      <c r="F14" s="32">
        <v>56.41</v>
      </c>
      <c r="G14" s="31">
        <v>6.58</v>
      </c>
      <c r="H14" s="33">
        <f t="shared" si="0"/>
        <v>1.0078467102517734</v>
      </c>
      <c r="I14" s="31">
        <v>371.18</v>
      </c>
      <c r="J14" s="32">
        <v>56.41</v>
      </c>
      <c r="K14" s="34">
        <f t="shared" si="1"/>
        <v>7.8467102517735428E-3</v>
      </c>
      <c r="L14" s="76">
        <f t="shared" si="2"/>
        <v>-1.4210854715202004E-13</v>
      </c>
      <c r="M14" s="35">
        <f t="shared" si="3"/>
        <v>-1.9767498560581449E-17</v>
      </c>
      <c r="N14" s="77">
        <f t="shared" si="4"/>
        <v>-9.350742402602918E-13</v>
      </c>
      <c r="O14" s="36" t="s">
        <v>142</v>
      </c>
      <c r="P14" s="36" t="s">
        <v>26</v>
      </c>
      <c r="Q14" s="36" t="s">
        <v>143</v>
      </c>
      <c r="R14" s="37" t="s">
        <v>59</v>
      </c>
    </row>
    <row r="15" spans="1:18" s="38" customFormat="1" ht="24.95" customHeight="1" x14ac:dyDescent="0.25">
      <c r="A15" s="75">
        <v>4</v>
      </c>
      <c r="B15" s="30" t="s">
        <v>62</v>
      </c>
      <c r="C15" s="31">
        <v>320.26</v>
      </c>
      <c r="D15" s="32">
        <v>351.2</v>
      </c>
      <c r="E15" s="32">
        <v>351.2</v>
      </c>
      <c r="F15" s="32">
        <v>11.06</v>
      </c>
      <c r="G15" s="31">
        <v>111.2</v>
      </c>
      <c r="H15" s="33">
        <f t="shared" si="0"/>
        <v>1.031492027334852</v>
      </c>
      <c r="I15" s="31">
        <v>1229.8699999999999</v>
      </c>
      <c r="J15" s="32">
        <v>2.88</v>
      </c>
      <c r="K15" s="34">
        <f t="shared" si="1"/>
        <v>8.2004555808656045E-3</v>
      </c>
      <c r="L15" s="76">
        <f t="shared" si="2"/>
        <v>8.1800000000000033</v>
      </c>
      <c r="M15" s="35">
        <f t="shared" si="3"/>
        <v>2.3291571753986343E-2</v>
      </c>
      <c r="N15" s="77">
        <f t="shared" si="4"/>
        <v>909.61600000000044</v>
      </c>
      <c r="O15" s="36" t="s">
        <v>139</v>
      </c>
      <c r="P15" s="36" t="s">
        <v>25</v>
      </c>
      <c r="Q15" s="36" t="s">
        <v>144</v>
      </c>
      <c r="R15" s="37" t="s">
        <v>63</v>
      </c>
    </row>
    <row r="16" spans="1:18" s="39" customFormat="1" ht="24.95" customHeight="1" x14ac:dyDescent="0.25">
      <c r="A16" s="78">
        <v>5</v>
      </c>
      <c r="B16" s="30" t="s">
        <v>64</v>
      </c>
      <c r="C16" s="31">
        <v>259.77</v>
      </c>
      <c r="D16" s="32">
        <v>4114</v>
      </c>
      <c r="E16" s="32">
        <v>4114</v>
      </c>
      <c r="F16" s="32">
        <v>37.11</v>
      </c>
      <c r="G16" s="31">
        <v>7</v>
      </c>
      <c r="H16" s="33">
        <f t="shared" si="0"/>
        <v>1.0090204180845892</v>
      </c>
      <c r="I16" s="31">
        <v>259.77</v>
      </c>
      <c r="J16" s="32">
        <v>37.11</v>
      </c>
      <c r="K16" s="34">
        <f t="shared" si="1"/>
        <v>9.0204180845892077E-3</v>
      </c>
      <c r="L16" s="76">
        <f t="shared" si="2"/>
        <v>-3.2684965844964609E-13</v>
      </c>
      <c r="M16" s="35">
        <f t="shared" si="3"/>
        <v>-7.9448142549743822E-17</v>
      </c>
      <c r="N16" s="77">
        <f t="shared" si="4"/>
        <v>-2.2879476091475226E-12</v>
      </c>
      <c r="O16" s="36" t="s">
        <v>142</v>
      </c>
      <c r="P16" s="36" t="s">
        <v>26</v>
      </c>
      <c r="Q16" s="36" t="s">
        <v>143</v>
      </c>
      <c r="R16" s="37" t="s">
        <v>59</v>
      </c>
    </row>
    <row r="17" spans="1:18" s="38" customFormat="1" ht="24.95" customHeight="1" x14ac:dyDescent="0.25">
      <c r="A17" s="75">
        <v>6</v>
      </c>
      <c r="B17" s="30" t="s">
        <v>65</v>
      </c>
      <c r="C17" s="31">
        <v>162.11000000000001</v>
      </c>
      <c r="D17" s="32">
        <v>80.91</v>
      </c>
      <c r="E17" s="32">
        <v>80.91</v>
      </c>
      <c r="F17" s="32">
        <v>3.64</v>
      </c>
      <c r="G17" s="31">
        <v>160.5</v>
      </c>
      <c r="H17" s="33">
        <f t="shared" si="0"/>
        <v>1.0449882585588925</v>
      </c>
      <c r="I17" s="31">
        <v>584.22</v>
      </c>
      <c r="J17" s="32">
        <v>1.01</v>
      </c>
      <c r="K17" s="34">
        <f t="shared" si="1"/>
        <v>1.2483005808923496E-2</v>
      </c>
      <c r="L17" s="76">
        <f t="shared" si="2"/>
        <v>2.6300000000000008</v>
      </c>
      <c r="M17" s="35">
        <f t="shared" si="3"/>
        <v>3.2505252749969113E-2</v>
      </c>
      <c r="N17" s="77">
        <f t="shared" si="4"/>
        <v>422.11500000000012</v>
      </c>
      <c r="O17" s="36" t="s">
        <v>139</v>
      </c>
      <c r="P17" s="36" t="s">
        <v>25</v>
      </c>
      <c r="Q17" s="36" t="s">
        <v>141</v>
      </c>
      <c r="R17" s="37" t="s">
        <v>59</v>
      </c>
    </row>
    <row r="18" spans="1:18" s="39" customFormat="1" ht="24.95" customHeight="1" x14ac:dyDescent="0.25">
      <c r="A18" s="78">
        <v>7</v>
      </c>
      <c r="B18" s="30" t="s">
        <v>66</v>
      </c>
      <c r="C18" s="31">
        <v>145.93</v>
      </c>
      <c r="D18" s="32">
        <v>1845</v>
      </c>
      <c r="E18" s="32">
        <v>1845</v>
      </c>
      <c r="F18" s="32">
        <v>19.989999999999998</v>
      </c>
      <c r="G18" s="31">
        <v>7.3</v>
      </c>
      <c r="H18" s="33">
        <f t="shared" si="0"/>
        <v>1.0108346883468835</v>
      </c>
      <c r="I18" s="31">
        <v>145.93</v>
      </c>
      <c r="J18" s="32">
        <v>19.989999999999998</v>
      </c>
      <c r="K18" s="34">
        <f t="shared" si="1"/>
        <v>1.0834688346883468E-2</v>
      </c>
      <c r="L18" s="76">
        <f t="shared" si="2"/>
        <v>0</v>
      </c>
      <c r="M18" s="35">
        <f t="shared" si="3"/>
        <v>0</v>
      </c>
      <c r="N18" s="77">
        <f t="shared" si="4"/>
        <v>0</v>
      </c>
      <c r="O18" s="36" t="s">
        <v>139</v>
      </c>
      <c r="P18" s="36" t="s">
        <v>28</v>
      </c>
      <c r="Q18" s="36" t="s">
        <v>140</v>
      </c>
      <c r="R18" s="37" t="s">
        <v>67</v>
      </c>
    </row>
    <row r="19" spans="1:18" s="38" customFormat="1" ht="24.95" customHeight="1" x14ac:dyDescent="0.25">
      <c r="A19" s="75">
        <v>8</v>
      </c>
      <c r="B19" s="30" t="s">
        <v>68</v>
      </c>
      <c r="C19" s="31">
        <v>141.07</v>
      </c>
      <c r="D19" s="32">
        <v>381.18</v>
      </c>
      <c r="E19" s="32">
        <v>381.18</v>
      </c>
      <c r="F19" s="32">
        <v>11.44</v>
      </c>
      <c r="G19" s="31">
        <v>156.74</v>
      </c>
      <c r="H19" s="33">
        <f t="shared" si="0"/>
        <v>1.0300120677894957</v>
      </c>
      <c r="I19" s="31">
        <v>1793.11</v>
      </c>
      <c r="J19" s="32">
        <v>0.9</v>
      </c>
      <c r="K19" s="34">
        <f t="shared" si="1"/>
        <v>2.3610892491736186E-3</v>
      </c>
      <c r="L19" s="76">
        <f t="shared" si="2"/>
        <v>10.539999999999997</v>
      </c>
      <c r="M19" s="35">
        <f t="shared" si="3"/>
        <v>2.7650978540322151E-2</v>
      </c>
      <c r="N19" s="77">
        <f t="shared" si="4"/>
        <v>1652.0395999999996</v>
      </c>
      <c r="O19" s="36" t="s">
        <v>142</v>
      </c>
      <c r="P19" s="36" t="s">
        <v>26</v>
      </c>
      <c r="Q19" s="36" t="s">
        <v>145</v>
      </c>
      <c r="R19" s="37" t="s">
        <v>59</v>
      </c>
    </row>
    <row r="20" spans="1:18" s="38" customFormat="1" ht="24.95" customHeight="1" x14ac:dyDescent="0.25">
      <c r="A20" s="78">
        <v>9</v>
      </c>
      <c r="B20" s="30" t="s">
        <v>69</v>
      </c>
      <c r="C20" s="31">
        <v>134.05000000000001</v>
      </c>
      <c r="D20" s="32">
        <v>5200</v>
      </c>
      <c r="E20" s="32">
        <v>5200</v>
      </c>
      <c r="F20" s="32">
        <v>19.149999999999999</v>
      </c>
      <c r="G20" s="31">
        <v>7</v>
      </c>
      <c r="H20" s="33">
        <f t="shared" si="0"/>
        <v>1.0036826923076922</v>
      </c>
      <c r="I20" s="31">
        <v>134.05000000000001</v>
      </c>
      <c r="J20" s="32">
        <v>19.149999999999999</v>
      </c>
      <c r="K20" s="34">
        <f t="shared" si="1"/>
        <v>3.6826923076923074E-3</v>
      </c>
      <c r="L20" s="76">
        <f t="shared" si="2"/>
        <v>-3.6237679523765109E-13</v>
      </c>
      <c r="M20" s="35">
        <f t="shared" si="3"/>
        <v>-6.9687845238009822E-17</v>
      </c>
      <c r="N20" s="77">
        <f t="shared" si="4"/>
        <v>-2.5366375666635577E-12</v>
      </c>
      <c r="O20" s="88" t="s">
        <v>142</v>
      </c>
      <c r="P20" s="88" t="s">
        <v>26</v>
      </c>
      <c r="Q20" s="88" t="s">
        <v>143</v>
      </c>
      <c r="R20" s="37" t="s">
        <v>59</v>
      </c>
    </row>
    <row r="21" spans="1:18" s="38" customFormat="1" ht="24.95" customHeight="1" thickBot="1" x14ac:dyDescent="0.3">
      <c r="A21" s="79">
        <v>10</v>
      </c>
      <c r="B21" s="40" t="s">
        <v>70</v>
      </c>
      <c r="C21" s="41">
        <v>105.84</v>
      </c>
      <c r="D21" s="42">
        <v>40.090000000000003</v>
      </c>
      <c r="E21" s="42">
        <v>40.090000000000003</v>
      </c>
      <c r="F21" s="42">
        <v>1.8</v>
      </c>
      <c r="G21" s="41">
        <v>814.16</v>
      </c>
      <c r="H21" s="43">
        <f t="shared" si="0"/>
        <v>1.0448989773010726</v>
      </c>
      <c r="I21" s="41">
        <v>1465.49</v>
      </c>
      <c r="J21" s="42">
        <v>0.13</v>
      </c>
      <c r="K21" s="44">
        <f t="shared" si="1"/>
        <v>3.2427039161885755E-3</v>
      </c>
      <c r="L21" s="80">
        <f t="shared" si="2"/>
        <v>1.6699999999999973</v>
      </c>
      <c r="M21" s="45">
        <f t="shared" si="3"/>
        <v>4.1656273384883938E-2</v>
      </c>
      <c r="N21" s="81">
        <f t="shared" si="4"/>
        <v>1359.6471999999976</v>
      </c>
      <c r="O21" s="46" t="s">
        <v>139</v>
      </c>
      <c r="P21" s="46" t="s">
        <v>25</v>
      </c>
      <c r="Q21" s="46" t="s">
        <v>138</v>
      </c>
      <c r="R21" s="47" t="s">
        <v>71</v>
      </c>
    </row>
    <row r="22" spans="1:18" s="53" customFormat="1" ht="24.95" customHeight="1" thickBot="1" x14ac:dyDescent="0.3">
      <c r="A22" s="82"/>
      <c r="B22" s="48"/>
      <c r="C22" s="49"/>
      <c r="D22" s="49"/>
      <c r="E22" s="49"/>
      <c r="F22" s="49"/>
      <c r="G22" s="49"/>
      <c r="H22" s="50"/>
      <c r="I22" s="49"/>
      <c r="J22" s="49"/>
      <c r="K22" s="51"/>
      <c r="L22" s="83"/>
      <c r="M22" s="51"/>
      <c r="N22" s="84"/>
      <c r="O22" s="52"/>
      <c r="P22" s="52"/>
      <c r="Q22" s="52"/>
      <c r="R22" s="48"/>
    </row>
    <row r="23" spans="1:18" s="53" customFormat="1" ht="40.5" customHeight="1" x14ac:dyDescent="0.25">
      <c r="A23" s="616" t="s">
        <v>110</v>
      </c>
      <c r="B23" s="617"/>
      <c r="C23" s="617"/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28"/>
      <c r="Q23" s="628"/>
      <c r="R23" s="618"/>
    </row>
    <row r="24" spans="1:18" s="53" customFormat="1" ht="24.95" customHeight="1" x14ac:dyDescent="0.25">
      <c r="A24" s="619" t="s">
        <v>45</v>
      </c>
      <c r="B24" s="620"/>
      <c r="C24" s="620"/>
      <c r="D24" s="620" t="s">
        <v>46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9" t="s">
        <v>111</v>
      </c>
      <c r="P24" s="630" t="s">
        <v>112</v>
      </c>
      <c r="Q24" s="629" t="s">
        <v>113</v>
      </c>
      <c r="R24" s="1344" t="s">
        <v>114</v>
      </c>
    </row>
    <row r="25" spans="1:18" s="53" customFormat="1" ht="24.95" customHeight="1" x14ac:dyDescent="0.25">
      <c r="A25" s="1345" t="s">
        <v>115</v>
      </c>
      <c r="B25" s="634" t="s">
        <v>116</v>
      </c>
      <c r="C25" s="635"/>
      <c r="D25" s="636" t="s">
        <v>117</v>
      </c>
      <c r="E25" s="636"/>
      <c r="F25" s="636"/>
      <c r="G25" s="636"/>
      <c r="H25" s="636"/>
      <c r="I25" s="636"/>
      <c r="J25" s="637" t="s">
        <v>118</v>
      </c>
      <c r="K25" s="637"/>
      <c r="L25" s="637"/>
      <c r="M25" s="638"/>
      <c r="N25" s="638"/>
      <c r="O25" s="629"/>
      <c r="P25" s="629"/>
      <c r="Q25" s="629"/>
      <c r="R25" s="1344"/>
    </row>
    <row r="26" spans="1:18" s="53" customFormat="1" ht="24.95" customHeight="1" x14ac:dyDescent="0.3">
      <c r="A26" s="1346"/>
      <c r="B26" s="1351" t="s">
        <v>119</v>
      </c>
      <c r="C26" s="1353" t="s">
        <v>120</v>
      </c>
      <c r="D26" s="1355" t="s">
        <v>121</v>
      </c>
      <c r="E26" s="1355"/>
      <c r="F26" s="1355"/>
      <c r="G26" s="1355"/>
      <c r="H26" s="1355"/>
      <c r="I26" s="1355"/>
      <c r="J26" s="1356" t="s">
        <v>122</v>
      </c>
      <c r="K26" s="1359"/>
      <c r="L26" s="1357"/>
      <c r="M26" s="1356" t="s">
        <v>102</v>
      </c>
      <c r="N26" s="1357"/>
      <c r="O26" s="629"/>
      <c r="P26" s="629"/>
      <c r="Q26" s="629"/>
      <c r="R26" s="1344"/>
    </row>
    <row r="27" spans="1:18" s="53" customFormat="1" ht="50.1" customHeight="1" x14ac:dyDescent="0.25">
      <c r="A27" s="1347"/>
      <c r="B27" s="1352"/>
      <c r="C27" s="1354"/>
      <c r="D27" s="72" t="s">
        <v>52</v>
      </c>
      <c r="E27" s="72" t="s">
        <v>123</v>
      </c>
      <c r="F27" s="72" t="s">
        <v>124</v>
      </c>
      <c r="G27" s="72" t="s">
        <v>54</v>
      </c>
      <c r="H27" s="72" t="s">
        <v>125</v>
      </c>
      <c r="I27" s="72" t="s">
        <v>73</v>
      </c>
      <c r="J27" s="73" t="s">
        <v>108</v>
      </c>
      <c r="K27" s="73" t="s">
        <v>57</v>
      </c>
      <c r="L27" s="74" t="s">
        <v>126</v>
      </c>
      <c r="M27" s="73" t="s">
        <v>127</v>
      </c>
      <c r="N27" s="73" t="s">
        <v>107</v>
      </c>
      <c r="O27" s="629"/>
      <c r="P27" s="629"/>
      <c r="Q27" s="629"/>
      <c r="R27" s="1344"/>
    </row>
    <row r="28" spans="1:18" s="53" customFormat="1" ht="24.95" customHeight="1" x14ac:dyDescent="0.25">
      <c r="A28" s="75">
        <v>1</v>
      </c>
      <c r="B28" s="30" t="s">
        <v>74</v>
      </c>
      <c r="C28" s="31">
        <v>1832.82</v>
      </c>
      <c r="D28" s="32">
        <v>358.02</v>
      </c>
      <c r="E28" s="32">
        <v>358.02</v>
      </c>
      <c r="F28" s="32">
        <v>14.4</v>
      </c>
      <c r="G28" s="31">
        <v>133.88</v>
      </c>
      <c r="H28" s="54">
        <f t="shared" ref="H28:H37" si="5">(E28+F28)/D28</f>
        <v>1.0402212166918048</v>
      </c>
      <c r="I28" s="31">
        <v>1927.87</v>
      </c>
      <c r="J28" s="32">
        <v>0.71</v>
      </c>
      <c r="K28" s="34">
        <f t="shared" ref="K28:K37" si="6">J28/D28</f>
        <v>1.9831294341098264E-3</v>
      </c>
      <c r="L28" s="77">
        <f t="shared" ref="L28:L37" si="7">J28*G28</f>
        <v>95.054799999999986</v>
      </c>
      <c r="M28" s="76">
        <f t="shared" ref="M28:M37" si="8">((E28+F28)-D28)-J28</f>
        <v>13.689999999999976</v>
      </c>
      <c r="N28" s="35">
        <f t="shared" ref="N28:N37" si="9">M28/D28</f>
        <v>3.8238087257695036E-2</v>
      </c>
      <c r="O28" s="55" t="s">
        <v>133</v>
      </c>
      <c r="P28" s="56" t="s">
        <v>25</v>
      </c>
      <c r="Q28" s="56" t="s">
        <v>134</v>
      </c>
      <c r="R28" s="37" t="s">
        <v>75</v>
      </c>
    </row>
    <row r="29" spans="1:18" s="53" customFormat="1" ht="24.75" customHeight="1" x14ac:dyDescent="0.25">
      <c r="A29" s="78">
        <v>2</v>
      </c>
      <c r="B29" s="30" t="s">
        <v>76</v>
      </c>
      <c r="C29" s="31">
        <v>1698.3899999999999</v>
      </c>
      <c r="D29" s="32">
        <v>675.92</v>
      </c>
      <c r="E29" s="32">
        <v>675.92</v>
      </c>
      <c r="F29" s="32">
        <v>29.42</v>
      </c>
      <c r="G29" s="31">
        <v>60.94</v>
      </c>
      <c r="H29" s="54">
        <f t="shared" si="5"/>
        <v>1.0435258610486446</v>
      </c>
      <c r="I29" s="31">
        <v>1792.85</v>
      </c>
      <c r="J29" s="32">
        <v>1.55</v>
      </c>
      <c r="K29" s="34">
        <f t="shared" si="6"/>
        <v>2.2931707894425376E-3</v>
      </c>
      <c r="L29" s="77">
        <f t="shared" si="7"/>
        <v>94.456999999999994</v>
      </c>
      <c r="M29" s="76">
        <f t="shared" si="8"/>
        <v>27.869999999999958</v>
      </c>
      <c r="N29" s="35">
        <f t="shared" si="9"/>
        <v>4.1232690259202211E-2</v>
      </c>
      <c r="O29" s="55" t="s">
        <v>133</v>
      </c>
      <c r="P29" s="56" t="s">
        <v>25</v>
      </c>
      <c r="Q29" s="56" t="s">
        <v>134</v>
      </c>
      <c r="R29" s="37" t="s">
        <v>77</v>
      </c>
    </row>
    <row r="30" spans="1:18" s="53" customFormat="1" ht="24.95" customHeight="1" x14ac:dyDescent="0.25">
      <c r="A30" s="78">
        <v>3</v>
      </c>
      <c r="B30" s="30" t="s">
        <v>78</v>
      </c>
      <c r="C30" s="31">
        <v>1675.13</v>
      </c>
      <c r="D30" s="32">
        <v>596.64</v>
      </c>
      <c r="E30" s="32">
        <v>596.64</v>
      </c>
      <c r="F30" s="32">
        <v>23.16</v>
      </c>
      <c r="G30" s="31">
        <v>76.42</v>
      </c>
      <c r="H30" s="54">
        <f t="shared" si="5"/>
        <v>1.0388173773129525</v>
      </c>
      <c r="I30" s="31">
        <v>1769.89</v>
      </c>
      <c r="J30" s="57">
        <v>1.24</v>
      </c>
      <c r="K30" s="34">
        <f t="shared" si="6"/>
        <v>2.0783051756503084E-3</v>
      </c>
      <c r="L30" s="77">
        <f t="shared" si="7"/>
        <v>94.760800000000003</v>
      </c>
      <c r="M30" s="76">
        <f t="shared" si="8"/>
        <v>21.91999999999997</v>
      </c>
      <c r="N30" s="35">
        <f t="shared" si="9"/>
        <v>3.6739072137302174E-2</v>
      </c>
      <c r="O30" s="55" t="s">
        <v>133</v>
      </c>
      <c r="P30" s="56" t="s">
        <v>25</v>
      </c>
      <c r="Q30" s="56" t="s">
        <v>135</v>
      </c>
      <c r="R30" s="37" t="s">
        <v>79</v>
      </c>
    </row>
    <row r="31" spans="1:18" s="53" customFormat="1" ht="24.95" customHeight="1" x14ac:dyDescent="0.25">
      <c r="A31" s="75">
        <v>4</v>
      </c>
      <c r="B31" s="30" t="s">
        <v>68</v>
      </c>
      <c r="C31" s="31">
        <v>1652.04</v>
      </c>
      <c r="D31" s="32">
        <v>381.18</v>
      </c>
      <c r="E31" s="32">
        <v>381.18</v>
      </c>
      <c r="F31" s="32">
        <v>11.44</v>
      </c>
      <c r="G31" s="31">
        <v>156.74</v>
      </c>
      <c r="H31" s="54">
        <f t="shared" si="5"/>
        <v>1.0300120677894957</v>
      </c>
      <c r="I31" s="31">
        <v>1793.11</v>
      </c>
      <c r="J31" s="32">
        <v>0.9</v>
      </c>
      <c r="K31" s="34">
        <f t="shared" si="6"/>
        <v>2.3610892491736186E-3</v>
      </c>
      <c r="L31" s="77">
        <f t="shared" si="7"/>
        <v>141.066</v>
      </c>
      <c r="M31" s="76">
        <f t="shared" si="8"/>
        <v>10.539999999999997</v>
      </c>
      <c r="N31" s="35">
        <f t="shared" si="9"/>
        <v>2.7650978540322151E-2</v>
      </c>
      <c r="O31" s="55" t="s">
        <v>133</v>
      </c>
      <c r="P31" s="56" t="s">
        <v>25</v>
      </c>
      <c r="Q31" s="56" t="s">
        <v>136</v>
      </c>
      <c r="R31" s="37" t="s">
        <v>59</v>
      </c>
    </row>
    <row r="32" spans="1:18" s="53" customFormat="1" ht="24.95" customHeight="1" x14ac:dyDescent="0.25">
      <c r="A32" s="78">
        <v>5</v>
      </c>
      <c r="B32" s="30" t="s">
        <v>80</v>
      </c>
      <c r="C32" s="31">
        <v>1636.26</v>
      </c>
      <c r="D32" s="32">
        <v>297.20999999999998</v>
      </c>
      <c r="E32" s="32">
        <v>297.20999999999998</v>
      </c>
      <c r="F32" s="32">
        <v>11.04</v>
      </c>
      <c r="G32" s="31">
        <v>156.72999999999999</v>
      </c>
      <c r="H32" s="54">
        <f t="shared" si="5"/>
        <v>1.0371454527102051</v>
      </c>
      <c r="I32" s="31">
        <v>1730.3</v>
      </c>
      <c r="J32" s="32">
        <v>0.6</v>
      </c>
      <c r="K32" s="34">
        <f t="shared" si="6"/>
        <v>2.0187746038154842E-3</v>
      </c>
      <c r="L32" s="77">
        <f t="shared" si="7"/>
        <v>94.037999999999997</v>
      </c>
      <c r="M32" s="76">
        <f t="shared" si="8"/>
        <v>10.440000000000021</v>
      </c>
      <c r="N32" s="35">
        <f t="shared" si="9"/>
        <v>3.5126678106389496E-2</v>
      </c>
      <c r="O32" s="55" t="s">
        <v>133</v>
      </c>
      <c r="P32" s="56" t="s">
        <v>25</v>
      </c>
      <c r="Q32" s="56" t="s">
        <v>136</v>
      </c>
      <c r="R32" s="37" t="s">
        <v>59</v>
      </c>
    </row>
    <row r="33" spans="1:18" s="53" customFormat="1" ht="24.95" customHeight="1" x14ac:dyDescent="0.25">
      <c r="A33" s="75">
        <v>6</v>
      </c>
      <c r="B33" s="30" t="s">
        <v>81</v>
      </c>
      <c r="C33" s="31">
        <v>1634.48</v>
      </c>
      <c r="D33" s="32">
        <v>637.41999999999996</v>
      </c>
      <c r="E33" s="32">
        <v>637.41999999999996</v>
      </c>
      <c r="F33" s="32">
        <v>21.95</v>
      </c>
      <c r="G33" s="31">
        <v>78.77</v>
      </c>
      <c r="H33" s="54">
        <f t="shared" si="5"/>
        <v>1.0344356938909982</v>
      </c>
      <c r="I33" s="31">
        <v>1729</v>
      </c>
      <c r="J33" s="32">
        <v>1.2</v>
      </c>
      <c r="K33" s="34">
        <f t="shared" si="6"/>
        <v>1.8825891876627656E-3</v>
      </c>
      <c r="L33" s="77">
        <f t="shared" si="7"/>
        <v>94.523999999999987</v>
      </c>
      <c r="M33" s="76">
        <f t="shared" si="8"/>
        <v>20.750000000000046</v>
      </c>
      <c r="N33" s="35">
        <f t="shared" si="9"/>
        <v>3.2553104703335396E-2</v>
      </c>
      <c r="O33" s="55" t="s">
        <v>133</v>
      </c>
      <c r="P33" s="56" t="s">
        <v>25</v>
      </c>
      <c r="Q33" s="56" t="s">
        <v>137</v>
      </c>
      <c r="R33" s="37" t="s">
        <v>82</v>
      </c>
    </row>
    <row r="34" spans="1:18" s="53" customFormat="1" ht="24.95" customHeight="1" x14ac:dyDescent="0.25">
      <c r="A34" s="78">
        <v>7</v>
      </c>
      <c r="B34" s="30" t="s">
        <v>83</v>
      </c>
      <c r="C34" s="31">
        <v>1628.4</v>
      </c>
      <c r="D34" s="32">
        <v>497.76</v>
      </c>
      <c r="E34" s="32">
        <v>497.76</v>
      </c>
      <c r="F34" s="32">
        <v>20.16</v>
      </c>
      <c r="G34" s="31">
        <v>85.48</v>
      </c>
      <c r="H34" s="54">
        <f t="shared" si="5"/>
        <v>1.0405014464802314</v>
      </c>
      <c r="I34" s="31">
        <v>1723.28</v>
      </c>
      <c r="J34" s="32">
        <v>1.1100000000000001</v>
      </c>
      <c r="K34" s="34">
        <f t="shared" si="6"/>
        <v>2.2299903567984574E-3</v>
      </c>
      <c r="L34" s="77">
        <f t="shared" si="7"/>
        <v>94.882800000000017</v>
      </c>
      <c r="M34" s="76">
        <f t="shared" si="8"/>
        <v>19.049999999999969</v>
      </c>
      <c r="N34" s="35">
        <f t="shared" si="9"/>
        <v>3.8271456123432919E-2</v>
      </c>
      <c r="O34" s="55" t="s">
        <v>133</v>
      </c>
      <c r="P34" s="56" t="s">
        <v>25</v>
      </c>
      <c r="Q34" s="56" t="s">
        <v>134</v>
      </c>
      <c r="R34" s="37" t="s">
        <v>84</v>
      </c>
    </row>
    <row r="35" spans="1:18" s="53" customFormat="1" ht="24.95" customHeight="1" x14ac:dyDescent="0.25">
      <c r="A35" s="75">
        <v>8</v>
      </c>
      <c r="B35" s="30" t="s">
        <v>85</v>
      </c>
      <c r="C35" s="31">
        <v>1489.8700000000001</v>
      </c>
      <c r="D35" s="32">
        <v>553.86</v>
      </c>
      <c r="E35" s="32">
        <v>553.86</v>
      </c>
      <c r="F35" s="32">
        <v>19.940000000000001</v>
      </c>
      <c r="G35" s="31">
        <v>79.459999999999994</v>
      </c>
      <c r="H35" s="54">
        <f t="shared" si="5"/>
        <v>1.0360018777308346</v>
      </c>
      <c r="I35" s="31">
        <v>1584.43</v>
      </c>
      <c r="J35" s="32">
        <v>1.19</v>
      </c>
      <c r="K35" s="34">
        <f t="shared" si="6"/>
        <v>2.1485573971761814E-3</v>
      </c>
      <c r="L35" s="77">
        <f t="shared" si="7"/>
        <v>94.557399999999987</v>
      </c>
      <c r="M35" s="76">
        <f t="shared" si="8"/>
        <v>18.750000000000053</v>
      </c>
      <c r="N35" s="35">
        <f t="shared" si="9"/>
        <v>3.385332033365842E-2</v>
      </c>
      <c r="O35" s="55" t="s">
        <v>133</v>
      </c>
      <c r="P35" s="56" t="s">
        <v>25</v>
      </c>
      <c r="Q35" s="56" t="s">
        <v>137</v>
      </c>
      <c r="R35" s="37" t="s">
        <v>86</v>
      </c>
    </row>
    <row r="36" spans="1:18" s="53" customFormat="1" ht="24.95" customHeight="1" x14ac:dyDescent="0.25">
      <c r="A36" s="78">
        <v>9</v>
      </c>
      <c r="B36" s="30" t="s">
        <v>70</v>
      </c>
      <c r="C36" s="31">
        <v>1359.65</v>
      </c>
      <c r="D36" s="32">
        <v>40.090000000000003</v>
      </c>
      <c r="E36" s="32">
        <v>40.090000000000003</v>
      </c>
      <c r="F36" s="32">
        <v>1.8</v>
      </c>
      <c r="G36" s="31">
        <v>814.16</v>
      </c>
      <c r="H36" s="54">
        <f t="shared" si="5"/>
        <v>1.0448989773010726</v>
      </c>
      <c r="I36" s="31">
        <v>1465.49</v>
      </c>
      <c r="J36" s="32">
        <v>0.13</v>
      </c>
      <c r="K36" s="34">
        <f t="shared" si="6"/>
        <v>3.2427039161885755E-3</v>
      </c>
      <c r="L36" s="77">
        <f t="shared" si="7"/>
        <v>105.8408</v>
      </c>
      <c r="M36" s="76">
        <f t="shared" si="8"/>
        <v>1.6699999999999973</v>
      </c>
      <c r="N36" s="35">
        <f t="shared" si="9"/>
        <v>4.1656273384883938E-2</v>
      </c>
      <c r="O36" s="55" t="s">
        <v>133</v>
      </c>
      <c r="P36" s="56" t="s">
        <v>25</v>
      </c>
      <c r="Q36" s="56" t="s">
        <v>138</v>
      </c>
      <c r="R36" s="37" t="s">
        <v>71</v>
      </c>
    </row>
    <row r="37" spans="1:18" s="53" customFormat="1" ht="24.95" customHeight="1" thickBot="1" x14ac:dyDescent="0.3">
      <c r="A37" s="79">
        <v>10</v>
      </c>
      <c r="B37" s="40" t="s">
        <v>87</v>
      </c>
      <c r="C37" s="41">
        <v>1243.8000000000002</v>
      </c>
      <c r="D37" s="42">
        <v>219.15</v>
      </c>
      <c r="E37" s="42">
        <v>219.15</v>
      </c>
      <c r="F37" s="42">
        <v>6.9</v>
      </c>
      <c r="G37" s="41">
        <v>194.04</v>
      </c>
      <c r="H37" s="58">
        <f t="shared" si="5"/>
        <v>1.0314852840520192</v>
      </c>
      <c r="I37" s="41">
        <v>1338.88</v>
      </c>
      <c r="J37" s="42">
        <v>0.49</v>
      </c>
      <c r="K37" s="44">
        <f t="shared" si="6"/>
        <v>2.2359114761578828E-3</v>
      </c>
      <c r="L37" s="81">
        <f t="shared" si="7"/>
        <v>95.079599999999999</v>
      </c>
      <c r="M37" s="80">
        <f t="shared" si="8"/>
        <v>6.4100000000000055</v>
      </c>
      <c r="N37" s="45">
        <f t="shared" si="9"/>
        <v>2.9249372575861306E-2</v>
      </c>
      <c r="O37" s="59" t="s">
        <v>133</v>
      </c>
      <c r="P37" s="60" t="s">
        <v>25</v>
      </c>
      <c r="Q37" s="60" t="s">
        <v>135</v>
      </c>
      <c r="R37" s="61" t="s">
        <v>88</v>
      </c>
    </row>
    <row r="38" spans="1:18" ht="15.75" customHeight="1" thickBot="1" x14ac:dyDescent="0.3">
      <c r="O38" s="52"/>
      <c r="P38" s="52"/>
      <c r="Q38" s="52"/>
      <c r="R38" s="48"/>
    </row>
    <row r="39" spans="1:18" ht="40.5" customHeight="1" x14ac:dyDescent="0.35">
      <c r="A39" s="616" t="s">
        <v>89</v>
      </c>
      <c r="B39" s="617"/>
      <c r="C39" s="617"/>
      <c r="D39" s="618"/>
      <c r="E39" s="62"/>
      <c r="F39" s="63"/>
      <c r="G39" s="64"/>
      <c r="H39" s="65"/>
      <c r="I39" s="63"/>
    </row>
    <row r="40" spans="1:18" ht="26.1" customHeight="1" x14ac:dyDescent="0.35">
      <c r="A40" s="619" t="s">
        <v>128</v>
      </c>
      <c r="B40" s="620"/>
      <c r="C40" s="620"/>
      <c r="D40" s="621"/>
      <c r="E40" s="62"/>
      <c r="G40" s="64"/>
      <c r="H40" s="65"/>
    </row>
    <row r="41" spans="1:18" ht="25.5" customHeight="1" x14ac:dyDescent="0.35">
      <c r="A41" s="1360" t="s">
        <v>115</v>
      </c>
      <c r="B41" s="623" t="s">
        <v>116</v>
      </c>
      <c r="C41" s="623"/>
      <c r="D41" s="624"/>
      <c r="E41" s="62"/>
      <c r="G41" s="64"/>
      <c r="H41" s="65"/>
    </row>
    <row r="42" spans="1:18" ht="20.45" customHeight="1" x14ac:dyDescent="0.35">
      <c r="A42" s="1360"/>
      <c r="B42" s="1361" t="s">
        <v>129</v>
      </c>
      <c r="C42" s="1362" t="s">
        <v>101</v>
      </c>
      <c r="D42" s="1344" t="s">
        <v>130</v>
      </c>
      <c r="E42" s="62"/>
      <c r="G42" s="64"/>
      <c r="H42" s="65"/>
    </row>
    <row r="43" spans="1:18" ht="20.45" customHeight="1" x14ac:dyDescent="0.35">
      <c r="A43" s="1360"/>
      <c r="B43" s="1361"/>
      <c r="C43" s="1362"/>
      <c r="D43" s="1344"/>
      <c r="E43" s="62"/>
      <c r="G43" s="64"/>
      <c r="H43" s="65"/>
    </row>
    <row r="44" spans="1:18" s="68" customFormat="1" ht="24.95" customHeight="1" x14ac:dyDescent="0.35">
      <c r="A44" s="85">
        <v>1</v>
      </c>
      <c r="B44" s="30" t="s">
        <v>58</v>
      </c>
      <c r="C44" s="31">
        <v>2750.42</v>
      </c>
      <c r="D44" s="66">
        <f t="shared" ref="D44:D53" si="10">C44/$L$5</f>
        <v>0.41774808928419543</v>
      </c>
      <c r="E44" s="67"/>
      <c r="G44" s="64"/>
      <c r="H44" s="65"/>
    </row>
    <row r="45" spans="1:18" s="68" customFormat="1" ht="24.95" customHeight="1" x14ac:dyDescent="0.35">
      <c r="A45" s="86">
        <v>2</v>
      </c>
      <c r="B45" s="30" t="s">
        <v>60</v>
      </c>
      <c r="C45" s="31">
        <v>394.5</v>
      </c>
      <c r="D45" s="66">
        <f t="shared" si="10"/>
        <v>5.9918711041446429E-2</v>
      </c>
      <c r="E45" s="67"/>
      <c r="G45" s="64"/>
      <c r="H45" s="65"/>
    </row>
    <row r="46" spans="1:18" s="68" customFormat="1" ht="24.95" customHeight="1" x14ac:dyDescent="0.35">
      <c r="A46" s="86">
        <v>3</v>
      </c>
      <c r="B46" s="30" t="s">
        <v>61</v>
      </c>
      <c r="C46" s="31">
        <v>371.18</v>
      </c>
      <c r="D46" s="66">
        <f t="shared" si="10"/>
        <v>5.6376748198641538E-2</v>
      </c>
      <c r="E46" s="67"/>
      <c r="G46" s="64"/>
      <c r="H46" s="65"/>
    </row>
    <row r="47" spans="1:18" s="68" customFormat="1" ht="24.95" customHeight="1" x14ac:dyDescent="0.35">
      <c r="A47" s="85">
        <v>4</v>
      </c>
      <c r="B47" s="30" t="s">
        <v>64</v>
      </c>
      <c r="C47" s="31">
        <v>259.77</v>
      </c>
      <c r="D47" s="66">
        <f t="shared" si="10"/>
        <v>3.9455218167899972E-2</v>
      </c>
      <c r="E47" s="67"/>
      <c r="G47" s="64"/>
      <c r="H47" s="65"/>
    </row>
    <row r="48" spans="1:18" s="68" customFormat="1" ht="24.95" customHeight="1" x14ac:dyDescent="0.35">
      <c r="A48" s="86">
        <v>5</v>
      </c>
      <c r="B48" s="30" t="s">
        <v>65</v>
      </c>
      <c r="C48" s="31">
        <v>162.11000000000001</v>
      </c>
      <c r="D48" s="66">
        <f t="shared" si="10"/>
        <v>2.4622109624661298E-2</v>
      </c>
      <c r="E48" s="67"/>
      <c r="G48" s="64"/>
      <c r="H48" s="65"/>
    </row>
    <row r="49" spans="1:5" s="68" customFormat="1" ht="24.95" customHeight="1" x14ac:dyDescent="0.25">
      <c r="A49" s="85">
        <v>6</v>
      </c>
      <c r="B49" s="30" t="s">
        <v>68</v>
      </c>
      <c r="C49" s="31">
        <v>141.07</v>
      </c>
      <c r="D49" s="66">
        <f t="shared" si="10"/>
        <v>2.1426445035784152E-2</v>
      </c>
      <c r="E49" s="67"/>
    </row>
    <row r="50" spans="1:5" s="68" customFormat="1" ht="24.95" customHeight="1" x14ac:dyDescent="0.25">
      <c r="A50" s="86">
        <v>7</v>
      </c>
      <c r="B50" s="30" t="s">
        <v>69</v>
      </c>
      <c r="C50" s="31">
        <v>134.05000000000001</v>
      </c>
      <c r="D50" s="66">
        <f t="shared" si="10"/>
        <v>2.0360210938164498E-2</v>
      </c>
      <c r="E50" s="67"/>
    </row>
    <row r="51" spans="1:5" s="68" customFormat="1" ht="24.95" customHeight="1" x14ac:dyDescent="0.25">
      <c r="A51" s="85">
        <v>8</v>
      </c>
      <c r="B51" s="30" t="s">
        <v>90</v>
      </c>
      <c r="C51" s="31">
        <v>96.45</v>
      </c>
      <c r="D51" s="66">
        <f t="shared" si="10"/>
        <v>1.4649327452338426E-2</v>
      </c>
      <c r="E51" s="67"/>
    </row>
    <row r="52" spans="1:5" s="68" customFormat="1" ht="24.95" customHeight="1" x14ac:dyDescent="0.25">
      <c r="A52" s="86">
        <v>9</v>
      </c>
      <c r="B52" s="30" t="s">
        <v>91</v>
      </c>
      <c r="C52" s="31">
        <v>95.8</v>
      </c>
      <c r="D52" s="66">
        <f t="shared" si="10"/>
        <v>1.4550602072929197E-2</v>
      </c>
      <c r="E52" s="67"/>
    </row>
    <row r="53" spans="1:5" s="68" customFormat="1" ht="24.95" customHeight="1" thickBot="1" x14ac:dyDescent="0.3">
      <c r="A53" s="87">
        <v>10</v>
      </c>
      <c r="B53" s="40" t="s">
        <v>92</v>
      </c>
      <c r="C53" s="41">
        <v>95.65</v>
      </c>
      <c r="D53" s="69">
        <f t="shared" si="10"/>
        <v>1.4527819293065529E-2</v>
      </c>
      <c r="E53" s="67"/>
    </row>
    <row r="54" spans="1:5" x14ac:dyDescent="0.25">
      <c r="A54" s="614" t="s">
        <v>131</v>
      </c>
      <c r="B54" s="614"/>
      <c r="C54" s="614"/>
      <c r="D54" s="614"/>
      <c r="E54" s="614"/>
    </row>
    <row r="55" spans="1:5" x14ac:dyDescent="0.25">
      <c r="A55" s="614"/>
      <c r="B55" s="614"/>
      <c r="C55" s="614"/>
      <c r="D55" s="614"/>
      <c r="E55" s="614"/>
    </row>
    <row r="56" spans="1:5" ht="27" x14ac:dyDescent="0.25">
      <c r="A56" s="615" t="s">
        <v>132</v>
      </c>
      <c r="B56" s="615"/>
      <c r="C56" s="615"/>
      <c r="D56" s="615"/>
      <c r="E56" s="61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23" type="noConversion"/>
  <conditionalFormatting sqref="A12:A22">
    <cfRule type="containsText" dxfId="37" priority="33" operator="containsText" text="024">
      <formula>NOT(ISERROR(SEARCH("024",A12)))</formula>
    </cfRule>
    <cfRule type="containsText" dxfId="36" priority="34" operator="containsText" text="白醬">
      <formula>NOT(ISERROR(SEARCH("白醬",A12)))</formula>
    </cfRule>
    <cfRule type="containsText" dxfId="35" priority="35" operator="containsText" text="青蔥">
      <formula>NOT(ISERROR(SEARCH("青蔥",A12)))</formula>
    </cfRule>
    <cfRule type="containsText" dxfId="34" priority="36" operator="containsText" text=")川燙小青花菜">
      <formula>NOT(ISERROR(SEARCH(")川燙小青花菜",A12)))</formula>
    </cfRule>
    <cfRule type="containsText" dxfId="33" priority="37" operator="containsText" text="湯凍">
      <formula>NOT(ISERROR(SEARCH("湯凍",A12)))</formula>
    </cfRule>
    <cfRule type="containsText" dxfId="32" priority="38" operator="containsText" text="中華">
      <formula>NOT(ISERROR(SEARCH("中華",A12)))</formula>
    </cfRule>
  </conditionalFormatting>
  <conditionalFormatting sqref="A12:A22">
    <cfRule type="containsText" dxfId="31" priority="31" operator="containsText" text="綠豆芽">
      <formula>NOT(ISERROR(SEARCH("綠豆芽",A12)))</formula>
    </cfRule>
    <cfRule type="containsText" dxfId="30" priority="32" operator="containsText" text="煮白細麵生(方#12)">
      <formula>NOT(ISERROR(SEARCH("煮白細麵生(方#12)",A12)))</formula>
    </cfRule>
  </conditionalFormatting>
  <conditionalFormatting sqref="E5">
    <cfRule type="cellIs" dxfId="29" priority="16" operator="greaterThan">
      <formula>0.0025</formula>
    </cfRule>
    <cfRule type="cellIs" dxfId="28" priority="19" operator="greaterThan">
      <formula>0.0025</formula>
    </cfRule>
    <cfRule type="cellIs" dxfId="27" priority="29" operator="greaterThan">
      <formula>0.072</formula>
    </cfRule>
    <cfRule type="cellIs" dxfId="26" priority="30" operator="greaterThan">
      <formula>7.2</formula>
    </cfRule>
  </conditionalFormatting>
  <conditionalFormatting sqref="E5">
    <cfRule type="cellIs" dxfId="25" priority="28" operator="greaterThan">
      <formula>0.0025</formula>
    </cfRule>
  </conditionalFormatting>
  <conditionalFormatting sqref="A44:A53">
    <cfRule type="containsText" dxfId="24" priority="22" operator="containsText" text="024">
      <formula>NOT(ISERROR(SEARCH("024",A44)))</formula>
    </cfRule>
    <cfRule type="containsText" dxfId="23" priority="23" operator="containsText" text="白醬">
      <formula>NOT(ISERROR(SEARCH("白醬",A44)))</formula>
    </cfRule>
    <cfRule type="containsText" dxfId="22" priority="24" operator="containsText" text="青蔥">
      <formula>NOT(ISERROR(SEARCH("青蔥",A44)))</formula>
    </cfRule>
    <cfRule type="containsText" dxfId="21" priority="25" operator="containsText" text=")川燙小青花菜">
      <formula>NOT(ISERROR(SEARCH(")川燙小青花菜",A44)))</formula>
    </cfRule>
    <cfRule type="containsText" dxfId="20" priority="26" operator="containsText" text="湯凍">
      <formula>NOT(ISERROR(SEARCH("湯凍",A44)))</formula>
    </cfRule>
    <cfRule type="containsText" dxfId="19" priority="27" operator="containsText" text="中華">
      <formula>NOT(ISERROR(SEARCH("中華",A44)))</formula>
    </cfRule>
  </conditionalFormatting>
  <conditionalFormatting sqref="A44:A53">
    <cfRule type="containsText" dxfId="18" priority="20" operator="containsText" text="綠豆芽">
      <formula>NOT(ISERROR(SEARCH("綠豆芽",A44)))</formula>
    </cfRule>
    <cfRule type="containsText" dxfId="17" priority="21" operator="containsText" text="煮白細麵生(方#12)">
      <formula>NOT(ISERROR(SEARCH("煮白細麵生(方#12)",A44)))</formula>
    </cfRule>
  </conditionalFormatting>
  <conditionalFormatting sqref="D44:D53">
    <cfRule type="cellIs" dxfId="16" priority="18" operator="greaterThan">
      <formula>0.146</formula>
    </cfRule>
  </conditionalFormatting>
  <conditionalFormatting sqref="H12:H22">
    <cfRule type="cellIs" dxfId="15" priority="17" operator="greaterThan">
      <formula>1.1</formula>
    </cfRule>
  </conditionalFormatting>
  <conditionalFormatting sqref="I5">
    <cfRule type="cellIs" dxfId="14" priority="15" operator="greaterThan">
      <formula>0.2</formula>
    </cfRule>
  </conditionalFormatting>
  <conditionalFormatting sqref="A28:A37">
    <cfRule type="containsText" dxfId="13" priority="9" operator="containsText" text="024">
      <formula>NOT(ISERROR(SEARCH("024",A28)))</formula>
    </cfRule>
    <cfRule type="containsText" dxfId="12" priority="10" operator="containsText" text="白醬">
      <formula>NOT(ISERROR(SEARCH("白醬",A28)))</formula>
    </cfRule>
    <cfRule type="containsText" dxfId="11" priority="11" operator="containsText" text="青蔥">
      <formula>NOT(ISERROR(SEARCH("青蔥",A28)))</formula>
    </cfRule>
    <cfRule type="containsText" dxfId="10" priority="12" operator="containsText" text=")川燙小青花菜">
      <formula>NOT(ISERROR(SEARCH(")川燙小青花菜",A28)))</formula>
    </cfRule>
    <cfRule type="containsText" dxfId="9" priority="13" operator="containsText" text="湯凍">
      <formula>NOT(ISERROR(SEARCH("湯凍",A28)))</formula>
    </cfRule>
    <cfRule type="containsText" dxfId="8" priority="14" operator="containsText" text="中華">
      <formula>NOT(ISERROR(SEARCH("中華",A28)))</formula>
    </cfRule>
  </conditionalFormatting>
  <conditionalFormatting sqref="A28:A37">
    <cfRule type="containsText" dxfId="7" priority="7" operator="containsText" text="綠豆芽">
      <formula>NOT(ISERROR(SEARCH("綠豆芽",A28)))</formula>
    </cfRule>
    <cfRule type="containsText" dxfId="6" priority="8" operator="containsText" text="煮白細麵生(方#12)">
      <formula>NOT(ISERROR(SEARCH("煮白細麵生(方#12)",A28)))</formula>
    </cfRule>
  </conditionalFormatting>
  <conditionalFormatting sqref="H28:H37">
    <cfRule type="cellIs" dxfId="5" priority="6" operator="greaterThan">
      <formula>1.1</formula>
    </cfRule>
  </conditionalFormatting>
  <conditionalFormatting sqref="G5">
    <cfRule type="cellIs" dxfId="4" priority="1" operator="greaterThan">
      <formula>0.0025</formula>
    </cfRule>
    <cfRule type="cellIs" dxfId="3" priority="2" operator="greaterThan">
      <formula>0.0025</formula>
    </cfRule>
    <cfRule type="cellIs" dxfId="2" priority="4" operator="greaterThan">
      <formula>0.072</formula>
    </cfRule>
    <cfRule type="cellIs" dxfId="1" priority="5" operator="greaterThan">
      <formula>7.2</formula>
    </cfRule>
  </conditionalFormatting>
  <conditionalFormatting sqref="G5">
    <cfRule type="cellIs" dxfId="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6" sqref="C6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1064</v>
      </c>
    </row>
    <row r="6" spans="2:3" x14ac:dyDescent="0.25">
      <c r="C6" t="s">
        <v>26</v>
      </c>
    </row>
    <row r="7" spans="2:3" x14ac:dyDescent="0.25">
      <c r="C7" t="s">
        <v>27</v>
      </c>
    </row>
    <row r="8" spans="2:3" x14ac:dyDescent="0.25">
      <c r="C8" t="s">
        <v>28</v>
      </c>
    </row>
    <row r="9" spans="2:3" x14ac:dyDescent="0.25">
      <c r="C9" t="s">
        <v>29</v>
      </c>
    </row>
  </sheetData>
  <phoneticPr fontId="2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8766A7-F5F5-4390-9606-CF5393D40068}"/>
</file>

<file path=customXml/itemProps2.xml><?xml version="1.0" encoding="utf-8"?>
<ds:datastoreItem xmlns:ds="http://schemas.openxmlformats.org/officeDocument/2006/customXml" ds:itemID="{14A8A049-76B9-4086-96D8-5403D56DDD93}"/>
</file>

<file path=customXml/itemProps3.xml><?xml version="1.0" encoding="utf-8"?>
<ds:datastoreItem xmlns:ds="http://schemas.openxmlformats.org/officeDocument/2006/customXml" ds:itemID="{89DF120E-8B19-459F-9D02-1A2056582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日別報廢率總表 </vt:lpstr>
      <vt:lpstr>0930分析標準表 </vt:lpstr>
      <vt:lpstr>0929分析標準表 </vt:lpstr>
      <vt:lpstr>0928分析標準表 </vt:lpstr>
      <vt:lpstr>0927分析標準表 </vt:lpstr>
      <vt:lpstr>0926分析標準表 </vt:lpstr>
      <vt:lpstr>0925分析標準表 </vt:lpstr>
      <vt:lpstr>0924分析標準表 </vt:lpstr>
      <vt:lpstr>0923分析標準表 </vt:lpstr>
      <vt:lpstr>0922分析標準表 </vt:lpstr>
      <vt:lpstr>0921分析標準表 </vt:lpstr>
      <vt:lpstr>0920分析標準表 </vt:lpstr>
      <vt:lpstr>0919分析標準表 </vt:lpstr>
      <vt:lpstr>0918分析標準表 </vt:lpstr>
      <vt:lpstr>0917分析標準表 </vt:lpstr>
      <vt:lpstr>0916分析標準表 </vt:lpstr>
      <vt:lpstr>0915分析標準表 </vt:lpstr>
      <vt:lpstr>0914分析標準表 </vt:lpstr>
      <vt:lpstr>0913分析標準表 </vt:lpstr>
      <vt:lpstr>0912分析標準表 </vt:lpstr>
      <vt:lpstr>0911分析標準表 </vt:lpstr>
      <vt:lpstr>0910分析標準表 </vt:lpstr>
      <vt:lpstr>0909分析標準表 </vt:lpstr>
      <vt:lpstr>0908分析標準表 </vt:lpstr>
      <vt:lpstr>0907分析標準表 </vt:lpstr>
      <vt:lpstr>0906分析標準表 </vt:lpstr>
      <vt:lpstr>0905分析標準表 </vt:lpstr>
      <vt:lpstr>0904分析標準表 </vt:lpstr>
      <vt:lpstr>0903分析標準表 </vt:lpstr>
      <vt:lpstr>0902分析標準表 </vt:lpstr>
      <vt:lpstr>0901分析標準表 </vt:lpstr>
      <vt:lpstr>下拉式選單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2025-10-07T06:03:21Z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
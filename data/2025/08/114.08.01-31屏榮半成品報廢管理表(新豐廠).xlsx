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6.xml" ContentType="application/vnd.openxmlformats-officedocument.spreadsheetml.worksheet+xml"/>
  <Override PartName="/xl/worksheets/sheet25.xml" ContentType="application/vnd.openxmlformats-officedocument.spreadsheetml.worksheet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worksheets/sheet33.xml" ContentType="application/vnd.openxmlformats-officedocument.spreadsheetml.worksheet+xml"/>
  <Override PartName="/xl/worksheets/sheet32.xml" ContentType="application/vnd.openxmlformats-officedocument.spreadsheetml.worksheet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sharedStrings.xml" ContentType="application/vnd.openxmlformats-officedocument.spreadsheetml.sharedStrings+xml"/>
  <Override PartName="/xl/worksheets/sheet20.xml" ContentType="application/vnd.openxmlformats-officedocument.spreadsheetml.worksheet+xml"/>
  <Override PartName="/xl/worksheets/sheet18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19.xml" ContentType="application/vnd.openxmlformats-officedocument.spreadsheetml.workshee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8800" windowHeight="12270" tabRatio="829"/>
  </bookViews>
  <sheets>
    <sheet name="日別報廢率總表 " sheetId="16" r:id="rId1"/>
    <sheet name="0831分析標準表 " sheetId="376" r:id="rId2"/>
    <sheet name="0830分析標準表 " sheetId="375" r:id="rId3"/>
    <sheet name="0829分析標準表 " sheetId="370" r:id="rId4"/>
    <sheet name="0828分析標準表 " sheetId="369" r:id="rId5"/>
    <sheet name="0827分析標準表 " sheetId="368" r:id="rId6"/>
    <sheet name="0826分析標準表 " sheetId="367" r:id="rId7"/>
    <sheet name="0825分析標準表 " sheetId="364" r:id="rId8"/>
    <sheet name="0824分析標準表 " sheetId="366" r:id="rId9"/>
    <sheet name="0823分析標準表 " sheetId="362" r:id="rId10"/>
    <sheet name="0822分析標準表 " sheetId="361" r:id="rId11"/>
    <sheet name="0821分析標準表 " sheetId="360" r:id="rId12"/>
    <sheet name="0820分析標準表 " sheetId="359" r:id="rId13"/>
    <sheet name="0819分析標準表 " sheetId="358" r:id="rId14"/>
    <sheet name="0818分析標準表 " sheetId="352" r:id="rId15"/>
    <sheet name="0817分析標準表 " sheetId="351" r:id="rId16"/>
    <sheet name="0816分析標準表 " sheetId="350" r:id="rId17"/>
    <sheet name="0815分析標準表 " sheetId="349" r:id="rId18"/>
    <sheet name="0814分析標準表 " sheetId="348" r:id="rId19"/>
    <sheet name="0813分析標準表 " sheetId="347" r:id="rId20"/>
    <sheet name="0812分析標準表 " sheetId="346" r:id="rId21"/>
    <sheet name="0811分析標準表 " sheetId="345" r:id="rId22"/>
    <sheet name="0810分析標準表 " sheetId="342" r:id="rId23"/>
    <sheet name="0809分析標準表 " sheetId="343" r:id="rId24"/>
    <sheet name="0808分析標準表 " sheetId="344" r:id="rId25"/>
    <sheet name="0807分析標準表 " sheetId="341" r:id="rId26"/>
    <sheet name="0806分析標準表 " sheetId="340" r:id="rId27"/>
    <sheet name="0805分析標準表 " sheetId="334" r:id="rId28"/>
    <sheet name="0804分析標準表 " sheetId="333" r:id="rId29"/>
    <sheet name="0803分析標準表 " sheetId="332" r:id="rId30"/>
    <sheet name="0802分析標準表 " sheetId="331" r:id="rId31"/>
    <sheet name="0801分析標準表 " sheetId="319" r:id="rId32"/>
    <sheet name="下拉式選單" sheetId="14" r:id="rId3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4" i="16" l="1"/>
  <c r="E34" i="16"/>
  <c r="C34" i="16"/>
  <c r="B34" i="16"/>
  <c r="D34" i="16" s="1"/>
  <c r="K33" i="16"/>
  <c r="E33" i="16"/>
  <c r="C33" i="16"/>
  <c r="B33" i="16"/>
  <c r="D33" i="16" s="1"/>
  <c r="F34" i="16" l="1"/>
  <c r="L34" i="16"/>
  <c r="L33" i="16"/>
  <c r="F33" i="16"/>
  <c r="M37" i="376"/>
  <c r="N37" i="376" s="1"/>
  <c r="L37" i="376"/>
  <c r="K37" i="376"/>
  <c r="H37" i="376"/>
  <c r="M36" i="376"/>
  <c r="N36" i="376" s="1"/>
  <c r="L36" i="376"/>
  <c r="K36" i="376"/>
  <c r="H36" i="376"/>
  <c r="M35" i="376"/>
  <c r="N35" i="376" s="1"/>
  <c r="L35" i="376"/>
  <c r="K35" i="376"/>
  <c r="H35" i="376"/>
  <c r="M34" i="376"/>
  <c r="N34" i="376" s="1"/>
  <c r="L34" i="376"/>
  <c r="K34" i="376"/>
  <c r="H34" i="376"/>
  <c r="M33" i="376"/>
  <c r="N33" i="376" s="1"/>
  <c r="L33" i="376"/>
  <c r="K33" i="376"/>
  <c r="H33" i="376"/>
  <c r="N32" i="376"/>
  <c r="M32" i="376"/>
  <c r="L32" i="376"/>
  <c r="K32" i="376"/>
  <c r="H32" i="376"/>
  <c r="M31" i="376"/>
  <c r="N31" i="376" s="1"/>
  <c r="L31" i="376"/>
  <c r="K31" i="376"/>
  <c r="H31" i="376"/>
  <c r="M30" i="376"/>
  <c r="N30" i="376" s="1"/>
  <c r="L30" i="376"/>
  <c r="K30" i="376"/>
  <c r="H30" i="376"/>
  <c r="N29" i="376"/>
  <c r="M29" i="376"/>
  <c r="L29" i="376"/>
  <c r="K29" i="376"/>
  <c r="H29" i="376"/>
  <c r="M28" i="376"/>
  <c r="N28" i="376" s="1"/>
  <c r="L28" i="376"/>
  <c r="K28" i="376"/>
  <c r="H28" i="376"/>
  <c r="L21" i="376"/>
  <c r="N21" i="376" s="1"/>
  <c r="K21" i="376"/>
  <c r="H21" i="376"/>
  <c r="L20" i="376"/>
  <c r="N20" i="376" s="1"/>
  <c r="K20" i="376"/>
  <c r="H20" i="376"/>
  <c r="N19" i="376"/>
  <c r="L19" i="376"/>
  <c r="M19" i="376" s="1"/>
  <c r="K19" i="376"/>
  <c r="H19" i="376"/>
  <c r="L18" i="376"/>
  <c r="N18" i="376" s="1"/>
  <c r="K18" i="376"/>
  <c r="H18" i="376"/>
  <c r="L17" i="376"/>
  <c r="N17" i="376" s="1"/>
  <c r="K17" i="376"/>
  <c r="H17" i="376"/>
  <c r="L16" i="376"/>
  <c r="N16" i="376" s="1"/>
  <c r="K16" i="376"/>
  <c r="H16" i="376"/>
  <c r="L15" i="376"/>
  <c r="M15" i="376" s="1"/>
  <c r="K15" i="376"/>
  <c r="H15" i="376"/>
  <c r="L14" i="376"/>
  <c r="M14" i="376" s="1"/>
  <c r="K14" i="376"/>
  <c r="H14" i="376"/>
  <c r="L13" i="376"/>
  <c r="N13" i="376" s="1"/>
  <c r="K13" i="376"/>
  <c r="H13" i="376"/>
  <c r="L12" i="376"/>
  <c r="N12" i="376" s="1"/>
  <c r="K12" i="376"/>
  <c r="H12" i="376"/>
  <c r="D53" i="376"/>
  <c r="J5" i="376"/>
  <c r="H5" i="376"/>
  <c r="G5" i="376"/>
  <c r="E5" i="376"/>
  <c r="D53" i="375"/>
  <c r="D52" i="375"/>
  <c r="D51" i="375"/>
  <c r="D50" i="375"/>
  <c r="D49" i="375"/>
  <c r="D48" i="375"/>
  <c r="D47" i="375"/>
  <c r="D46" i="375"/>
  <c r="D45" i="375"/>
  <c r="D44" i="375"/>
  <c r="M37" i="375"/>
  <c r="N37" i="375" s="1"/>
  <c r="L37" i="375"/>
  <c r="K37" i="375"/>
  <c r="H37" i="375"/>
  <c r="N36" i="375"/>
  <c r="M36" i="375"/>
  <c r="L36" i="375"/>
  <c r="K36" i="375"/>
  <c r="H36" i="375"/>
  <c r="M35" i="375"/>
  <c r="N35" i="375" s="1"/>
  <c r="L35" i="375"/>
  <c r="K35" i="375"/>
  <c r="H35" i="375"/>
  <c r="M34" i="375"/>
  <c r="N34" i="375" s="1"/>
  <c r="L34" i="375"/>
  <c r="K34" i="375"/>
  <c r="H34" i="375"/>
  <c r="M33" i="375"/>
  <c r="N33" i="375" s="1"/>
  <c r="L33" i="375"/>
  <c r="K33" i="375"/>
  <c r="H33" i="375"/>
  <c r="N32" i="375"/>
  <c r="M32" i="375"/>
  <c r="L32" i="375"/>
  <c r="K32" i="375"/>
  <c r="H32" i="375"/>
  <c r="N31" i="375"/>
  <c r="M31" i="375"/>
  <c r="L31" i="375"/>
  <c r="K31" i="375"/>
  <c r="H31" i="375"/>
  <c r="N30" i="375"/>
  <c r="M30" i="375"/>
  <c r="L30" i="375"/>
  <c r="K30" i="375"/>
  <c r="H30" i="375"/>
  <c r="M29" i="375"/>
  <c r="N29" i="375" s="1"/>
  <c r="L29" i="375"/>
  <c r="K29" i="375"/>
  <c r="H29" i="375"/>
  <c r="N28" i="375"/>
  <c r="M28" i="375"/>
  <c r="L28" i="375"/>
  <c r="K28" i="375"/>
  <c r="H28" i="375"/>
  <c r="M21" i="375"/>
  <c r="L21" i="375"/>
  <c r="N21" i="375" s="1"/>
  <c r="K21" i="375"/>
  <c r="H21" i="375"/>
  <c r="L20" i="375"/>
  <c r="M20" i="375" s="1"/>
  <c r="K20" i="375"/>
  <c r="H20" i="375"/>
  <c r="M19" i="375"/>
  <c r="L19" i="375"/>
  <c r="N19" i="375" s="1"/>
  <c r="K19" i="375"/>
  <c r="H19" i="375"/>
  <c r="N18" i="375"/>
  <c r="L18" i="375"/>
  <c r="M18" i="375" s="1"/>
  <c r="K18" i="375"/>
  <c r="H18" i="375"/>
  <c r="L17" i="375"/>
  <c r="N17" i="375" s="1"/>
  <c r="K17" i="375"/>
  <c r="H17" i="375"/>
  <c r="L16" i="375"/>
  <c r="N16" i="375" s="1"/>
  <c r="K16" i="375"/>
  <c r="H16" i="375"/>
  <c r="M15" i="375"/>
  <c r="L15" i="375"/>
  <c r="N15" i="375" s="1"/>
  <c r="K15" i="375"/>
  <c r="H15" i="375"/>
  <c r="N14" i="375"/>
  <c r="M14" i="375"/>
  <c r="L14" i="375"/>
  <c r="K14" i="375"/>
  <c r="H14" i="375"/>
  <c r="N13" i="375"/>
  <c r="L13" i="375"/>
  <c r="M13" i="375" s="1"/>
  <c r="K13" i="375"/>
  <c r="H13" i="375"/>
  <c r="L12" i="375"/>
  <c r="M12" i="375" s="1"/>
  <c r="K12" i="375"/>
  <c r="H12" i="375"/>
  <c r="M5" i="375"/>
  <c r="K5" i="375"/>
  <c r="J5" i="375"/>
  <c r="H5" i="375"/>
  <c r="I5" i="375" s="1"/>
  <c r="G5" i="375"/>
  <c r="E5" i="375"/>
  <c r="N12" i="375" l="1"/>
  <c r="M17" i="375"/>
  <c r="N20" i="375"/>
  <c r="N14" i="376"/>
  <c r="M16" i="375"/>
  <c r="I5" i="376"/>
  <c r="G34" i="16"/>
  <c r="H34" i="16" s="1"/>
  <c r="G33" i="16"/>
  <c r="H33" i="16" s="1"/>
  <c r="K5" i="376"/>
  <c r="I34" i="16"/>
  <c r="J34" i="16" s="1"/>
  <c r="I33" i="16"/>
  <c r="J33" i="16" s="1"/>
  <c r="M17" i="376"/>
  <c r="D46" i="376"/>
  <c r="N15" i="376"/>
  <c r="D47" i="376"/>
  <c r="D50" i="376"/>
  <c r="M5" i="376"/>
  <c r="D51" i="376"/>
  <c r="M12" i="376"/>
  <c r="D44" i="376"/>
  <c r="D45" i="376"/>
  <c r="M20" i="376"/>
  <c r="M13" i="376"/>
  <c r="D48" i="376"/>
  <c r="M18" i="376"/>
  <c r="D49" i="376"/>
  <c r="M16" i="376"/>
  <c r="M21" i="376"/>
  <c r="D52" i="376"/>
  <c r="K32" i="16" l="1"/>
  <c r="E32" i="16"/>
  <c r="C32" i="16"/>
  <c r="B32" i="16"/>
  <c r="D32" i="16"/>
  <c r="D53" i="370"/>
  <c r="D52" i="370"/>
  <c r="D51" i="370"/>
  <c r="D50" i="370"/>
  <c r="D49" i="370"/>
  <c r="D48" i="370"/>
  <c r="D47" i="370"/>
  <c r="D46" i="370"/>
  <c r="D45" i="370"/>
  <c r="D44" i="370"/>
  <c r="M37" i="370"/>
  <c r="N37" i="370" s="1"/>
  <c r="L37" i="370"/>
  <c r="K37" i="370"/>
  <c r="H37" i="370"/>
  <c r="M36" i="370"/>
  <c r="N36" i="370" s="1"/>
  <c r="L36" i="370"/>
  <c r="K36" i="370"/>
  <c r="H36" i="370"/>
  <c r="M35" i="370"/>
  <c r="N35" i="370" s="1"/>
  <c r="L35" i="370"/>
  <c r="K35" i="370"/>
  <c r="H35" i="370"/>
  <c r="M34" i="370"/>
  <c r="N34" i="370" s="1"/>
  <c r="L34" i="370"/>
  <c r="K34" i="370"/>
  <c r="H34" i="370"/>
  <c r="M33" i="370"/>
  <c r="N33" i="370" s="1"/>
  <c r="L33" i="370"/>
  <c r="K33" i="370"/>
  <c r="H33" i="370"/>
  <c r="N32" i="370"/>
  <c r="M32" i="370"/>
  <c r="L32" i="370"/>
  <c r="K32" i="370"/>
  <c r="H32" i="370"/>
  <c r="M31" i="370"/>
  <c r="N31" i="370" s="1"/>
  <c r="L31" i="370"/>
  <c r="K31" i="370"/>
  <c r="H31" i="370"/>
  <c r="M30" i="370"/>
  <c r="N30" i="370" s="1"/>
  <c r="L30" i="370"/>
  <c r="K30" i="370"/>
  <c r="H30" i="370"/>
  <c r="M29" i="370"/>
  <c r="N29" i="370" s="1"/>
  <c r="L29" i="370"/>
  <c r="K29" i="370"/>
  <c r="H29" i="370"/>
  <c r="M28" i="370"/>
  <c r="N28" i="370" s="1"/>
  <c r="L28" i="370"/>
  <c r="K28" i="370"/>
  <c r="H28" i="370"/>
  <c r="L21" i="370"/>
  <c r="N21" i="370" s="1"/>
  <c r="K21" i="370"/>
  <c r="H21" i="370"/>
  <c r="L20" i="370"/>
  <c r="N20" i="370" s="1"/>
  <c r="K20" i="370"/>
  <c r="H20" i="370"/>
  <c r="L19" i="370"/>
  <c r="N19" i="370" s="1"/>
  <c r="K19" i="370"/>
  <c r="H19" i="370"/>
  <c r="L18" i="370"/>
  <c r="N18" i="370" s="1"/>
  <c r="K18" i="370"/>
  <c r="H18" i="370"/>
  <c r="L17" i="370"/>
  <c r="N17" i="370" s="1"/>
  <c r="K17" i="370"/>
  <c r="H17" i="370"/>
  <c r="L16" i="370"/>
  <c r="N16" i="370" s="1"/>
  <c r="K16" i="370"/>
  <c r="H16" i="370"/>
  <c r="L15" i="370"/>
  <c r="N15" i="370" s="1"/>
  <c r="K15" i="370"/>
  <c r="H15" i="370"/>
  <c r="L14" i="370"/>
  <c r="M14" i="370" s="1"/>
  <c r="K14" i="370"/>
  <c r="H14" i="370"/>
  <c r="L13" i="370"/>
  <c r="M13" i="370" s="1"/>
  <c r="K13" i="370"/>
  <c r="H13" i="370"/>
  <c r="L12" i="370"/>
  <c r="N12" i="370" s="1"/>
  <c r="K12" i="370"/>
  <c r="H12" i="370"/>
  <c r="M5" i="370"/>
  <c r="J5" i="370"/>
  <c r="K5" i="370" s="1"/>
  <c r="H5" i="370"/>
  <c r="I5" i="370" s="1"/>
  <c r="G5" i="370"/>
  <c r="E5" i="370"/>
  <c r="F32" i="16" l="1"/>
  <c r="G32" i="16"/>
  <c r="N14" i="370"/>
  <c r="M19" i="370"/>
  <c r="I32" i="16"/>
  <c r="J32" i="16" s="1"/>
  <c r="L32" i="16"/>
  <c r="H32" i="16"/>
  <c r="M12" i="370"/>
  <c r="N13" i="370"/>
  <c r="M17" i="370"/>
  <c r="M15" i="370"/>
  <c r="M18" i="370"/>
  <c r="M16" i="370"/>
  <c r="M20" i="370"/>
  <c r="M21" i="370"/>
  <c r="M5" i="369" l="1"/>
  <c r="K31" i="16" l="1"/>
  <c r="E31" i="16"/>
  <c r="C31" i="16"/>
  <c r="B31" i="16"/>
  <c r="F31" i="16"/>
  <c r="D31" i="16" l="1"/>
  <c r="L31" i="16"/>
  <c r="M37" i="369"/>
  <c r="N37" i="369" s="1"/>
  <c r="L37" i="369"/>
  <c r="K37" i="369"/>
  <c r="H37" i="369"/>
  <c r="N36" i="369"/>
  <c r="M36" i="369"/>
  <c r="L36" i="369"/>
  <c r="K36" i="369"/>
  <c r="H36" i="369"/>
  <c r="M35" i="369"/>
  <c r="N35" i="369" s="1"/>
  <c r="L35" i="369"/>
  <c r="K35" i="369"/>
  <c r="H35" i="369"/>
  <c r="M34" i="369"/>
  <c r="N34" i="369" s="1"/>
  <c r="L34" i="369"/>
  <c r="K34" i="369"/>
  <c r="H34" i="369"/>
  <c r="M33" i="369"/>
  <c r="N33" i="369" s="1"/>
  <c r="L33" i="369"/>
  <c r="K33" i="369"/>
  <c r="H33" i="369"/>
  <c r="N32" i="369"/>
  <c r="M32" i="369"/>
  <c r="L32" i="369"/>
  <c r="K32" i="369"/>
  <c r="H32" i="369"/>
  <c r="M31" i="369"/>
  <c r="N31" i="369" s="1"/>
  <c r="L31" i="369"/>
  <c r="K31" i="369"/>
  <c r="H31" i="369"/>
  <c r="M30" i="369"/>
  <c r="N30" i="369" s="1"/>
  <c r="L30" i="369"/>
  <c r="K30" i="369"/>
  <c r="H30" i="369"/>
  <c r="M29" i="369"/>
  <c r="N29" i="369" s="1"/>
  <c r="L29" i="369"/>
  <c r="K29" i="369"/>
  <c r="H29" i="369"/>
  <c r="M28" i="369"/>
  <c r="N28" i="369" s="1"/>
  <c r="L28" i="369"/>
  <c r="K28" i="369"/>
  <c r="H28" i="369"/>
  <c r="L21" i="369"/>
  <c r="N21" i="369" s="1"/>
  <c r="K21" i="369"/>
  <c r="H21" i="369"/>
  <c r="L20" i="369"/>
  <c r="N20" i="369" s="1"/>
  <c r="K20" i="369"/>
  <c r="H20" i="369"/>
  <c r="L19" i="369"/>
  <c r="N19" i="369" s="1"/>
  <c r="K19" i="369"/>
  <c r="H19" i="369"/>
  <c r="L18" i="369"/>
  <c r="N18" i="369" s="1"/>
  <c r="K18" i="369"/>
  <c r="H18" i="369"/>
  <c r="L17" i="369"/>
  <c r="N17" i="369" s="1"/>
  <c r="K17" i="369"/>
  <c r="H17" i="369"/>
  <c r="L16" i="369"/>
  <c r="N16" i="369" s="1"/>
  <c r="K16" i="369"/>
  <c r="H16" i="369"/>
  <c r="L15" i="369"/>
  <c r="M15" i="369" s="1"/>
  <c r="K15" i="369"/>
  <c r="H15" i="369"/>
  <c r="L14" i="369"/>
  <c r="M14" i="369" s="1"/>
  <c r="K14" i="369"/>
  <c r="H14" i="369"/>
  <c r="L13" i="369"/>
  <c r="N13" i="369" s="1"/>
  <c r="K13" i="369"/>
  <c r="H13" i="369"/>
  <c r="L12" i="369"/>
  <c r="N12" i="369" s="1"/>
  <c r="K12" i="369"/>
  <c r="H12" i="369"/>
  <c r="D53" i="369"/>
  <c r="J5" i="369"/>
  <c r="I31" i="16" s="1"/>
  <c r="J31" i="16" s="1"/>
  <c r="H5" i="369"/>
  <c r="G31" i="16" s="1"/>
  <c r="H31" i="16" s="1"/>
  <c r="G5" i="369"/>
  <c r="E5" i="369"/>
  <c r="M19" i="369" l="1"/>
  <c r="N14" i="369"/>
  <c r="I5" i="369"/>
  <c r="K5" i="369"/>
  <c r="M17" i="369"/>
  <c r="D46" i="369"/>
  <c r="D44" i="369"/>
  <c r="N15" i="369"/>
  <c r="M20" i="369"/>
  <c r="D47" i="369"/>
  <c r="D48" i="369"/>
  <c r="M13" i="369"/>
  <c r="M18" i="369"/>
  <c r="D49" i="369"/>
  <c r="M12" i="369"/>
  <c r="D45" i="369"/>
  <c r="D50" i="369"/>
  <c r="M16" i="369"/>
  <c r="D51" i="369"/>
  <c r="M21" i="369"/>
  <c r="D52" i="369"/>
  <c r="K30" i="16" l="1"/>
  <c r="E30" i="16"/>
  <c r="C30" i="16"/>
  <c r="B30" i="16"/>
  <c r="F30" i="16"/>
  <c r="D30" i="16"/>
  <c r="L30" i="16" l="1"/>
  <c r="D47" i="368" l="1"/>
  <c r="D46" i="368"/>
  <c r="M37" i="368"/>
  <c r="N37" i="368" s="1"/>
  <c r="L37" i="368"/>
  <c r="K37" i="368"/>
  <c r="H37" i="368"/>
  <c r="M36" i="368"/>
  <c r="N36" i="368" s="1"/>
  <c r="L36" i="368"/>
  <c r="K36" i="368"/>
  <c r="H36" i="368"/>
  <c r="M35" i="368"/>
  <c r="N35" i="368" s="1"/>
  <c r="L35" i="368"/>
  <c r="K35" i="368"/>
  <c r="H35" i="368"/>
  <c r="M34" i="368"/>
  <c r="N34" i="368" s="1"/>
  <c r="L34" i="368"/>
  <c r="K34" i="368"/>
  <c r="H34" i="368"/>
  <c r="M33" i="368"/>
  <c r="N33" i="368" s="1"/>
  <c r="L33" i="368"/>
  <c r="K33" i="368"/>
  <c r="H33" i="368"/>
  <c r="M32" i="368"/>
  <c r="N32" i="368" s="1"/>
  <c r="L32" i="368"/>
  <c r="K32" i="368"/>
  <c r="H32" i="368"/>
  <c r="M31" i="368"/>
  <c r="N31" i="368" s="1"/>
  <c r="L31" i="368"/>
  <c r="K31" i="368"/>
  <c r="H31" i="368"/>
  <c r="M30" i="368"/>
  <c r="N30" i="368" s="1"/>
  <c r="L30" i="368"/>
  <c r="K30" i="368"/>
  <c r="H30" i="368"/>
  <c r="M29" i="368"/>
  <c r="N29" i="368" s="1"/>
  <c r="L29" i="368"/>
  <c r="K29" i="368"/>
  <c r="H29" i="368"/>
  <c r="M28" i="368"/>
  <c r="N28" i="368" s="1"/>
  <c r="L28" i="368"/>
  <c r="K28" i="368"/>
  <c r="H28" i="368"/>
  <c r="M21" i="368"/>
  <c r="L21" i="368"/>
  <c r="N21" i="368" s="1"/>
  <c r="K21" i="368"/>
  <c r="H21" i="368"/>
  <c r="L20" i="368"/>
  <c r="N20" i="368" s="1"/>
  <c r="K20" i="368"/>
  <c r="H20" i="368"/>
  <c r="L19" i="368"/>
  <c r="N19" i="368" s="1"/>
  <c r="K19" i="368"/>
  <c r="H19" i="368"/>
  <c r="L18" i="368"/>
  <c r="N18" i="368" s="1"/>
  <c r="K18" i="368"/>
  <c r="H18" i="368"/>
  <c r="L17" i="368"/>
  <c r="N17" i="368" s="1"/>
  <c r="K17" i="368"/>
  <c r="H17" i="368"/>
  <c r="L16" i="368"/>
  <c r="M16" i="368" s="1"/>
  <c r="K16" i="368"/>
  <c r="H16" i="368"/>
  <c r="L15" i="368"/>
  <c r="M15" i="368" s="1"/>
  <c r="K15" i="368"/>
  <c r="H15" i="368"/>
  <c r="N14" i="368"/>
  <c r="L14" i="368"/>
  <c r="M14" i="368" s="1"/>
  <c r="K14" i="368"/>
  <c r="H14" i="368"/>
  <c r="L13" i="368"/>
  <c r="N13" i="368" s="1"/>
  <c r="K13" i="368"/>
  <c r="H13" i="368"/>
  <c r="L12" i="368"/>
  <c r="M12" i="368" s="1"/>
  <c r="K12" i="368"/>
  <c r="H12" i="368"/>
  <c r="D53" i="368"/>
  <c r="J5" i="368"/>
  <c r="H5" i="368"/>
  <c r="G5" i="368"/>
  <c r="E5" i="368"/>
  <c r="M19" i="368" l="1"/>
  <c r="I5" i="368"/>
  <c r="G30" i="16"/>
  <c r="H30" i="16" s="1"/>
  <c r="K5" i="368"/>
  <c r="I30" i="16"/>
  <c r="J30" i="16" s="1"/>
  <c r="N16" i="368"/>
  <c r="N12" i="368"/>
  <c r="M17" i="368"/>
  <c r="D44" i="368"/>
  <c r="D45" i="368"/>
  <c r="N15" i="368"/>
  <c r="M20" i="368"/>
  <c r="D48" i="368"/>
  <c r="M13" i="368"/>
  <c r="M18" i="368"/>
  <c r="D49" i="368"/>
  <c r="D50" i="368"/>
  <c r="M5" i="368"/>
  <c r="D51" i="368"/>
  <c r="D52" i="368"/>
  <c r="K29" i="16" l="1"/>
  <c r="E29" i="16"/>
  <c r="C29" i="16"/>
  <c r="B29" i="16"/>
  <c r="D29" i="16"/>
  <c r="F29" i="16"/>
  <c r="D53" i="367"/>
  <c r="D52" i="367"/>
  <c r="D51" i="367"/>
  <c r="D50" i="367"/>
  <c r="D49" i="367"/>
  <c r="D48" i="367"/>
  <c r="D47" i="367"/>
  <c r="D46" i="367"/>
  <c r="D45" i="367"/>
  <c r="D44" i="367"/>
  <c r="M37" i="367"/>
  <c r="N37" i="367" s="1"/>
  <c r="L37" i="367"/>
  <c r="K37" i="367"/>
  <c r="H37" i="367"/>
  <c r="N36" i="367"/>
  <c r="M36" i="367"/>
  <c r="L36" i="367"/>
  <c r="K36" i="367"/>
  <c r="H36" i="367"/>
  <c r="M35" i="367"/>
  <c r="N35" i="367" s="1"/>
  <c r="L35" i="367"/>
  <c r="K35" i="367"/>
  <c r="H35" i="367"/>
  <c r="M34" i="367"/>
  <c r="N34" i="367" s="1"/>
  <c r="L34" i="367"/>
  <c r="K34" i="367"/>
  <c r="H34" i="367"/>
  <c r="M33" i="367"/>
  <c r="N33" i="367" s="1"/>
  <c r="L33" i="367"/>
  <c r="K33" i="367"/>
  <c r="H33" i="367"/>
  <c r="M32" i="367"/>
  <c r="N32" i="367" s="1"/>
  <c r="L32" i="367"/>
  <c r="K32" i="367"/>
  <c r="H32" i="367"/>
  <c r="M31" i="367"/>
  <c r="N31" i="367" s="1"/>
  <c r="L31" i="367"/>
  <c r="K31" i="367"/>
  <c r="H31" i="367"/>
  <c r="M30" i="367"/>
  <c r="N30" i="367" s="1"/>
  <c r="L30" i="367"/>
  <c r="K30" i="367"/>
  <c r="H30" i="367"/>
  <c r="M29" i="367"/>
  <c r="N29" i="367" s="1"/>
  <c r="L29" i="367"/>
  <c r="K29" i="367"/>
  <c r="H29" i="367"/>
  <c r="N28" i="367"/>
  <c r="M28" i="367"/>
  <c r="L28" i="367"/>
  <c r="K28" i="367"/>
  <c r="H28" i="367"/>
  <c r="L21" i="367"/>
  <c r="N21" i="367" s="1"/>
  <c r="K21" i="367"/>
  <c r="H21" i="367"/>
  <c r="L20" i="367"/>
  <c r="N20" i="367" s="1"/>
  <c r="K20" i="367"/>
  <c r="H20" i="367"/>
  <c r="N19" i="367"/>
  <c r="M19" i="367"/>
  <c r="L19" i="367"/>
  <c r="K19" i="367"/>
  <c r="H19" i="367"/>
  <c r="L18" i="367"/>
  <c r="N18" i="367" s="1"/>
  <c r="K18" i="367"/>
  <c r="H18" i="367"/>
  <c r="L17" i="367"/>
  <c r="N17" i="367" s="1"/>
  <c r="K17" i="367"/>
  <c r="H17" i="367"/>
  <c r="L16" i="367"/>
  <c r="N16" i="367" s="1"/>
  <c r="K16" i="367"/>
  <c r="H16" i="367"/>
  <c r="M15" i="367"/>
  <c r="L15" i="367"/>
  <c r="N15" i="367" s="1"/>
  <c r="K15" i="367"/>
  <c r="H15" i="367"/>
  <c r="N14" i="367"/>
  <c r="L14" i="367"/>
  <c r="M14" i="367" s="1"/>
  <c r="K14" i="367"/>
  <c r="H14" i="367"/>
  <c r="L13" i="367"/>
  <c r="N13" i="367" s="1"/>
  <c r="K13" i="367"/>
  <c r="H13" i="367"/>
  <c r="L12" i="367"/>
  <c r="N12" i="367" s="1"/>
  <c r="K12" i="367"/>
  <c r="H12" i="367"/>
  <c r="M5" i="367"/>
  <c r="K5" i="367"/>
  <c r="J5" i="367"/>
  <c r="I29" i="16" s="1"/>
  <c r="J29" i="16" s="1"/>
  <c r="H5" i="367"/>
  <c r="I5" i="367" s="1"/>
  <c r="G5" i="367"/>
  <c r="E5" i="367"/>
  <c r="M16" i="367" l="1"/>
  <c r="M13" i="367"/>
  <c r="M21" i="367"/>
  <c r="M18" i="367"/>
  <c r="M12" i="367"/>
  <c r="M20" i="367"/>
  <c r="G29" i="16"/>
  <c r="H29" i="16" s="1"/>
  <c r="M17" i="367"/>
  <c r="L29" i="16"/>
  <c r="K28" i="16"/>
  <c r="E28" i="16"/>
  <c r="C28" i="16"/>
  <c r="B28" i="16"/>
  <c r="F28" i="16" s="1"/>
  <c r="K27" i="16"/>
  <c r="E27" i="16"/>
  <c r="F27" i="16" s="1"/>
  <c r="C27" i="16"/>
  <c r="D27" i="16" s="1"/>
  <c r="B27" i="16"/>
  <c r="M37" i="366"/>
  <c r="N37" i="366" s="1"/>
  <c r="L37" i="366"/>
  <c r="K37" i="366"/>
  <c r="H37" i="366"/>
  <c r="M36" i="366"/>
  <c r="N36" i="366" s="1"/>
  <c r="L36" i="366"/>
  <c r="K36" i="366"/>
  <c r="H36" i="366"/>
  <c r="N35" i="366"/>
  <c r="M35" i="366"/>
  <c r="L35" i="366"/>
  <c r="K35" i="366"/>
  <c r="H35" i="366"/>
  <c r="M34" i="366"/>
  <c r="N34" i="366" s="1"/>
  <c r="L34" i="366"/>
  <c r="K34" i="366"/>
  <c r="H34" i="366"/>
  <c r="M33" i="366"/>
  <c r="N33" i="366" s="1"/>
  <c r="L33" i="366"/>
  <c r="K33" i="366"/>
  <c r="H33" i="366"/>
  <c r="M32" i="366"/>
  <c r="N32" i="366" s="1"/>
  <c r="L32" i="366"/>
  <c r="K32" i="366"/>
  <c r="H32" i="366"/>
  <c r="M31" i="366"/>
  <c r="N31" i="366" s="1"/>
  <c r="L31" i="366"/>
  <c r="K31" i="366"/>
  <c r="H31" i="366"/>
  <c r="M30" i="366"/>
  <c r="N30" i="366" s="1"/>
  <c r="L30" i="366"/>
  <c r="K30" i="366"/>
  <c r="H30" i="366"/>
  <c r="M29" i="366"/>
  <c r="N29" i="366" s="1"/>
  <c r="L29" i="366"/>
  <c r="K29" i="366"/>
  <c r="H29" i="366"/>
  <c r="M28" i="366"/>
  <c r="N28" i="366" s="1"/>
  <c r="L28" i="366"/>
  <c r="K28" i="366"/>
  <c r="H28" i="366"/>
  <c r="L21" i="366"/>
  <c r="M21" i="366" s="1"/>
  <c r="K21" i="366"/>
  <c r="H21" i="366"/>
  <c r="L20" i="366"/>
  <c r="M20" i="366" s="1"/>
  <c r="K20" i="366"/>
  <c r="H20" i="366"/>
  <c r="L19" i="366"/>
  <c r="M19" i="366" s="1"/>
  <c r="K19" i="366"/>
  <c r="H19" i="366"/>
  <c r="L18" i="366"/>
  <c r="N18" i="366" s="1"/>
  <c r="K18" i="366"/>
  <c r="H18" i="366"/>
  <c r="L17" i="366"/>
  <c r="M17" i="366" s="1"/>
  <c r="K17" i="366"/>
  <c r="H17" i="366"/>
  <c r="L16" i="366"/>
  <c r="N16" i="366" s="1"/>
  <c r="K16" i="366"/>
  <c r="H16" i="366"/>
  <c r="L15" i="366"/>
  <c r="N15" i="366" s="1"/>
  <c r="K15" i="366"/>
  <c r="H15" i="366"/>
  <c r="L14" i="366"/>
  <c r="M14" i="366" s="1"/>
  <c r="K14" i="366"/>
  <c r="H14" i="366"/>
  <c r="L13" i="366"/>
  <c r="M13" i="366" s="1"/>
  <c r="K13" i="366"/>
  <c r="H13" i="366"/>
  <c r="L12" i="366"/>
  <c r="M12" i="366" s="1"/>
  <c r="K12" i="366"/>
  <c r="H12" i="366"/>
  <c r="D53" i="366"/>
  <c r="J5" i="366"/>
  <c r="K5" i="366" s="1"/>
  <c r="H5" i="366"/>
  <c r="I5" i="366" s="1"/>
  <c r="G5" i="366"/>
  <c r="E5" i="366"/>
  <c r="N21" i="366" l="1"/>
  <c r="N19" i="366"/>
  <c r="G27" i="16"/>
  <c r="N17" i="366"/>
  <c r="I27" i="16"/>
  <c r="J27" i="16" s="1"/>
  <c r="L28" i="16"/>
  <c r="N13" i="366"/>
  <c r="D28" i="16"/>
  <c r="L27" i="16"/>
  <c r="H27" i="16"/>
  <c r="M18" i="366"/>
  <c r="D45" i="366"/>
  <c r="N14" i="366"/>
  <c r="M15" i="366"/>
  <c r="N12" i="366"/>
  <c r="N20" i="366"/>
  <c r="D48" i="366"/>
  <c r="D49" i="366"/>
  <c r="D50" i="366"/>
  <c r="D44" i="366"/>
  <c r="M16" i="366"/>
  <c r="D47" i="366"/>
  <c r="D51" i="366"/>
  <c r="M5" i="366"/>
  <c r="D46" i="366"/>
  <c r="D52" i="366"/>
  <c r="D53" i="364" l="1"/>
  <c r="D52" i="364"/>
  <c r="D51" i="364"/>
  <c r="D50" i="364"/>
  <c r="D49" i="364"/>
  <c r="D48" i="364"/>
  <c r="D47" i="364"/>
  <c r="D46" i="364"/>
  <c r="D45" i="364"/>
  <c r="D44" i="364"/>
  <c r="M37" i="364"/>
  <c r="N37" i="364" s="1"/>
  <c r="L37" i="364"/>
  <c r="K37" i="364"/>
  <c r="H37" i="364"/>
  <c r="N36" i="364"/>
  <c r="M36" i="364"/>
  <c r="L36" i="364"/>
  <c r="K36" i="364"/>
  <c r="H36" i="364"/>
  <c r="M35" i="364"/>
  <c r="N35" i="364" s="1"/>
  <c r="L35" i="364"/>
  <c r="K35" i="364"/>
  <c r="H35" i="364"/>
  <c r="M34" i="364"/>
  <c r="N34" i="364" s="1"/>
  <c r="L34" i="364"/>
  <c r="K34" i="364"/>
  <c r="H34" i="364"/>
  <c r="M33" i="364"/>
  <c r="N33" i="364" s="1"/>
  <c r="L33" i="364"/>
  <c r="K33" i="364"/>
  <c r="H33" i="364"/>
  <c r="M32" i="364"/>
  <c r="N32" i="364" s="1"/>
  <c r="L32" i="364"/>
  <c r="K32" i="364"/>
  <c r="H32" i="364"/>
  <c r="M31" i="364"/>
  <c r="N31" i="364" s="1"/>
  <c r="L31" i="364"/>
  <c r="K31" i="364"/>
  <c r="H31" i="364"/>
  <c r="M30" i="364"/>
  <c r="N30" i="364" s="1"/>
  <c r="L30" i="364"/>
  <c r="K30" i="364"/>
  <c r="H30" i="364"/>
  <c r="M29" i="364"/>
  <c r="N29" i="364" s="1"/>
  <c r="L29" i="364"/>
  <c r="K29" i="364"/>
  <c r="H29" i="364"/>
  <c r="N28" i="364"/>
  <c r="M28" i="364"/>
  <c r="L28" i="364"/>
  <c r="K28" i="364"/>
  <c r="H28" i="364"/>
  <c r="L21" i="364"/>
  <c r="N21" i="364" s="1"/>
  <c r="K21" i="364"/>
  <c r="H21" i="364"/>
  <c r="L20" i="364"/>
  <c r="N20" i="364" s="1"/>
  <c r="K20" i="364"/>
  <c r="H20" i="364"/>
  <c r="N19" i="364"/>
  <c r="M19" i="364"/>
  <c r="L19" i="364"/>
  <c r="K19" i="364"/>
  <c r="H19" i="364"/>
  <c r="L18" i="364"/>
  <c r="N18" i="364" s="1"/>
  <c r="K18" i="364"/>
  <c r="H18" i="364"/>
  <c r="L17" i="364"/>
  <c r="N17" i="364" s="1"/>
  <c r="K17" i="364"/>
  <c r="H17" i="364"/>
  <c r="L16" i="364"/>
  <c r="N16" i="364" s="1"/>
  <c r="K16" i="364"/>
  <c r="H16" i="364"/>
  <c r="L15" i="364"/>
  <c r="N15" i="364" s="1"/>
  <c r="K15" i="364"/>
  <c r="H15" i="364"/>
  <c r="N14" i="364"/>
  <c r="L14" i="364"/>
  <c r="M14" i="364" s="1"/>
  <c r="K14" i="364"/>
  <c r="H14" i="364"/>
  <c r="L13" i="364"/>
  <c r="M13" i="364" s="1"/>
  <c r="K13" i="364"/>
  <c r="H13" i="364"/>
  <c r="L12" i="364"/>
  <c r="N12" i="364" s="1"/>
  <c r="K12" i="364"/>
  <c r="H12" i="364"/>
  <c r="M5" i="364"/>
  <c r="K5" i="364"/>
  <c r="J5" i="364"/>
  <c r="I28" i="16" s="1"/>
  <c r="J28" i="16" s="1"/>
  <c r="H5" i="364"/>
  <c r="G28" i="16" s="1"/>
  <c r="H28" i="16" s="1"/>
  <c r="G5" i="364"/>
  <c r="E5" i="364"/>
  <c r="M16" i="364" l="1"/>
  <c r="M21" i="364"/>
  <c r="N13" i="364"/>
  <c r="M18" i="364"/>
  <c r="M15" i="364"/>
  <c r="M12" i="364"/>
  <c r="M20" i="364"/>
  <c r="I5" i="364"/>
  <c r="M17" i="364"/>
  <c r="K26" i="16"/>
  <c r="E26" i="16"/>
  <c r="F26" i="16" s="1"/>
  <c r="C26" i="16"/>
  <c r="L26" i="16" s="1"/>
  <c r="B26" i="16"/>
  <c r="D26" i="16" s="1"/>
  <c r="D53" i="362"/>
  <c r="D52" i="362"/>
  <c r="D51" i="362"/>
  <c r="D50" i="362"/>
  <c r="D49" i="362"/>
  <c r="D48" i="362"/>
  <c r="D47" i="362"/>
  <c r="D46" i="362"/>
  <c r="D45" i="362"/>
  <c r="D44" i="362"/>
  <c r="N37" i="362"/>
  <c r="M37" i="362"/>
  <c r="L37" i="362"/>
  <c r="K37" i="362"/>
  <c r="H37" i="362"/>
  <c r="M36" i="362"/>
  <c r="N36" i="362" s="1"/>
  <c r="L36" i="362"/>
  <c r="K36" i="362"/>
  <c r="H36" i="362"/>
  <c r="M35" i="362"/>
  <c r="N35" i="362" s="1"/>
  <c r="L35" i="362"/>
  <c r="K35" i="362"/>
  <c r="H35" i="362"/>
  <c r="M34" i="362"/>
  <c r="N34" i="362" s="1"/>
  <c r="L34" i="362"/>
  <c r="K34" i="362"/>
  <c r="H34" i="362"/>
  <c r="M33" i="362"/>
  <c r="N33" i="362" s="1"/>
  <c r="L33" i="362"/>
  <c r="K33" i="362"/>
  <c r="H33" i="362"/>
  <c r="N32" i="362"/>
  <c r="M32" i="362"/>
  <c r="L32" i="362"/>
  <c r="K32" i="362"/>
  <c r="H32" i="362"/>
  <c r="M31" i="362"/>
  <c r="N31" i="362" s="1"/>
  <c r="L31" i="362"/>
  <c r="K31" i="362"/>
  <c r="H31" i="362"/>
  <c r="M30" i="362"/>
  <c r="N30" i="362" s="1"/>
  <c r="L30" i="362"/>
  <c r="K30" i="362"/>
  <c r="H30" i="362"/>
  <c r="N29" i="362"/>
  <c r="M29" i="362"/>
  <c r="L29" i="362"/>
  <c r="K29" i="362"/>
  <c r="H29" i="362"/>
  <c r="N28" i="362"/>
  <c r="M28" i="362"/>
  <c r="L28" i="362"/>
  <c r="K28" i="362"/>
  <c r="H28" i="362"/>
  <c r="L21" i="362"/>
  <c r="N21" i="362" s="1"/>
  <c r="K21" i="362"/>
  <c r="H21" i="362"/>
  <c r="M20" i="362"/>
  <c r="L20" i="362"/>
  <c r="N20" i="362" s="1"/>
  <c r="K20" i="362"/>
  <c r="H20" i="362"/>
  <c r="L19" i="362"/>
  <c r="N19" i="362" s="1"/>
  <c r="K19" i="362"/>
  <c r="H19" i="362"/>
  <c r="N18" i="362"/>
  <c r="L18" i="362"/>
  <c r="M18" i="362" s="1"/>
  <c r="K18" i="362"/>
  <c r="H18" i="362"/>
  <c r="L17" i="362"/>
  <c r="N17" i="362" s="1"/>
  <c r="K17" i="362"/>
  <c r="H17" i="362"/>
  <c r="L16" i="362"/>
  <c r="N16" i="362" s="1"/>
  <c r="K16" i="362"/>
  <c r="H16" i="362"/>
  <c r="N15" i="362"/>
  <c r="M15" i="362"/>
  <c r="L15" i="362"/>
  <c r="K15" i="362"/>
  <c r="H15" i="362"/>
  <c r="L14" i="362"/>
  <c r="N14" i="362" s="1"/>
  <c r="K14" i="362"/>
  <c r="H14" i="362"/>
  <c r="L13" i="362"/>
  <c r="N13" i="362" s="1"/>
  <c r="K13" i="362"/>
  <c r="H13" i="362"/>
  <c r="M12" i="362"/>
  <c r="L12" i="362"/>
  <c r="N12" i="362" s="1"/>
  <c r="K12" i="362"/>
  <c r="H12" i="362"/>
  <c r="M5" i="362"/>
  <c r="J5" i="362"/>
  <c r="K5" i="362" s="1"/>
  <c r="H5" i="362"/>
  <c r="G26" i="16" s="1"/>
  <c r="H26" i="16" s="1"/>
  <c r="G5" i="362"/>
  <c r="E5" i="362"/>
  <c r="I5" i="362" l="1"/>
  <c r="M17" i="362"/>
  <c r="M14" i="362"/>
  <c r="M19" i="362"/>
  <c r="M16" i="362"/>
  <c r="I26" i="16"/>
  <c r="J26" i="16" s="1"/>
  <c r="M13" i="362"/>
  <c r="M21" i="362"/>
  <c r="K25" i="16"/>
  <c r="E25" i="16"/>
  <c r="C25" i="16"/>
  <c r="B25" i="16"/>
  <c r="F25" i="16" s="1"/>
  <c r="D53" i="361"/>
  <c r="D52" i="361"/>
  <c r="D51" i="361"/>
  <c r="D50" i="361"/>
  <c r="D49" i="361"/>
  <c r="D48" i="361"/>
  <c r="D47" i="361"/>
  <c r="D46" i="361"/>
  <c r="D45" i="361"/>
  <c r="D44" i="361"/>
  <c r="M37" i="361"/>
  <c r="N37" i="361" s="1"/>
  <c r="L37" i="361"/>
  <c r="K37" i="361"/>
  <c r="H37" i="361"/>
  <c r="M36" i="361"/>
  <c r="N36" i="361" s="1"/>
  <c r="L36" i="361"/>
  <c r="K36" i="361"/>
  <c r="H36" i="361"/>
  <c r="M35" i="361"/>
  <c r="N35" i="361" s="1"/>
  <c r="L35" i="361"/>
  <c r="K35" i="361"/>
  <c r="H35" i="361"/>
  <c r="M34" i="361"/>
  <c r="N34" i="361" s="1"/>
  <c r="L34" i="361"/>
  <c r="K34" i="361"/>
  <c r="H34" i="361"/>
  <c r="M33" i="361"/>
  <c r="N33" i="361" s="1"/>
  <c r="L33" i="361"/>
  <c r="K33" i="361"/>
  <c r="H33" i="361"/>
  <c r="N32" i="361"/>
  <c r="M32" i="361"/>
  <c r="L32" i="361"/>
  <c r="K32" i="361"/>
  <c r="H32" i="361"/>
  <c r="M31" i="361"/>
  <c r="N31" i="361" s="1"/>
  <c r="L31" i="361"/>
  <c r="K31" i="361"/>
  <c r="H31" i="361"/>
  <c r="N30" i="361"/>
  <c r="M30" i="361"/>
  <c r="L30" i="361"/>
  <c r="K30" i="361"/>
  <c r="H30" i="361"/>
  <c r="M29" i="361"/>
  <c r="N29" i="361" s="1"/>
  <c r="L29" i="361"/>
  <c r="K29" i="361"/>
  <c r="H29" i="361"/>
  <c r="M28" i="361"/>
  <c r="N28" i="361" s="1"/>
  <c r="L28" i="361"/>
  <c r="K28" i="361"/>
  <c r="H28" i="361"/>
  <c r="N21" i="361"/>
  <c r="M21" i="361"/>
  <c r="L21" i="361"/>
  <c r="K21" i="361"/>
  <c r="H21" i="361"/>
  <c r="L20" i="361"/>
  <c r="N20" i="361" s="1"/>
  <c r="K20" i="361"/>
  <c r="H20" i="361"/>
  <c r="N19" i="361"/>
  <c r="L19" i="361"/>
  <c r="M19" i="361" s="1"/>
  <c r="K19" i="361"/>
  <c r="H19" i="361"/>
  <c r="L18" i="361"/>
  <c r="N18" i="361" s="1"/>
  <c r="K18" i="361"/>
  <c r="H18" i="361"/>
  <c r="L17" i="361"/>
  <c r="N17" i="361" s="1"/>
  <c r="K17" i="361"/>
  <c r="H17" i="361"/>
  <c r="N16" i="361"/>
  <c r="M16" i="361"/>
  <c r="L16" i="361"/>
  <c r="K16" i="361"/>
  <c r="H16" i="361"/>
  <c r="M15" i="361"/>
  <c r="L15" i="361"/>
  <c r="N15" i="361" s="1"/>
  <c r="K15" i="361"/>
  <c r="H15" i="361"/>
  <c r="L14" i="361"/>
  <c r="N14" i="361" s="1"/>
  <c r="K14" i="361"/>
  <c r="H14" i="361"/>
  <c r="M13" i="361"/>
  <c r="L13" i="361"/>
  <c r="N13" i="361" s="1"/>
  <c r="K13" i="361"/>
  <c r="H13" i="361"/>
  <c r="L12" i="361"/>
  <c r="N12" i="361" s="1"/>
  <c r="K12" i="361"/>
  <c r="H12" i="361"/>
  <c r="M5" i="361"/>
  <c r="J5" i="361"/>
  <c r="I25" i="16" s="1"/>
  <c r="J25" i="16" s="1"/>
  <c r="H5" i="361"/>
  <c r="G25" i="16" s="1"/>
  <c r="H25" i="16" s="1"/>
  <c r="G5" i="361"/>
  <c r="E5" i="361"/>
  <c r="M18" i="361" l="1"/>
  <c r="M12" i="361"/>
  <c r="M20" i="361"/>
  <c r="D25" i="16"/>
  <c r="M17" i="361"/>
  <c r="I5" i="361"/>
  <c r="M14" i="361"/>
  <c r="K5" i="361"/>
  <c r="L25" i="16"/>
  <c r="K24" i="16"/>
  <c r="E24" i="16"/>
  <c r="C24" i="16"/>
  <c r="B24" i="16"/>
  <c r="K23" i="16"/>
  <c r="E23" i="16"/>
  <c r="C23" i="16"/>
  <c r="B23" i="16"/>
  <c r="K22" i="16"/>
  <c r="E22" i="16"/>
  <c r="C22" i="16"/>
  <c r="B22" i="16"/>
  <c r="D22" i="16"/>
  <c r="F22" i="16"/>
  <c r="L22" i="16"/>
  <c r="M37" i="360"/>
  <c r="N37" i="360" s="1"/>
  <c r="L37" i="360"/>
  <c r="K37" i="360"/>
  <c r="H37" i="360"/>
  <c r="M36" i="360"/>
  <c r="N36" i="360" s="1"/>
  <c r="L36" i="360"/>
  <c r="K36" i="360"/>
  <c r="H36" i="360"/>
  <c r="M35" i="360"/>
  <c r="N35" i="360" s="1"/>
  <c r="L35" i="360"/>
  <c r="K35" i="360"/>
  <c r="H35" i="360"/>
  <c r="M34" i="360"/>
  <c r="N34" i="360" s="1"/>
  <c r="L34" i="360"/>
  <c r="K34" i="360"/>
  <c r="H34" i="360"/>
  <c r="M33" i="360"/>
  <c r="N33" i="360" s="1"/>
  <c r="L33" i="360"/>
  <c r="K33" i="360"/>
  <c r="H33" i="360"/>
  <c r="M32" i="360"/>
  <c r="N32" i="360" s="1"/>
  <c r="L32" i="360"/>
  <c r="K32" i="360"/>
  <c r="H32" i="360"/>
  <c r="M31" i="360"/>
  <c r="N31" i="360" s="1"/>
  <c r="L31" i="360"/>
  <c r="K31" i="360"/>
  <c r="H31" i="360"/>
  <c r="M30" i="360"/>
  <c r="N30" i="360" s="1"/>
  <c r="L30" i="360"/>
  <c r="K30" i="360"/>
  <c r="H30" i="360"/>
  <c r="M29" i="360"/>
  <c r="N29" i="360" s="1"/>
  <c r="L29" i="360"/>
  <c r="K29" i="360"/>
  <c r="H29" i="360"/>
  <c r="M28" i="360"/>
  <c r="N28" i="360" s="1"/>
  <c r="L28" i="360"/>
  <c r="K28" i="360"/>
  <c r="H28" i="360"/>
  <c r="L21" i="360"/>
  <c r="M21" i="360" s="1"/>
  <c r="K21" i="360"/>
  <c r="H21" i="360"/>
  <c r="L20" i="360"/>
  <c r="N20" i="360" s="1"/>
  <c r="K20" i="360"/>
  <c r="H20" i="360"/>
  <c r="L19" i="360"/>
  <c r="N19" i="360" s="1"/>
  <c r="K19" i="360"/>
  <c r="H19" i="360"/>
  <c r="L18" i="360"/>
  <c r="M18" i="360" s="1"/>
  <c r="K18" i="360"/>
  <c r="H18" i="360"/>
  <c r="L17" i="360"/>
  <c r="N17" i="360" s="1"/>
  <c r="K17" i="360"/>
  <c r="H17" i="360"/>
  <c r="L16" i="360"/>
  <c r="N16" i="360" s="1"/>
  <c r="K16" i="360"/>
  <c r="H16" i="360"/>
  <c r="L15" i="360"/>
  <c r="N15" i="360" s="1"/>
  <c r="K15" i="360"/>
  <c r="H15" i="360"/>
  <c r="L14" i="360"/>
  <c r="N14" i="360" s="1"/>
  <c r="K14" i="360"/>
  <c r="H14" i="360"/>
  <c r="L13" i="360"/>
  <c r="N13" i="360" s="1"/>
  <c r="K13" i="360"/>
  <c r="H13" i="360"/>
  <c r="L12" i="360"/>
  <c r="N12" i="360" s="1"/>
  <c r="K12" i="360"/>
  <c r="H12" i="360"/>
  <c r="D53" i="360"/>
  <c r="J5" i="360"/>
  <c r="K5" i="360" s="1"/>
  <c r="H5" i="360"/>
  <c r="I5" i="360" s="1"/>
  <c r="G5" i="360"/>
  <c r="E5" i="360"/>
  <c r="D24" i="16" l="1"/>
  <c r="F24" i="16"/>
  <c r="M14" i="360"/>
  <c r="M16" i="360"/>
  <c r="N21" i="360"/>
  <c r="G24" i="16"/>
  <c r="H24" i="16" s="1"/>
  <c r="I24" i="16"/>
  <c r="J24" i="16" s="1"/>
  <c r="M12" i="360"/>
  <c r="L23" i="16"/>
  <c r="D23" i="16"/>
  <c r="L24" i="16"/>
  <c r="F23" i="16"/>
  <c r="M19" i="360"/>
  <c r="N18" i="360"/>
  <c r="D50" i="360"/>
  <c r="M17" i="360"/>
  <c r="D44" i="360"/>
  <c r="D45" i="360"/>
  <c r="M15" i="360"/>
  <c r="D46" i="360"/>
  <c r="M20" i="360"/>
  <c r="D47" i="360"/>
  <c r="M13" i="360"/>
  <c r="D48" i="360"/>
  <c r="D49" i="360"/>
  <c r="M5" i="360"/>
  <c r="D51" i="360"/>
  <c r="D52" i="360"/>
  <c r="D53" i="359" l="1"/>
  <c r="D52" i="359"/>
  <c r="D51" i="359"/>
  <c r="D50" i="359"/>
  <c r="D49" i="359"/>
  <c r="D48" i="359"/>
  <c r="D47" i="359"/>
  <c r="D46" i="359"/>
  <c r="D45" i="359"/>
  <c r="D44" i="359"/>
  <c r="M37" i="359"/>
  <c r="N37" i="359" s="1"/>
  <c r="L37" i="359"/>
  <c r="K37" i="359"/>
  <c r="H37" i="359"/>
  <c r="M36" i="359"/>
  <c r="N36" i="359" s="1"/>
  <c r="L36" i="359"/>
  <c r="K36" i="359"/>
  <c r="H36" i="359"/>
  <c r="M35" i="359"/>
  <c r="N35" i="359" s="1"/>
  <c r="L35" i="359"/>
  <c r="K35" i="359"/>
  <c r="H35" i="359"/>
  <c r="M34" i="359"/>
  <c r="N34" i="359" s="1"/>
  <c r="L34" i="359"/>
  <c r="K34" i="359"/>
  <c r="H34" i="359"/>
  <c r="M33" i="359"/>
  <c r="N33" i="359" s="1"/>
  <c r="L33" i="359"/>
  <c r="K33" i="359"/>
  <c r="H33" i="359"/>
  <c r="M32" i="359"/>
  <c r="N32" i="359" s="1"/>
  <c r="L32" i="359"/>
  <c r="K32" i="359"/>
  <c r="H32" i="359"/>
  <c r="M31" i="359"/>
  <c r="N31" i="359" s="1"/>
  <c r="L31" i="359"/>
  <c r="K31" i="359"/>
  <c r="H31" i="359"/>
  <c r="M30" i="359"/>
  <c r="N30" i="359" s="1"/>
  <c r="L30" i="359"/>
  <c r="K30" i="359"/>
  <c r="H30" i="359"/>
  <c r="M29" i="359"/>
  <c r="N29" i="359" s="1"/>
  <c r="L29" i="359"/>
  <c r="K29" i="359"/>
  <c r="H29" i="359"/>
  <c r="M28" i="359"/>
  <c r="N28" i="359" s="1"/>
  <c r="L28" i="359"/>
  <c r="K28" i="359"/>
  <c r="H28" i="359"/>
  <c r="L21" i="359"/>
  <c r="N21" i="359" s="1"/>
  <c r="K21" i="359"/>
  <c r="H21" i="359"/>
  <c r="L20" i="359"/>
  <c r="N20" i="359" s="1"/>
  <c r="K20" i="359"/>
  <c r="H20" i="359"/>
  <c r="L19" i="359"/>
  <c r="M19" i="359" s="1"/>
  <c r="K19" i="359"/>
  <c r="H19" i="359"/>
  <c r="L18" i="359"/>
  <c r="N18" i="359" s="1"/>
  <c r="K18" i="359"/>
  <c r="H18" i="359"/>
  <c r="L17" i="359"/>
  <c r="N17" i="359" s="1"/>
  <c r="K17" i="359"/>
  <c r="H17" i="359"/>
  <c r="L16" i="359"/>
  <c r="N16" i="359" s="1"/>
  <c r="K16" i="359"/>
  <c r="H16" i="359"/>
  <c r="L15" i="359"/>
  <c r="N15" i="359" s="1"/>
  <c r="K15" i="359"/>
  <c r="H15" i="359"/>
  <c r="L14" i="359"/>
  <c r="N14" i="359" s="1"/>
  <c r="K14" i="359"/>
  <c r="H14" i="359"/>
  <c r="L13" i="359"/>
  <c r="N13" i="359" s="1"/>
  <c r="K13" i="359"/>
  <c r="H13" i="359"/>
  <c r="L12" i="359"/>
  <c r="N12" i="359" s="1"/>
  <c r="K12" i="359"/>
  <c r="H12" i="359"/>
  <c r="M5" i="359"/>
  <c r="J5" i="359"/>
  <c r="H5" i="359"/>
  <c r="G5" i="359"/>
  <c r="E5" i="359"/>
  <c r="I5" i="359" l="1"/>
  <c r="G23" i="16"/>
  <c r="H23" i="16" s="1"/>
  <c r="K5" i="359"/>
  <c r="I23" i="16"/>
  <c r="J23" i="16" s="1"/>
  <c r="M17" i="359"/>
  <c r="M12" i="359"/>
  <c r="M18" i="359"/>
  <c r="M13" i="359"/>
  <c r="N19" i="359"/>
  <c r="M14" i="359"/>
  <c r="M20" i="359"/>
  <c r="M15" i="359"/>
  <c r="M21" i="359"/>
  <c r="M16" i="359"/>
  <c r="M37" i="358" l="1"/>
  <c r="N37" i="358" s="1"/>
  <c r="L37" i="358"/>
  <c r="K37" i="358"/>
  <c r="H37" i="358"/>
  <c r="M36" i="358"/>
  <c r="N36" i="358" s="1"/>
  <c r="L36" i="358"/>
  <c r="K36" i="358"/>
  <c r="H36" i="358"/>
  <c r="M35" i="358"/>
  <c r="N35" i="358" s="1"/>
  <c r="L35" i="358"/>
  <c r="K35" i="358"/>
  <c r="H35" i="358"/>
  <c r="M34" i="358"/>
  <c r="N34" i="358" s="1"/>
  <c r="L34" i="358"/>
  <c r="K34" i="358"/>
  <c r="H34" i="358"/>
  <c r="M33" i="358"/>
  <c r="N33" i="358" s="1"/>
  <c r="L33" i="358"/>
  <c r="K33" i="358"/>
  <c r="H33" i="358"/>
  <c r="M32" i="358"/>
  <c r="N32" i="358" s="1"/>
  <c r="L32" i="358"/>
  <c r="K32" i="358"/>
  <c r="H32" i="358"/>
  <c r="M31" i="358"/>
  <c r="N31" i="358" s="1"/>
  <c r="L31" i="358"/>
  <c r="K31" i="358"/>
  <c r="H31" i="358"/>
  <c r="M30" i="358"/>
  <c r="N30" i="358" s="1"/>
  <c r="L30" i="358"/>
  <c r="K30" i="358"/>
  <c r="H30" i="358"/>
  <c r="N29" i="358"/>
  <c r="M29" i="358"/>
  <c r="L29" i="358"/>
  <c r="K29" i="358"/>
  <c r="H29" i="358"/>
  <c r="M28" i="358"/>
  <c r="N28" i="358" s="1"/>
  <c r="L28" i="358"/>
  <c r="K28" i="358"/>
  <c r="H28" i="358"/>
  <c r="L21" i="358"/>
  <c r="M21" i="358" s="1"/>
  <c r="K21" i="358"/>
  <c r="H21" i="358"/>
  <c r="L20" i="358"/>
  <c r="N20" i="358" s="1"/>
  <c r="K20" i="358"/>
  <c r="H20" i="358"/>
  <c r="L19" i="358"/>
  <c r="N19" i="358" s="1"/>
  <c r="K19" i="358"/>
  <c r="H19" i="358"/>
  <c r="L18" i="358"/>
  <c r="N18" i="358" s="1"/>
  <c r="K18" i="358"/>
  <c r="H18" i="358"/>
  <c r="L17" i="358"/>
  <c r="N17" i="358" s="1"/>
  <c r="K17" i="358"/>
  <c r="H17" i="358"/>
  <c r="L16" i="358"/>
  <c r="N16" i="358" s="1"/>
  <c r="K16" i="358"/>
  <c r="H16" i="358"/>
  <c r="L15" i="358"/>
  <c r="N15" i="358" s="1"/>
  <c r="K15" i="358"/>
  <c r="H15" i="358"/>
  <c r="M14" i="358"/>
  <c r="L14" i="358"/>
  <c r="N14" i="358" s="1"/>
  <c r="K14" i="358"/>
  <c r="H14" i="358"/>
  <c r="L13" i="358"/>
  <c r="N13" i="358" s="1"/>
  <c r="K13" i="358"/>
  <c r="H13" i="358"/>
  <c r="L12" i="358"/>
  <c r="N12" i="358" s="1"/>
  <c r="K12" i="358"/>
  <c r="H12" i="358"/>
  <c r="D53" i="358"/>
  <c r="J5" i="358"/>
  <c r="H5" i="358"/>
  <c r="G5" i="358"/>
  <c r="E5" i="358"/>
  <c r="I5" i="358" l="1"/>
  <c r="G22" i="16"/>
  <c r="H22" i="16" s="1"/>
  <c r="N21" i="358"/>
  <c r="K5" i="358"/>
  <c r="I22" i="16"/>
  <c r="J22" i="16" s="1"/>
  <c r="M12" i="358"/>
  <c r="M19" i="358"/>
  <c r="M17" i="358"/>
  <c r="D44" i="358"/>
  <c r="D45" i="358"/>
  <c r="M15" i="358"/>
  <c r="D46" i="358"/>
  <c r="M20" i="358"/>
  <c r="D47" i="358"/>
  <c r="M13" i="358"/>
  <c r="D48" i="358"/>
  <c r="M18" i="358"/>
  <c r="D49" i="358"/>
  <c r="D50" i="358"/>
  <c r="M5" i="358"/>
  <c r="M16" i="358"/>
  <c r="D51" i="358"/>
  <c r="D52" i="358"/>
  <c r="B21" i="16" l="1"/>
  <c r="M37" i="352"/>
  <c r="N37" i="352" s="1"/>
  <c r="L37" i="352"/>
  <c r="K37" i="352"/>
  <c r="H37" i="352"/>
  <c r="M36" i="352"/>
  <c r="N36" i="352" s="1"/>
  <c r="L36" i="352"/>
  <c r="K36" i="352"/>
  <c r="H36" i="352"/>
  <c r="M35" i="352"/>
  <c r="N35" i="352" s="1"/>
  <c r="L35" i="352"/>
  <c r="K35" i="352"/>
  <c r="H35" i="352"/>
  <c r="M34" i="352"/>
  <c r="N34" i="352" s="1"/>
  <c r="L34" i="352"/>
  <c r="K34" i="352"/>
  <c r="H34" i="352"/>
  <c r="N33" i="352"/>
  <c r="M33" i="352"/>
  <c r="L33" i="352"/>
  <c r="K33" i="352"/>
  <c r="H33" i="352"/>
  <c r="M32" i="352"/>
  <c r="N32" i="352" s="1"/>
  <c r="L32" i="352"/>
  <c r="K32" i="352"/>
  <c r="H32" i="352"/>
  <c r="M31" i="352"/>
  <c r="N31" i="352" s="1"/>
  <c r="L31" i="352"/>
  <c r="K31" i="352"/>
  <c r="H31" i="352"/>
  <c r="N30" i="352"/>
  <c r="M30" i="352"/>
  <c r="L30" i="352"/>
  <c r="K30" i="352"/>
  <c r="H30" i="352"/>
  <c r="M29" i="352"/>
  <c r="N29" i="352" s="1"/>
  <c r="L29" i="352"/>
  <c r="K29" i="352"/>
  <c r="H29" i="352"/>
  <c r="M28" i="352"/>
  <c r="N28" i="352" s="1"/>
  <c r="L28" i="352"/>
  <c r="K28" i="352"/>
  <c r="H28" i="352"/>
  <c r="M21" i="352"/>
  <c r="L21" i="352"/>
  <c r="N21" i="352" s="1"/>
  <c r="K21" i="352"/>
  <c r="H21" i="352"/>
  <c r="L20" i="352"/>
  <c r="N20" i="352" s="1"/>
  <c r="K20" i="352"/>
  <c r="H20" i="352"/>
  <c r="N19" i="352"/>
  <c r="L19" i="352"/>
  <c r="M19" i="352" s="1"/>
  <c r="K19" i="352"/>
  <c r="H19" i="352"/>
  <c r="L18" i="352"/>
  <c r="N18" i="352" s="1"/>
  <c r="K18" i="352"/>
  <c r="H18" i="352"/>
  <c r="L17" i="352"/>
  <c r="N17" i="352" s="1"/>
  <c r="K17" i="352"/>
  <c r="H17" i="352"/>
  <c r="N16" i="352"/>
  <c r="M16" i="352"/>
  <c r="L16" i="352"/>
  <c r="K16" i="352"/>
  <c r="H16" i="352"/>
  <c r="L15" i="352"/>
  <c r="N15" i="352" s="1"/>
  <c r="K15" i="352"/>
  <c r="H15" i="352"/>
  <c r="L14" i="352"/>
  <c r="N14" i="352" s="1"/>
  <c r="K14" i="352"/>
  <c r="H14" i="352"/>
  <c r="M13" i="352"/>
  <c r="L13" i="352"/>
  <c r="N13" i="352" s="1"/>
  <c r="K13" i="352"/>
  <c r="H13" i="352"/>
  <c r="L12" i="352"/>
  <c r="N12" i="352" s="1"/>
  <c r="K12" i="352"/>
  <c r="H12" i="352"/>
  <c r="K21" i="16"/>
  <c r="J5" i="352"/>
  <c r="I21" i="16" s="1"/>
  <c r="H5" i="352"/>
  <c r="G21" i="16" s="1"/>
  <c r="E21" i="16"/>
  <c r="C21" i="16"/>
  <c r="M18" i="352" l="1"/>
  <c r="M15" i="352"/>
  <c r="M12" i="352"/>
  <c r="M20" i="352"/>
  <c r="M17" i="352"/>
  <c r="M14" i="352"/>
  <c r="L21" i="16"/>
  <c r="D21" i="16"/>
  <c r="H21" i="16"/>
  <c r="F21" i="16"/>
  <c r="J21" i="16"/>
  <c r="E5" i="352"/>
  <c r="D53" i="352"/>
  <c r="D44" i="352"/>
  <c r="G5" i="352"/>
  <c r="D45" i="352"/>
  <c r="D46" i="352"/>
  <c r="I5" i="352"/>
  <c r="D47" i="352"/>
  <c r="D48" i="352"/>
  <c r="K5" i="352"/>
  <c r="D49" i="352"/>
  <c r="D50" i="352"/>
  <c r="M5" i="352"/>
  <c r="D51" i="352"/>
  <c r="D52" i="352"/>
  <c r="K20" i="16"/>
  <c r="E20" i="16"/>
  <c r="C20" i="16"/>
  <c r="D20" i="16" s="1"/>
  <c r="B20" i="16"/>
  <c r="K19" i="16"/>
  <c r="E19" i="16"/>
  <c r="C19" i="16"/>
  <c r="B19" i="16"/>
  <c r="K18" i="16"/>
  <c r="E18" i="16"/>
  <c r="C18" i="16"/>
  <c r="B18" i="16"/>
  <c r="D18" i="16" s="1"/>
  <c r="K17" i="16"/>
  <c r="L17" i="16" s="1"/>
  <c r="G17" i="16"/>
  <c r="H17" i="16" s="1"/>
  <c r="E17" i="16"/>
  <c r="C17" i="16"/>
  <c r="D17" i="16" s="1"/>
  <c r="B17" i="16"/>
  <c r="F17" i="16"/>
  <c r="F20" i="16"/>
  <c r="M37" i="351"/>
  <c r="N37" i="351" s="1"/>
  <c r="L37" i="351"/>
  <c r="K37" i="351"/>
  <c r="H37" i="351"/>
  <c r="M36" i="351"/>
  <c r="N36" i="351" s="1"/>
  <c r="L36" i="351"/>
  <c r="K36" i="351"/>
  <c r="H36" i="351"/>
  <c r="M35" i="351"/>
  <c r="N35" i="351" s="1"/>
  <c r="L35" i="351"/>
  <c r="K35" i="351"/>
  <c r="H35" i="351"/>
  <c r="M34" i="351"/>
  <c r="N34" i="351" s="1"/>
  <c r="L34" i="351"/>
  <c r="K34" i="351"/>
  <c r="H34" i="351"/>
  <c r="M33" i="351"/>
  <c r="N33" i="351" s="1"/>
  <c r="L33" i="351"/>
  <c r="K33" i="351"/>
  <c r="H33" i="351"/>
  <c r="M32" i="351"/>
  <c r="N32" i="351" s="1"/>
  <c r="L32" i="351"/>
  <c r="K32" i="351"/>
  <c r="H32" i="351"/>
  <c r="M31" i="351"/>
  <c r="N31" i="351" s="1"/>
  <c r="L31" i="351"/>
  <c r="K31" i="351"/>
  <c r="H31" i="351"/>
  <c r="M30" i="351"/>
  <c r="N30" i="351" s="1"/>
  <c r="L30" i="351"/>
  <c r="K30" i="351"/>
  <c r="H30" i="351"/>
  <c r="M29" i="351"/>
  <c r="N29" i="351" s="1"/>
  <c r="L29" i="351"/>
  <c r="K29" i="351"/>
  <c r="H29" i="351"/>
  <c r="M28" i="351"/>
  <c r="N28" i="351" s="1"/>
  <c r="L28" i="351"/>
  <c r="K28" i="351"/>
  <c r="H28" i="351"/>
  <c r="L21" i="351"/>
  <c r="N21" i="351" s="1"/>
  <c r="K21" i="351"/>
  <c r="H21" i="351"/>
  <c r="L20" i="351"/>
  <c r="M20" i="351" s="1"/>
  <c r="K20" i="351"/>
  <c r="H20" i="351"/>
  <c r="L19" i="351"/>
  <c r="N19" i="351" s="1"/>
  <c r="K19" i="351"/>
  <c r="H19" i="351"/>
  <c r="L18" i="351"/>
  <c r="M18" i="351" s="1"/>
  <c r="K18" i="351"/>
  <c r="H18" i="351"/>
  <c r="L17" i="351"/>
  <c r="N17" i="351" s="1"/>
  <c r="K17" i="351"/>
  <c r="H17" i="351"/>
  <c r="L16" i="351"/>
  <c r="N16" i="351" s="1"/>
  <c r="K16" i="351"/>
  <c r="H16" i="351"/>
  <c r="L15" i="351"/>
  <c r="N15" i="351" s="1"/>
  <c r="K15" i="351"/>
  <c r="H15" i="351"/>
  <c r="L14" i="351"/>
  <c r="N14" i="351" s="1"/>
  <c r="K14" i="351"/>
  <c r="H14" i="351"/>
  <c r="L13" i="351"/>
  <c r="N13" i="351" s="1"/>
  <c r="K13" i="351"/>
  <c r="H13" i="351"/>
  <c r="L12" i="351"/>
  <c r="N12" i="351" s="1"/>
  <c r="K12" i="351"/>
  <c r="H12" i="351"/>
  <c r="D53" i="351"/>
  <c r="J5" i="351"/>
  <c r="K5" i="351" s="1"/>
  <c r="H5" i="351"/>
  <c r="I5" i="351" s="1"/>
  <c r="G5" i="351"/>
  <c r="E5" i="351"/>
  <c r="M37" i="350"/>
  <c r="N37" i="350" s="1"/>
  <c r="L37" i="350"/>
  <c r="K37" i="350"/>
  <c r="H37" i="350"/>
  <c r="M36" i="350"/>
  <c r="N36" i="350" s="1"/>
  <c r="L36" i="350"/>
  <c r="K36" i="350"/>
  <c r="H36" i="350"/>
  <c r="M35" i="350"/>
  <c r="N35" i="350" s="1"/>
  <c r="L35" i="350"/>
  <c r="K35" i="350"/>
  <c r="H35" i="350"/>
  <c r="M34" i="350"/>
  <c r="N34" i="350" s="1"/>
  <c r="L34" i="350"/>
  <c r="K34" i="350"/>
  <c r="H34" i="350"/>
  <c r="M33" i="350"/>
  <c r="N33" i="350" s="1"/>
  <c r="L33" i="350"/>
  <c r="K33" i="350"/>
  <c r="H33" i="350"/>
  <c r="N32" i="350"/>
  <c r="M32" i="350"/>
  <c r="L32" i="350"/>
  <c r="K32" i="350"/>
  <c r="H32" i="350"/>
  <c r="M31" i="350"/>
  <c r="N31" i="350" s="1"/>
  <c r="L31" i="350"/>
  <c r="K31" i="350"/>
  <c r="H31" i="350"/>
  <c r="M30" i="350"/>
  <c r="N30" i="350" s="1"/>
  <c r="L30" i="350"/>
  <c r="K30" i="350"/>
  <c r="H30" i="350"/>
  <c r="M29" i="350"/>
  <c r="N29" i="350" s="1"/>
  <c r="L29" i="350"/>
  <c r="K29" i="350"/>
  <c r="H29" i="350"/>
  <c r="M28" i="350"/>
  <c r="N28" i="350" s="1"/>
  <c r="L28" i="350"/>
  <c r="K28" i="350"/>
  <c r="H28" i="350"/>
  <c r="L21" i="350"/>
  <c r="N21" i="350" s="1"/>
  <c r="K21" i="350"/>
  <c r="H21" i="350"/>
  <c r="L20" i="350"/>
  <c r="M20" i="350" s="1"/>
  <c r="K20" i="350"/>
  <c r="H20" i="350"/>
  <c r="L19" i="350"/>
  <c r="N19" i="350" s="1"/>
  <c r="K19" i="350"/>
  <c r="H19" i="350"/>
  <c r="L18" i="350"/>
  <c r="M18" i="350" s="1"/>
  <c r="K18" i="350"/>
  <c r="H18" i="350"/>
  <c r="L17" i="350"/>
  <c r="M17" i="350" s="1"/>
  <c r="K17" i="350"/>
  <c r="H17" i="350"/>
  <c r="L16" i="350"/>
  <c r="N16" i="350" s="1"/>
  <c r="K16" i="350"/>
  <c r="H16" i="350"/>
  <c r="L15" i="350"/>
  <c r="M15" i="350" s="1"/>
  <c r="K15" i="350"/>
  <c r="H15" i="350"/>
  <c r="L14" i="350"/>
  <c r="M14" i="350" s="1"/>
  <c r="K14" i="350"/>
  <c r="H14" i="350"/>
  <c r="L13" i="350"/>
  <c r="N13" i="350" s="1"/>
  <c r="K13" i="350"/>
  <c r="H13" i="350"/>
  <c r="L12" i="350"/>
  <c r="M12" i="350" s="1"/>
  <c r="K12" i="350"/>
  <c r="H12" i="350"/>
  <c r="D53" i="350"/>
  <c r="J5" i="350"/>
  <c r="K5" i="350" s="1"/>
  <c r="H5" i="350"/>
  <c r="I5" i="350" s="1"/>
  <c r="G5" i="350"/>
  <c r="E5" i="350"/>
  <c r="D53" i="349"/>
  <c r="D52" i="349"/>
  <c r="D51" i="349"/>
  <c r="D50" i="349"/>
  <c r="D49" i="349"/>
  <c r="D48" i="349"/>
  <c r="D47" i="349"/>
  <c r="D46" i="349"/>
  <c r="D45" i="349"/>
  <c r="D44" i="349"/>
  <c r="N37" i="349"/>
  <c r="M37" i="349"/>
  <c r="L37" i="349"/>
  <c r="K37" i="349"/>
  <c r="H37" i="349"/>
  <c r="M36" i="349"/>
  <c r="N36" i="349" s="1"/>
  <c r="L36" i="349"/>
  <c r="K36" i="349"/>
  <c r="H36" i="349"/>
  <c r="M35" i="349"/>
  <c r="N35" i="349" s="1"/>
  <c r="L35" i="349"/>
  <c r="K35" i="349"/>
  <c r="H35" i="349"/>
  <c r="M34" i="349"/>
  <c r="N34" i="349" s="1"/>
  <c r="L34" i="349"/>
  <c r="K34" i="349"/>
  <c r="H34" i="349"/>
  <c r="M33" i="349"/>
  <c r="N33" i="349" s="1"/>
  <c r="L33" i="349"/>
  <c r="K33" i="349"/>
  <c r="H33" i="349"/>
  <c r="M32" i="349"/>
  <c r="N32" i="349" s="1"/>
  <c r="L32" i="349"/>
  <c r="K32" i="349"/>
  <c r="H32" i="349"/>
  <c r="N31" i="349"/>
  <c r="M31" i="349"/>
  <c r="L31" i="349"/>
  <c r="K31" i="349"/>
  <c r="H31" i="349"/>
  <c r="N30" i="349"/>
  <c r="M30" i="349"/>
  <c r="L30" i="349"/>
  <c r="K30" i="349"/>
  <c r="H30" i="349"/>
  <c r="N29" i="349"/>
  <c r="M29" i="349"/>
  <c r="L29" i="349"/>
  <c r="K29" i="349"/>
  <c r="H29" i="349"/>
  <c r="M28" i="349"/>
  <c r="N28" i="349" s="1"/>
  <c r="L28" i="349"/>
  <c r="K28" i="349"/>
  <c r="H28" i="349"/>
  <c r="M21" i="349"/>
  <c r="L21" i="349"/>
  <c r="N21" i="349" s="1"/>
  <c r="K21" i="349"/>
  <c r="H21" i="349"/>
  <c r="L20" i="349"/>
  <c r="N20" i="349" s="1"/>
  <c r="K20" i="349"/>
  <c r="H20" i="349"/>
  <c r="L19" i="349"/>
  <c r="M19" i="349" s="1"/>
  <c r="K19" i="349"/>
  <c r="H19" i="349"/>
  <c r="L18" i="349"/>
  <c r="N18" i="349" s="1"/>
  <c r="K18" i="349"/>
  <c r="H18" i="349"/>
  <c r="N17" i="349"/>
  <c r="L17" i="349"/>
  <c r="M17" i="349" s="1"/>
  <c r="K17" i="349"/>
  <c r="H17" i="349"/>
  <c r="N16" i="349"/>
  <c r="L16" i="349"/>
  <c r="M16" i="349" s="1"/>
  <c r="K16" i="349"/>
  <c r="H16" i="349"/>
  <c r="N15" i="349"/>
  <c r="L15" i="349"/>
  <c r="M15" i="349" s="1"/>
  <c r="K15" i="349"/>
  <c r="H15" i="349"/>
  <c r="M14" i="349"/>
  <c r="L14" i="349"/>
  <c r="N14" i="349" s="1"/>
  <c r="K14" i="349"/>
  <c r="H14" i="349"/>
  <c r="M13" i="349"/>
  <c r="L13" i="349"/>
  <c r="N13" i="349" s="1"/>
  <c r="K13" i="349"/>
  <c r="H13" i="349"/>
  <c r="M12" i="349"/>
  <c r="L12" i="349"/>
  <c r="N12" i="349" s="1"/>
  <c r="K12" i="349"/>
  <c r="H12" i="349"/>
  <c r="M5" i="349"/>
  <c r="J5" i="349"/>
  <c r="K5" i="349" s="1"/>
  <c r="H5" i="349"/>
  <c r="G18" i="16" s="1"/>
  <c r="H18" i="16" s="1"/>
  <c r="G5" i="349"/>
  <c r="E5" i="349"/>
  <c r="D53" i="348"/>
  <c r="D52" i="348"/>
  <c r="D51" i="348"/>
  <c r="D50" i="348"/>
  <c r="D49" i="348"/>
  <c r="D48" i="348"/>
  <c r="D47" i="348"/>
  <c r="D46" i="348"/>
  <c r="D45" i="348"/>
  <c r="D44" i="348"/>
  <c r="M37" i="348"/>
  <c r="N37" i="348" s="1"/>
  <c r="L37" i="348"/>
  <c r="K37" i="348"/>
  <c r="H37" i="348"/>
  <c r="M36" i="348"/>
  <c r="N36" i="348" s="1"/>
  <c r="L36" i="348"/>
  <c r="K36" i="348"/>
  <c r="H36" i="348"/>
  <c r="M35" i="348"/>
  <c r="N35" i="348" s="1"/>
  <c r="L35" i="348"/>
  <c r="K35" i="348"/>
  <c r="H35" i="348"/>
  <c r="M34" i="348"/>
  <c r="N34" i="348" s="1"/>
  <c r="L34" i="348"/>
  <c r="K34" i="348"/>
  <c r="H34" i="348"/>
  <c r="M33" i="348"/>
  <c r="N33" i="348" s="1"/>
  <c r="L33" i="348"/>
  <c r="K33" i="348"/>
  <c r="H33" i="348"/>
  <c r="N32" i="348"/>
  <c r="M32" i="348"/>
  <c r="L32" i="348"/>
  <c r="K32" i="348"/>
  <c r="H32" i="348"/>
  <c r="N31" i="348"/>
  <c r="M31" i="348"/>
  <c r="L31" i="348"/>
  <c r="K31" i="348"/>
  <c r="H31" i="348"/>
  <c r="N30" i="348"/>
  <c r="M30" i="348"/>
  <c r="L30" i="348"/>
  <c r="K30" i="348"/>
  <c r="H30" i="348"/>
  <c r="M29" i="348"/>
  <c r="N29" i="348" s="1"/>
  <c r="L29" i="348"/>
  <c r="K29" i="348"/>
  <c r="H29" i="348"/>
  <c r="M28" i="348"/>
  <c r="N28" i="348" s="1"/>
  <c r="L28" i="348"/>
  <c r="K28" i="348"/>
  <c r="H28" i="348"/>
  <c r="L21" i="348"/>
  <c r="N21" i="348" s="1"/>
  <c r="K21" i="348"/>
  <c r="H21" i="348"/>
  <c r="L20" i="348"/>
  <c r="M20" i="348" s="1"/>
  <c r="K20" i="348"/>
  <c r="H20" i="348"/>
  <c r="L19" i="348"/>
  <c r="N19" i="348" s="1"/>
  <c r="K19" i="348"/>
  <c r="H19" i="348"/>
  <c r="N18" i="348"/>
  <c r="L18" i="348"/>
  <c r="M18" i="348" s="1"/>
  <c r="K18" i="348"/>
  <c r="H18" i="348"/>
  <c r="N17" i="348"/>
  <c r="L17" i="348"/>
  <c r="M17" i="348" s="1"/>
  <c r="K17" i="348"/>
  <c r="H17" i="348"/>
  <c r="N16" i="348"/>
  <c r="L16" i="348"/>
  <c r="M16" i="348" s="1"/>
  <c r="K16" i="348"/>
  <c r="H16" i="348"/>
  <c r="M15" i="348"/>
  <c r="L15" i="348"/>
  <c r="N15" i="348" s="1"/>
  <c r="K15" i="348"/>
  <c r="H15" i="348"/>
  <c r="M14" i="348"/>
  <c r="L14" i="348"/>
  <c r="N14" i="348" s="1"/>
  <c r="K14" i="348"/>
  <c r="H14" i="348"/>
  <c r="M13" i="348"/>
  <c r="L13" i="348"/>
  <c r="N13" i="348" s="1"/>
  <c r="K13" i="348"/>
  <c r="H13" i="348"/>
  <c r="L12" i="348"/>
  <c r="M12" i="348" s="1"/>
  <c r="K12" i="348"/>
  <c r="H12" i="348"/>
  <c r="M5" i="348"/>
  <c r="J5" i="348"/>
  <c r="I17" i="16" s="1"/>
  <c r="J17" i="16" s="1"/>
  <c r="H5" i="348"/>
  <c r="I5" i="348" s="1"/>
  <c r="G5" i="348"/>
  <c r="E5" i="348"/>
  <c r="N12" i="348" l="1"/>
  <c r="N20" i="348"/>
  <c r="N19" i="349"/>
  <c r="I18" i="16"/>
  <c r="J18" i="16" s="1"/>
  <c r="K5" i="348"/>
  <c r="M19" i="348"/>
  <c r="M18" i="349"/>
  <c r="G20" i="16"/>
  <c r="H20" i="16" s="1"/>
  <c r="M21" i="348"/>
  <c r="M20" i="349"/>
  <c r="I20" i="16"/>
  <c r="J20" i="16" s="1"/>
  <c r="I5" i="349"/>
  <c r="N14" i="350"/>
  <c r="M19" i="350"/>
  <c r="M14" i="351"/>
  <c r="G19" i="16"/>
  <c r="M12" i="351"/>
  <c r="M19" i="351"/>
  <c r="I19" i="16"/>
  <c r="J19" i="16" s="1"/>
  <c r="L18" i="16"/>
  <c r="D19" i="16"/>
  <c r="L20" i="16"/>
  <c r="F19" i="16"/>
  <c r="F18" i="16"/>
  <c r="H19" i="16"/>
  <c r="L19" i="16"/>
  <c r="N18" i="351"/>
  <c r="D50" i="351"/>
  <c r="M17" i="351"/>
  <c r="M13" i="351"/>
  <c r="N20" i="351"/>
  <c r="M5" i="351"/>
  <c r="M16" i="351"/>
  <c r="D51" i="351"/>
  <c r="D44" i="351"/>
  <c r="M15" i="351"/>
  <c r="D46" i="351"/>
  <c r="D48" i="351"/>
  <c r="D49" i="351"/>
  <c r="M21" i="351"/>
  <c r="D52" i="351"/>
  <c r="D45" i="351"/>
  <c r="D47" i="351"/>
  <c r="N18" i="350"/>
  <c r="D50" i="350"/>
  <c r="N12" i="350"/>
  <c r="N17" i="350"/>
  <c r="D45" i="350"/>
  <c r="N15" i="350"/>
  <c r="N20" i="350"/>
  <c r="M5" i="350"/>
  <c r="M16" i="350"/>
  <c r="D51" i="350"/>
  <c r="D44" i="350"/>
  <c r="D46" i="350"/>
  <c r="D47" i="350"/>
  <c r="M13" i="350"/>
  <c r="D48" i="350"/>
  <c r="D49" i="350"/>
  <c r="M21" i="350"/>
  <c r="D52" i="350"/>
  <c r="K16" i="16" l="1"/>
  <c r="E16" i="16"/>
  <c r="C16" i="16"/>
  <c r="D16" i="16" s="1"/>
  <c r="B16" i="16"/>
  <c r="F16" i="16" s="1"/>
  <c r="K15" i="16"/>
  <c r="L15" i="16" s="1"/>
  <c r="E15" i="16"/>
  <c r="C15" i="16"/>
  <c r="B15" i="16"/>
  <c r="F15" i="16" s="1"/>
  <c r="D15" i="16"/>
  <c r="D53" i="347"/>
  <c r="D52" i="347"/>
  <c r="D51" i="347"/>
  <c r="D50" i="347"/>
  <c r="D49" i="347"/>
  <c r="D48" i="347"/>
  <c r="D47" i="347"/>
  <c r="D46" i="347"/>
  <c r="D45" i="347"/>
  <c r="D44" i="347"/>
  <c r="M37" i="347"/>
  <c r="N37" i="347" s="1"/>
  <c r="L37" i="347"/>
  <c r="K37" i="347"/>
  <c r="H37" i="347"/>
  <c r="M36" i="347"/>
  <c r="N36" i="347" s="1"/>
  <c r="L36" i="347"/>
  <c r="K36" i="347"/>
  <c r="H36" i="347"/>
  <c r="N35" i="347"/>
  <c r="M35" i="347"/>
  <c r="L35" i="347"/>
  <c r="K35" i="347"/>
  <c r="H35" i="347"/>
  <c r="M34" i="347"/>
  <c r="N34" i="347" s="1"/>
  <c r="L34" i="347"/>
  <c r="K34" i="347"/>
  <c r="H34" i="347"/>
  <c r="M33" i="347"/>
  <c r="N33" i="347" s="1"/>
  <c r="L33" i="347"/>
  <c r="K33" i="347"/>
  <c r="H33" i="347"/>
  <c r="M32" i="347"/>
  <c r="N32" i="347" s="1"/>
  <c r="L32" i="347"/>
  <c r="K32" i="347"/>
  <c r="H32" i="347"/>
  <c r="N31" i="347"/>
  <c r="M31" i="347"/>
  <c r="L31" i="347"/>
  <c r="K31" i="347"/>
  <c r="H31" i="347"/>
  <c r="N30" i="347"/>
  <c r="M30" i="347"/>
  <c r="L30" i="347"/>
  <c r="K30" i="347"/>
  <c r="H30" i="347"/>
  <c r="M29" i="347"/>
  <c r="N29" i="347" s="1"/>
  <c r="L29" i="347"/>
  <c r="K29" i="347"/>
  <c r="H29" i="347"/>
  <c r="M28" i="347"/>
  <c r="N28" i="347" s="1"/>
  <c r="L28" i="347"/>
  <c r="K28" i="347"/>
  <c r="H28" i="347"/>
  <c r="N21" i="347"/>
  <c r="M21" i="347"/>
  <c r="L21" i="347"/>
  <c r="K21" i="347"/>
  <c r="H21" i="347"/>
  <c r="L20" i="347"/>
  <c r="N20" i="347" s="1"/>
  <c r="K20" i="347"/>
  <c r="H20" i="347"/>
  <c r="L19" i="347"/>
  <c r="N19" i="347" s="1"/>
  <c r="K19" i="347"/>
  <c r="H19" i="347"/>
  <c r="N18" i="347"/>
  <c r="M18" i="347"/>
  <c r="L18" i="347"/>
  <c r="K18" i="347"/>
  <c r="H18" i="347"/>
  <c r="L17" i="347"/>
  <c r="N17" i="347" s="1"/>
  <c r="K17" i="347"/>
  <c r="H17" i="347"/>
  <c r="N16" i="347"/>
  <c r="L16" i="347"/>
  <c r="M16" i="347" s="1"/>
  <c r="K16" i="347"/>
  <c r="H16" i="347"/>
  <c r="L15" i="347"/>
  <c r="N15" i="347" s="1"/>
  <c r="K15" i="347"/>
  <c r="H15" i="347"/>
  <c r="M14" i="347"/>
  <c r="L14" i="347"/>
  <c r="N14" i="347" s="1"/>
  <c r="K14" i="347"/>
  <c r="H14" i="347"/>
  <c r="N13" i="347"/>
  <c r="M13" i="347"/>
  <c r="L13" i="347"/>
  <c r="K13" i="347"/>
  <c r="H13" i="347"/>
  <c r="L12" i="347"/>
  <c r="M12" i="347" s="1"/>
  <c r="K12" i="347"/>
  <c r="H12" i="347"/>
  <c r="M5" i="347"/>
  <c r="J5" i="347"/>
  <c r="I16" i="16" s="1"/>
  <c r="J16" i="16" s="1"/>
  <c r="H5" i="347"/>
  <c r="G16" i="16" s="1"/>
  <c r="G5" i="347"/>
  <c r="E5" i="347"/>
  <c r="M15" i="347" l="1"/>
  <c r="M20" i="347"/>
  <c r="I5" i="347"/>
  <c r="N12" i="347"/>
  <c r="M17" i="347"/>
  <c r="K5" i="347"/>
  <c r="M19" i="347"/>
  <c r="L16" i="16"/>
  <c r="H16" i="16"/>
  <c r="D53" i="346"/>
  <c r="D52" i="346"/>
  <c r="D51" i="346"/>
  <c r="D50" i="346"/>
  <c r="D49" i="346"/>
  <c r="D48" i="346"/>
  <c r="D47" i="346"/>
  <c r="D46" i="346"/>
  <c r="D45" i="346"/>
  <c r="D44" i="346"/>
  <c r="M37" i="346"/>
  <c r="N37" i="346" s="1"/>
  <c r="L37" i="346"/>
  <c r="K37" i="346"/>
  <c r="H37" i="346"/>
  <c r="M36" i="346"/>
  <c r="N36" i="346" s="1"/>
  <c r="L36" i="346"/>
  <c r="K36" i="346"/>
  <c r="H36" i="346"/>
  <c r="M35" i="346"/>
  <c r="N35" i="346" s="1"/>
  <c r="L35" i="346"/>
  <c r="K35" i="346"/>
  <c r="H35" i="346"/>
  <c r="M34" i="346"/>
  <c r="N34" i="346" s="1"/>
  <c r="L34" i="346"/>
  <c r="K34" i="346"/>
  <c r="H34" i="346"/>
  <c r="N33" i="346"/>
  <c r="M33" i="346"/>
  <c r="L33" i="346"/>
  <c r="K33" i="346"/>
  <c r="H33" i="346"/>
  <c r="M32" i="346"/>
  <c r="N32" i="346" s="1"/>
  <c r="L32" i="346"/>
  <c r="K32" i="346"/>
  <c r="H32" i="346"/>
  <c r="M31" i="346"/>
  <c r="N31" i="346" s="1"/>
  <c r="L31" i="346"/>
  <c r="K31" i="346"/>
  <c r="H31" i="346"/>
  <c r="N30" i="346"/>
  <c r="M30" i="346"/>
  <c r="L30" i="346"/>
  <c r="K30" i="346"/>
  <c r="H30" i="346"/>
  <c r="M29" i="346"/>
  <c r="N29" i="346" s="1"/>
  <c r="L29" i="346"/>
  <c r="K29" i="346"/>
  <c r="H29" i="346"/>
  <c r="M28" i="346"/>
  <c r="N28" i="346" s="1"/>
  <c r="L28" i="346"/>
  <c r="K28" i="346"/>
  <c r="H28" i="346"/>
  <c r="N21" i="346"/>
  <c r="M21" i="346"/>
  <c r="L21" i="346"/>
  <c r="K21" i="346"/>
  <c r="H21" i="346"/>
  <c r="L20" i="346"/>
  <c r="N20" i="346" s="1"/>
  <c r="K20" i="346"/>
  <c r="H20" i="346"/>
  <c r="N19" i="346"/>
  <c r="L19" i="346"/>
  <c r="M19" i="346" s="1"/>
  <c r="K19" i="346"/>
  <c r="H19" i="346"/>
  <c r="L18" i="346"/>
  <c r="N18" i="346" s="1"/>
  <c r="K18" i="346"/>
  <c r="H18" i="346"/>
  <c r="L17" i="346"/>
  <c r="N17" i="346" s="1"/>
  <c r="K17" i="346"/>
  <c r="H17" i="346"/>
  <c r="N16" i="346"/>
  <c r="M16" i="346"/>
  <c r="L16" i="346"/>
  <c r="K16" i="346"/>
  <c r="H16" i="346"/>
  <c r="N15" i="346"/>
  <c r="L15" i="346"/>
  <c r="M15" i="346" s="1"/>
  <c r="K15" i="346"/>
  <c r="H15" i="346"/>
  <c r="L14" i="346"/>
  <c r="N14" i="346" s="1"/>
  <c r="K14" i="346"/>
  <c r="H14" i="346"/>
  <c r="N13" i="346"/>
  <c r="M13" i="346"/>
  <c r="L13" i="346"/>
  <c r="K13" i="346"/>
  <c r="H13" i="346"/>
  <c r="L12" i="346"/>
  <c r="M12" i="346" s="1"/>
  <c r="K12" i="346"/>
  <c r="H12" i="346"/>
  <c r="M5" i="346"/>
  <c r="J5" i="346"/>
  <c r="I15" i="16" s="1"/>
  <c r="J15" i="16" s="1"/>
  <c r="H5" i="346"/>
  <c r="G15" i="16" s="1"/>
  <c r="H15" i="16" s="1"/>
  <c r="G5" i="346"/>
  <c r="E5" i="346"/>
  <c r="M18" i="346" l="1"/>
  <c r="M20" i="346"/>
  <c r="I5" i="346"/>
  <c r="N12" i="346"/>
  <c r="M17" i="346"/>
  <c r="M14" i="346"/>
  <c r="K5" i="346"/>
  <c r="K14" i="16"/>
  <c r="L14" i="16" s="1"/>
  <c r="E14" i="16"/>
  <c r="C14" i="16"/>
  <c r="B14" i="16"/>
  <c r="D14" i="16" s="1"/>
  <c r="F14" i="16"/>
  <c r="M37" i="345"/>
  <c r="N37" i="345" s="1"/>
  <c r="L37" i="345"/>
  <c r="K37" i="345"/>
  <c r="H37" i="345"/>
  <c r="M36" i="345"/>
  <c r="N36" i="345" s="1"/>
  <c r="L36" i="345"/>
  <c r="K36" i="345"/>
  <c r="H36" i="345"/>
  <c r="M35" i="345"/>
  <c r="N35" i="345" s="1"/>
  <c r="L35" i="345"/>
  <c r="K35" i="345"/>
  <c r="H35" i="345"/>
  <c r="M34" i="345"/>
  <c r="N34" i="345" s="1"/>
  <c r="L34" i="345"/>
  <c r="K34" i="345"/>
  <c r="H34" i="345"/>
  <c r="M33" i="345"/>
  <c r="N33" i="345" s="1"/>
  <c r="L33" i="345"/>
  <c r="K33" i="345"/>
  <c r="H33" i="345"/>
  <c r="M32" i="345"/>
  <c r="N32" i="345" s="1"/>
  <c r="L32" i="345"/>
  <c r="K32" i="345"/>
  <c r="H32" i="345"/>
  <c r="M31" i="345"/>
  <c r="N31" i="345" s="1"/>
  <c r="L31" i="345"/>
  <c r="K31" i="345"/>
  <c r="H31" i="345"/>
  <c r="M30" i="345"/>
  <c r="N30" i="345" s="1"/>
  <c r="L30" i="345"/>
  <c r="K30" i="345"/>
  <c r="H30" i="345"/>
  <c r="M29" i="345"/>
  <c r="N29" i="345" s="1"/>
  <c r="L29" i="345"/>
  <c r="K29" i="345"/>
  <c r="H29" i="345"/>
  <c r="M28" i="345"/>
  <c r="N28" i="345" s="1"/>
  <c r="L28" i="345"/>
  <c r="K28" i="345"/>
  <c r="H28" i="345"/>
  <c r="L21" i="345"/>
  <c r="M21" i="345" s="1"/>
  <c r="K21" i="345"/>
  <c r="H21" i="345"/>
  <c r="L20" i="345"/>
  <c r="N20" i="345" s="1"/>
  <c r="K20" i="345"/>
  <c r="H20" i="345"/>
  <c r="L19" i="345"/>
  <c r="N19" i="345" s="1"/>
  <c r="K19" i="345"/>
  <c r="H19" i="345"/>
  <c r="L18" i="345"/>
  <c r="M18" i="345" s="1"/>
  <c r="K18" i="345"/>
  <c r="H18" i="345"/>
  <c r="L17" i="345"/>
  <c r="N17" i="345" s="1"/>
  <c r="K17" i="345"/>
  <c r="H17" i="345"/>
  <c r="L16" i="345"/>
  <c r="N16" i="345" s="1"/>
  <c r="K16" i="345"/>
  <c r="H16" i="345"/>
  <c r="L15" i="345"/>
  <c r="N15" i="345" s="1"/>
  <c r="K15" i="345"/>
  <c r="H15" i="345"/>
  <c r="N14" i="345"/>
  <c r="L14" i="345"/>
  <c r="M14" i="345" s="1"/>
  <c r="K14" i="345"/>
  <c r="H14" i="345"/>
  <c r="L13" i="345"/>
  <c r="N13" i="345" s="1"/>
  <c r="K13" i="345"/>
  <c r="H13" i="345"/>
  <c r="L12" i="345"/>
  <c r="N12" i="345" s="1"/>
  <c r="K12" i="345"/>
  <c r="H12" i="345"/>
  <c r="D53" i="345"/>
  <c r="J5" i="345"/>
  <c r="K5" i="345" s="1"/>
  <c r="H5" i="345"/>
  <c r="I5" i="345" s="1"/>
  <c r="G5" i="345"/>
  <c r="E5" i="345"/>
  <c r="N21" i="345" l="1"/>
  <c r="G14" i="16"/>
  <c r="H14" i="16" s="1"/>
  <c r="I14" i="16"/>
  <c r="J14" i="16" s="1"/>
  <c r="M19" i="345"/>
  <c r="M12" i="345"/>
  <c r="N18" i="345"/>
  <c r="D50" i="345"/>
  <c r="M5" i="345"/>
  <c r="M16" i="345"/>
  <c r="D51" i="345"/>
  <c r="M17" i="345"/>
  <c r="D44" i="345"/>
  <c r="D45" i="345"/>
  <c r="M15" i="345"/>
  <c r="D46" i="345"/>
  <c r="M20" i="345"/>
  <c r="D47" i="345"/>
  <c r="M13" i="345"/>
  <c r="D48" i="345"/>
  <c r="D49" i="345"/>
  <c r="D52" i="345"/>
  <c r="K13" i="16"/>
  <c r="E13" i="16"/>
  <c r="C13" i="16"/>
  <c r="B13" i="16"/>
  <c r="K12" i="16"/>
  <c r="L12" i="16" s="1"/>
  <c r="E12" i="16"/>
  <c r="C12" i="16"/>
  <c r="B12" i="16"/>
  <c r="K11" i="16"/>
  <c r="E11" i="16"/>
  <c r="F11" i="16" s="1"/>
  <c r="C11" i="16"/>
  <c r="D11" i="16" s="1"/>
  <c r="B11" i="16"/>
  <c r="D53" i="344"/>
  <c r="D52" i="344"/>
  <c r="D51" i="344"/>
  <c r="D50" i="344"/>
  <c r="D49" i="344"/>
  <c r="D48" i="344"/>
  <c r="D47" i="344"/>
  <c r="D46" i="344"/>
  <c r="D45" i="344"/>
  <c r="D44" i="344"/>
  <c r="M37" i="344"/>
  <c r="N37" i="344" s="1"/>
  <c r="L37" i="344"/>
  <c r="K37" i="344"/>
  <c r="H37" i="344"/>
  <c r="M36" i="344"/>
  <c r="N36" i="344" s="1"/>
  <c r="L36" i="344"/>
  <c r="K36" i="344"/>
  <c r="H36" i="344"/>
  <c r="M35" i="344"/>
  <c r="N35" i="344" s="1"/>
  <c r="L35" i="344"/>
  <c r="K35" i="344"/>
  <c r="H35" i="344"/>
  <c r="M34" i="344"/>
  <c r="N34" i="344" s="1"/>
  <c r="L34" i="344"/>
  <c r="K34" i="344"/>
  <c r="H34" i="344"/>
  <c r="M33" i="344"/>
  <c r="N33" i="344" s="1"/>
  <c r="L33" i="344"/>
  <c r="K33" i="344"/>
  <c r="H33" i="344"/>
  <c r="N32" i="344"/>
  <c r="M32" i="344"/>
  <c r="L32" i="344"/>
  <c r="K32" i="344"/>
  <c r="H32" i="344"/>
  <c r="N31" i="344"/>
  <c r="M31" i="344"/>
  <c r="L31" i="344"/>
  <c r="K31" i="344"/>
  <c r="H31" i="344"/>
  <c r="M30" i="344"/>
  <c r="N30" i="344" s="1"/>
  <c r="L30" i="344"/>
  <c r="K30" i="344"/>
  <c r="H30" i="344"/>
  <c r="M29" i="344"/>
  <c r="N29" i="344" s="1"/>
  <c r="L29" i="344"/>
  <c r="K29" i="344"/>
  <c r="H29" i="344"/>
  <c r="M28" i="344"/>
  <c r="N28" i="344" s="1"/>
  <c r="L28" i="344"/>
  <c r="K28" i="344"/>
  <c r="H28" i="344"/>
  <c r="L21" i="344"/>
  <c r="M21" i="344" s="1"/>
  <c r="K21" i="344"/>
  <c r="H21" i="344"/>
  <c r="L20" i="344"/>
  <c r="N20" i="344" s="1"/>
  <c r="K20" i="344"/>
  <c r="H20" i="344"/>
  <c r="L19" i="344"/>
  <c r="N19" i="344" s="1"/>
  <c r="K19" i="344"/>
  <c r="H19" i="344"/>
  <c r="N18" i="344"/>
  <c r="L18" i="344"/>
  <c r="M18" i="344" s="1"/>
  <c r="K18" i="344"/>
  <c r="H18" i="344"/>
  <c r="N17" i="344"/>
  <c r="L17" i="344"/>
  <c r="M17" i="344" s="1"/>
  <c r="K17" i="344"/>
  <c r="H17" i="344"/>
  <c r="L16" i="344"/>
  <c r="N16" i="344" s="1"/>
  <c r="K16" i="344"/>
  <c r="H16" i="344"/>
  <c r="M15" i="344"/>
  <c r="L15" i="344"/>
  <c r="N15" i="344" s="1"/>
  <c r="K15" i="344"/>
  <c r="H15" i="344"/>
  <c r="M14" i="344"/>
  <c r="L14" i="344"/>
  <c r="N14" i="344" s="1"/>
  <c r="K14" i="344"/>
  <c r="H14" i="344"/>
  <c r="L13" i="344"/>
  <c r="M13" i="344" s="1"/>
  <c r="K13" i="344"/>
  <c r="H13" i="344"/>
  <c r="L12" i="344"/>
  <c r="N12" i="344" s="1"/>
  <c r="K12" i="344"/>
  <c r="H12" i="344"/>
  <c r="M5" i="344"/>
  <c r="J5" i="344"/>
  <c r="I11" i="16" s="1"/>
  <c r="J11" i="16" s="1"/>
  <c r="H5" i="344"/>
  <c r="G11" i="16" s="1"/>
  <c r="H11" i="16" s="1"/>
  <c r="G5" i="344"/>
  <c r="E5" i="344"/>
  <c r="M37" i="343"/>
  <c r="N37" i="343" s="1"/>
  <c r="L37" i="343"/>
  <c r="K37" i="343"/>
  <c r="H37" i="343"/>
  <c r="M36" i="343"/>
  <c r="N36" i="343" s="1"/>
  <c r="L36" i="343"/>
  <c r="K36" i="343"/>
  <c r="H36" i="343"/>
  <c r="M35" i="343"/>
  <c r="N35" i="343" s="1"/>
  <c r="L35" i="343"/>
  <c r="K35" i="343"/>
  <c r="H35" i="343"/>
  <c r="M34" i="343"/>
  <c r="N34" i="343" s="1"/>
  <c r="L34" i="343"/>
  <c r="K34" i="343"/>
  <c r="H34" i="343"/>
  <c r="M33" i="343"/>
  <c r="N33" i="343" s="1"/>
  <c r="L33" i="343"/>
  <c r="K33" i="343"/>
  <c r="H33" i="343"/>
  <c r="N32" i="343"/>
  <c r="M32" i="343"/>
  <c r="L32" i="343"/>
  <c r="K32" i="343"/>
  <c r="H32" i="343"/>
  <c r="M31" i="343"/>
  <c r="N31" i="343" s="1"/>
  <c r="L31" i="343"/>
  <c r="K31" i="343"/>
  <c r="H31" i="343"/>
  <c r="M30" i="343"/>
  <c r="N30" i="343" s="1"/>
  <c r="L30" i="343"/>
  <c r="K30" i="343"/>
  <c r="H30" i="343"/>
  <c r="M29" i="343"/>
  <c r="N29" i="343" s="1"/>
  <c r="L29" i="343"/>
  <c r="K29" i="343"/>
  <c r="H29" i="343"/>
  <c r="M28" i="343"/>
  <c r="N28" i="343" s="1"/>
  <c r="L28" i="343"/>
  <c r="K28" i="343"/>
  <c r="H28" i="343"/>
  <c r="L21" i="343"/>
  <c r="N21" i="343" s="1"/>
  <c r="K21" i="343"/>
  <c r="H21" i="343"/>
  <c r="L20" i="343"/>
  <c r="N20" i="343" s="1"/>
  <c r="K20" i="343"/>
  <c r="H20" i="343"/>
  <c r="L19" i="343"/>
  <c r="M19" i="343" s="1"/>
  <c r="K19" i="343"/>
  <c r="H19" i="343"/>
  <c r="L18" i="343"/>
  <c r="N18" i="343" s="1"/>
  <c r="K18" i="343"/>
  <c r="H18" i="343"/>
  <c r="L17" i="343"/>
  <c r="M17" i="343" s="1"/>
  <c r="K17" i="343"/>
  <c r="H17" i="343"/>
  <c r="L16" i="343"/>
  <c r="N16" i="343" s="1"/>
  <c r="K16" i="343"/>
  <c r="H16" i="343"/>
  <c r="L15" i="343"/>
  <c r="N15" i="343" s="1"/>
  <c r="K15" i="343"/>
  <c r="H15" i="343"/>
  <c r="L14" i="343"/>
  <c r="M14" i="343" s="1"/>
  <c r="K14" i="343"/>
  <c r="H14" i="343"/>
  <c r="L13" i="343"/>
  <c r="N13" i="343" s="1"/>
  <c r="K13" i="343"/>
  <c r="H13" i="343"/>
  <c r="L12" i="343"/>
  <c r="N12" i="343" s="1"/>
  <c r="K12" i="343"/>
  <c r="H12" i="343"/>
  <c r="D53" i="343"/>
  <c r="J5" i="343"/>
  <c r="K5" i="343" s="1"/>
  <c r="H5" i="343"/>
  <c r="I5" i="343" s="1"/>
  <c r="G5" i="343"/>
  <c r="E5" i="343"/>
  <c r="N19" i="343" l="1"/>
  <c r="N13" i="344"/>
  <c r="N21" i="344"/>
  <c r="M12" i="344"/>
  <c r="M20" i="344"/>
  <c r="G12" i="16"/>
  <c r="H12" i="16" s="1"/>
  <c r="I5" i="344"/>
  <c r="I12" i="16"/>
  <c r="J12" i="16" s="1"/>
  <c r="K5" i="344"/>
  <c r="M19" i="344"/>
  <c r="M16" i="344"/>
  <c r="L11" i="16"/>
  <c r="N14" i="343"/>
  <c r="D12" i="16"/>
  <c r="D13" i="16"/>
  <c r="F13" i="16"/>
  <c r="F12" i="16"/>
  <c r="L13" i="16"/>
  <c r="M20" i="343"/>
  <c r="M13" i="343"/>
  <c r="D48" i="343"/>
  <c r="M18" i="343"/>
  <c r="D49" i="343"/>
  <c r="D50" i="343"/>
  <c r="D44" i="343"/>
  <c r="N17" i="343"/>
  <c r="D45" i="343"/>
  <c r="D47" i="343"/>
  <c r="M5" i="343"/>
  <c r="M16" i="343"/>
  <c r="D51" i="343"/>
  <c r="M12" i="343"/>
  <c r="M15" i="343"/>
  <c r="D46" i="343"/>
  <c r="M21" i="343"/>
  <c r="D52" i="343"/>
  <c r="D53" i="342" l="1"/>
  <c r="D52" i="342"/>
  <c r="D51" i="342"/>
  <c r="D50" i="342"/>
  <c r="D49" i="342"/>
  <c r="D48" i="342"/>
  <c r="D47" i="342"/>
  <c r="D46" i="342"/>
  <c r="D45" i="342"/>
  <c r="D44" i="342"/>
  <c r="M37" i="342"/>
  <c r="N37" i="342" s="1"/>
  <c r="L37" i="342"/>
  <c r="K37" i="342"/>
  <c r="H37" i="342"/>
  <c r="N36" i="342"/>
  <c r="M36" i="342"/>
  <c r="L36" i="342"/>
  <c r="K36" i="342"/>
  <c r="H36" i="342"/>
  <c r="M35" i="342"/>
  <c r="N35" i="342" s="1"/>
  <c r="L35" i="342"/>
  <c r="K35" i="342"/>
  <c r="H35" i="342"/>
  <c r="M34" i="342"/>
  <c r="N34" i="342" s="1"/>
  <c r="L34" i="342"/>
  <c r="K34" i="342"/>
  <c r="H34" i="342"/>
  <c r="N33" i="342"/>
  <c r="M33" i="342"/>
  <c r="L33" i="342"/>
  <c r="K33" i="342"/>
  <c r="H33" i="342"/>
  <c r="N32" i="342"/>
  <c r="M32" i="342"/>
  <c r="L32" i="342"/>
  <c r="K32" i="342"/>
  <c r="H32" i="342"/>
  <c r="M31" i="342"/>
  <c r="N31" i="342" s="1"/>
  <c r="L31" i="342"/>
  <c r="K31" i="342"/>
  <c r="H31" i="342"/>
  <c r="M30" i="342"/>
  <c r="N30" i="342" s="1"/>
  <c r="L30" i="342"/>
  <c r="K30" i="342"/>
  <c r="H30" i="342"/>
  <c r="M29" i="342"/>
  <c r="N29" i="342" s="1"/>
  <c r="L29" i="342"/>
  <c r="K29" i="342"/>
  <c r="H29" i="342"/>
  <c r="N28" i="342"/>
  <c r="M28" i="342"/>
  <c r="L28" i="342"/>
  <c r="K28" i="342"/>
  <c r="H28" i="342"/>
  <c r="L21" i="342"/>
  <c r="N21" i="342" s="1"/>
  <c r="K21" i="342"/>
  <c r="H21" i="342"/>
  <c r="L20" i="342"/>
  <c r="N20" i="342" s="1"/>
  <c r="K20" i="342"/>
  <c r="H20" i="342"/>
  <c r="N19" i="342"/>
  <c r="M19" i="342"/>
  <c r="L19" i="342"/>
  <c r="K19" i="342"/>
  <c r="H19" i="342"/>
  <c r="L18" i="342"/>
  <c r="N18" i="342" s="1"/>
  <c r="K18" i="342"/>
  <c r="H18" i="342"/>
  <c r="L17" i="342"/>
  <c r="N17" i="342" s="1"/>
  <c r="K17" i="342"/>
  <c r="H17" i="342"/>
  <c r="M16" i="342"/>
  <c r="L16" i="342"/>
  <c r="N16" i="342" s="1"/>
  <c r="K16" i="342"/>
  <c r="H16" i="342"/>
  <c r="M15" i="342"/>
  <c r="L15" i="342"/>
  <c r="N15" i="342" s="1"/>
  <c r="K15" i="342"/>
  <c r="H15" i="342"/>
  <c r="N14" i="342"/>
  <c r="L14" i="342"/>
  <c r="M14" i="342" s="1"/>
  <c r="K14" i="342"/>
  <c r="H14" i="342"/>
  <c r="L13" i="342"/>
  <c r="M13" i="342" s="1"/>
  <c r="K13" i="342"/>
  <c r="H13" i="342"/>
  <c r="L12" i="342"/>
  <c r="N12" i="342" s="1"/>
  <c r="K12" i="342"/>
  <c r="H12" i="342"/>
  <c r="M5" i="342"/>
  <c r="K5" i="342"/>
  <c r="J5" i="342"/>
  <c r="I13" i="16" s="1"/>
  <c r="J13" i="16" s="1"/>
  <c r="H5" i="342"/>
  <c r="G13" i="16" s="1"/>
  <c r="H13" i="16" s="1"/>
  <c r="G5" i="342"/>
  <c r="E5" i="342"/>
  <c r="M21" i="342" l="1"/>
  <c r="N13" i="342"/>
  <c r="M18" i="342"/>
  <c r="M12" i="342"/>
  <c r="M20" i="342"/>
  <c r="I5" i="342"/>
  <c r="M17" i="342"/>
  <c r="K10" i="16"/>
  <c r="L10" i="16" s="1"/>
  <c r="E10" i="16"/>
  <c r="C10" i="16"/>
  <c r="B10" i="16"/>
  <c r="D10" i="16" s="1"/>
  <c r="K9" i="16"/>
  <c r="E9" i="16"/>
  <c r="C9" i="16"/>
  <c r="B9" i="16"/>
  <c r="D9" i="16" s="1"/>
  <c r="F9" i="16"/>
  <c r="D53" i="341"/>
  <c r="D52" i="341"/>
  <c r="D51" i="341"/>
  <c r="D50" i="341"/>
  <c r="D49" i="341"/>
  <c r="D48" i="341"/>
  <c r="D47" i="341"/>
  <c r="D46" i="341"/>
  <c r="D45" i="341"/>
  <c r="D44" i="341"/>
  <c r="M37" i="341"/>
  <c r="N37" i="341" s="1"/>
  <c r="L37" i="341"/>
  <c r="K37" i="341"/>
  <c r="H37" i="341"/>
  <c r="M36" i="341"/>
  <c r="N36" i="341" s="1"/>
  <c r="L36" i="341"/>
  <c r="K36" i="341"/>
  <c r="H36" i="341"/>
  <c r="M35" i="341"/>
  <c r="N35" i="341" s="1"/>
  <c r="L35" i="341"/>
  <c r="K35" i="341"/>
  <c r="H35" i="341"/>
  <c r="M34" i="341"/>
  <c r="N34" i="341" s="1"/>
  <c r="L34" i="341"/>
  <c r="K34" i="341"/>
  <c r="H34" i="341"/>
  <c r="N33" i="341"/>
  <c r="M33" i="341"/>
  <c r="L33" i="341"/>
  <c r="K33" i="341"/>
  <c r="H33" i="341"/>
  <c r="M32" i="341"/>
  <c r="N32" i="341" s="1"/>
  <c r="L32" i="341"/>
  <c r="K32" i="341"/>
  <c r="H32" i="341"/>
  <c r="M31" i="341"/>
  <c r="N31" i="341" s="1"/>
  <c r="L31" i="341"/>
  <c r="K31" i="341"/>
  <c r="H31" i="341"/>
  <c r="M30" i="341"/>
  <c r="N30" i="341" s="1"/>
  <c r="L30" i="341"/>
  <c r="K30" i="341"/>
  <c r="H30" i="341"/>
  <c r="M29" i="341"/>
  <c r="N29" i="341" s="1"/>
  <c r="L29" i="341"/>
  <c r="K29" i="341"/>
  <c r="H29" i="341"/>
  <c r="M28" i="341"/>
  <c r="N28" i="341" s="1"/>
  <c r="L28" i="341"/>
  <c r="K28" i="341"/>
  <c r="H28" i="341"/>
  <c r="L21" i="341"/>
  <c r="N21" i="341" s="1"/>
  <c r="K21" i="341"/>
  <c r="H21" i="341"/>
  <c r="L20" i="341"/>
  <c r="N20" i="341" s="1"/>
  <c r="K20" i="341"/>
  <c r="H20" i="341"/>
  <c r="N19" i="341"/>
  <c r="L19" i="341"/>
  <c r="M19" i="341" s="1"/>
  <c r="K19" i="341"/>
  <c r="H19" i="341"/>
  <c r="L18" i="341"/>
  <c r="N18" i="341" s="1"/>
  <c r="K18" i="341"/>
  <c r="H18" i="341"/>
  <c r="L17" i="341"/>
  <c r="N17" i="341" s="1"/>
  <c r="K17" i="341"/>
  <c r="H17" i="341"/>
  <c r="N16" i="341"/>
  <c r="M16" i="341"/>
  <c r="L16" i="341"/>
  <c r="K16" i="341"/>
  <c r="H16" i="341"/>
  <c r="M15" i="341"/>
  <c r="L15" i="341"/>
  <c r="N15" i="341" s="1"/>
  <c r="K15" i="341"/>
  <c r="H15" i="341"/>
  <c r="L14" i="341"/>
  <c r="N14" i="341" s="1"/>
  <c r="K14" i="341"/>
  <c r="H14" i="341"/>
  <c r="L13" i="341"/>
  <c r="N13" i="341" s="1"/>
  <c r="K13" i="341"/>
  <c r="H13" i="341"/>
  <c r="L12" i="341"/>
  <c r="M12" i="341" s="1"/>
  <c r="K12" i="341"/>
  <c r="H12" i="341"/>
  <c r="M5" i="341"/>
  <c r="J5" i="341"/>
  <c r="I10" i="16" s="1"/>
  <c r="J10" i="16" s="1"/>
  <c r="H5" i="341"/>
  <c r="G10" i="16" s="1"/>
  <c r="H10" i="16" s="1"/>
  <c r="G5" i="341"/>
  <c r="E5" i="341"/>
  <c r="M13" i="341" l="1"/>
  <c r="M21" i="341"/>
  <c r="M18" i="341"/>
  <c r="M20" i="341"/>
  <c r="I5" i="341"/>
  <c r="N12" i="341"/>
  <c r="M17" i="341"/>
  <c r="M14" i="341"/>
  <c r="K5" i="341"/>
  <c r="L9" i="16"/>
  <c r="F10" i="16"/>
  <c r="M37" i="340"/>
  <c r="N37" i="340" s="1"/>
  <c r="L37" i="340"/>
  <c r="K37" i="340"/>
  <c r="H37" i="340"/>
  <c r="M36" i="340"/>
  <c r="N36" i="340" s="1"/>
  <c r="L36" i="340"/>
  <c r="K36" i="340"/>
  <c r="H36" i="340"/>
  <c r="M35" i="340"/>
  <c r="N35" i="340" s="1"/>
  <c r="L35" i="340"/>
  <c r="K35" i="340"/>
  <c r="H35" i="340"/>
  <c r="M34" i="340"/>
  <c r="N34" i="340" s="1"/>
  <c r="L34" i="340"/>
  <c r="K34" i="340"/>
  <c r="H34" i="340"/>
  <c r="M33" i="340"/>
  <c r="N33" i="340" s="1"/>
  <c r="L33" i="340"/>
  <c r="K33" i="340"/>
  <c r="H33" i="340"/>
  <c r="N32" i="340"/>
  <c r="M32" i="340"/>
  <c r="L32" i="340"/>
  <c r="K32" i="340"/>
  <c r="H32" i="340"/>
  <c r="M31" i="340"/>
  <c r="N31" i="340" s="1"/>
  <c r="L31" i="340"/>
  <c r="K31" i="340"/>
  <c r="H31" i="340"/>
  <c r="M30" i="340"/>
  <c r="N30" i="340" s="1"/>
  <c r="L30" i="340"/>
  <c r="K30" i="340"/>
  <c r="H30" i="340"/>
  <c r="M29" i="340"/>
  <c r="N29" i="340" s="1"/>
  <c r="L29" i="340"/>
  <c r="K29" i="340"/>
  <c r="H29" i="340"/>
  <c r="M28" i="340"/>
  <c r="N28" i="340" s="1"/>
  <c r="L28" i="340"/>
  <c r="K28" i="340"/>
  <c r="H28" i="340"/>
  <c r="L21" i="340"/>
  <c r="N21" i="340" s="1"/>
  <c r="K21" i="340"/>
  <c r="H21" i="340"/>
  <c r="L20" i="340"/>
  <c r="M20" i="340" s="1"/>
  <c r="K20" i="340"/>
  <c r="H20" i="340"/>
  <c r="L19" i="340"/>
  <c r="N19" i="340" s="1"/>
  <c r="K19" i="340"/>
  <c r="H19" i="340"/>
  <c r="L18" i="340"/>
  <c r="M18" i="340" s="1"/>
  <c r="K18" i="340"/>
  <c r="H18" i="340"/>
  <c r="L17" i="340"/>
  <c r="N17" i="340" s="1"/>
  <c r="K17" i="340"/>
  <c r="H17" i="340"/>
  <c r="L16" i="340"/>
  <c r="N16" i="340" s="1"/>
  <c r="K16" i="340"/>
  <c r="H16" i="340"/>
  <c r="L15" i="340"/>
  <c r="N15" i="340" s="1"/>
  <c r="K15" i="340"/>
  <c r="H15" i="340"/>
  <c r="L14" i="340"/>
  <c r="M14" i="340" s="1"/>
  <c r="K14" i="340"/>
  <c r="H14" i="340"/>
  <c r="L13" i="340"/>
  <c r="N13" i="340" s="1"/>
  <c r="K13" i="340"/>
  <c r="H13" i="340"/>
  <c r="L12" i="340"/>
  <c r="M12" i="340" s="1"/>
  <c r="K12" i="340"/>
  <c r="H12" i="340"/>
  <c r="D53" i="340"/>
  <c r="J5" i="340"/>
  <c r="H5" i="340"/>
  <c r="G5" i="340"/>
  <c r="E5" i="340"/>
  <c r="I5" i="340" l="1"/>
  <c r="G9" i="16"/>
  <c r="H9" i="16" s="1"/>
  <c r="M19" i="340"/>
  <c r="K5" i="340"/>
  <c r="I9" i="16"/>
  <c r="J9" i="16" s="1"/>
  <c r="N14" i="340"/>
  <c r="N12" i="340"/>
  <c r="M17" i="340"/>
  <c r="N20" i="340"/>
  <c r="D50" i="340"/>
  <c r="N18" i="340"/>
  <c r="M5" i="340"/>
  <c r="M16" i="340"/>
  <c r="D51" i="340"/>
  <c r="D45" i="340"/>
  <c r="D47" i="340"/>
  <c r="M21" i="340"/>
  <c r="D52" i="340"/>
  <c r="D44" i="340"/>
  <c r="M15" i="340"/>
  <c r="D46" i="340"/>
  <c r="M13" i="340"/>
  <c r="D48" i="340"/>
  <c r="D49" i="340"/>
  <c r="K8" i="16" l="1"/>
  <c r="E8" i="16"/>
  <c r="C8" i="16"/>
  <c r="B8" i="16"/>
  <c r="D8" i="16" s="1"/>
  <c r="M37" i="334"/>
  <c r="N37" i="334" s="1"/>
  <c r="L37" i="334"/>
  <c r="K37" i="334"/>
  <c r="H37" i="334"/>
  <c r="M36" i="334"/>
  <c r="N36" i="334" s="1"/>
  <c r="L36" i="334"/>
  <c r="K36" i="334"/>
  <c r="H36" i="334"/>
  <c r="M35" i="334"/>
  <c r="N35" i="334" s="1"/>
  <c r="L35" i="334"/>
  <c r="K35" i="334"/>
  <c r="H35" i="334"/>
  <c r="M34" i="334"/>
  <c r="N34" i="334" s="1"/>
  <c r="L34" i="334"/>
  <c r="K34" i="334"/>
  <c r="H34" i="334"/>
  <c r="M33" i="334"/>
  <c r="N33" i="334" s="1"/>
  <c r="L33" i="334"/>
  <c r="K33" i="334"/>
  <c r="H33" i="334"/>
  <c r="N32" i="334"/>
  <c r="M32" i="334"/>
  <c r="L32" i="334"/>
  <c r="K32" i="334"/>
  <c r="H32" i="334"/>
  <c r="M31" i="334"/>
  <c r="N31" i="334" s="1"/>
  <c r="L31" i="334"/>
  <c r="K31" i="334"/>
  <c r="H31" i="334"/>
  <c r="M30" i="334"/>
  <c r="N30" i="334" s="1"/>
  <c r="L30" i="334"/>
  <c r="K30" i="334"/>
  <c r="H30" i="334"/>
  <c r="M29" i="334"/>
  <c r="N29" i="334" s="1"/>
  <c r="L29" i="334"/>
  <c r="K29" i="334"/>
  <c r="H29" i="334"/>
  <c r="M28" i="334"/>
  <c r="N28" i="334" s="1"/>
  <c r="L28" i="334"/>
  <c r="K28" i="334"/>
  <c r="H28" i="334"/>
  <c r="L21" i="334"/>
  <c r="N21" i="334" s="1"/>
  <c r="K21" i="334"/>
  <c r="H21" i="334"/>
  <c r="L20" i="334"/>
  <c r="N20" i="334" s="1"/>
  <c r="K20" i="334"/>
  <c r="H20" i="334"/>
  <c r="M19" i="334"/>
  <c r="L19" i="334"/>
  <c r="N19" i="334" s="1"/>
  <c r="K19" i="334"/>
  <c r="H19" i="334"/>
  <c r="L18" i="334"/>
  <c r="N18" i="334" s="1"/>
  <c r="K18" i="334"/>
  <c r="H18" i="334"/>
  <c r="L17" i="334"/>
  <c r="M17" i="334" s="1"/>
  <c r="K17" i="334"/>
  <c r="H17" i="334"/>
  <c r="L16" i="334"/>
  <c r="N16" i="334" s="1"/>
  <c r="K16" i="334"/>
  <c r="H16" i="334"/>
  <c r="L15" i="334"/>
  <c r="N15" i="334" s="1"/>
  <c r="K15" i="334"/>
  <c r="H15" i="334"/>
  <c r="N14" i="334"/>
  <c r="M14" i="334"/>
  <c r="L14" i="334"/>
  <c r="K14" i="334"/>
  <c r="H14" i="334"/>
  <c r="L13" i="334"/>
  <c r="N13" i="334" s="1"/>
  <c r="K13" i="334"/>
  <c r="H13" i="334"/>
  <c r="L12" i="334"/>
  <c r="M12" i="334" s="1"/>
  <c r="K12" i="334"/>
  <c r="H12" i="334"/>
  <c r="D53" i="334"/>
  <c r="J5" i="334"/>
  <c r="K5" i="334" s="1"/>
  <c r="H5" i="334"/>
  <c r="I5" i="334" s="1"/>
  <c r="G5" i="334"/>
  <c r="E5" i="334"/>
  <c r="G8" i="16" l="1"/>
  <c r="H8" i="16" s="1"/>
  <c r="I8" i="16"/>
  <c r="J8" i="16"/>
  <c r="L8" i="16"/>
  <c r="F8" i="16"/>
  <c r="N12" i="334"/>
  <c r="D44" i="334"/>
  <c r="N17" i="334"/>
  <c r="M15" i="334"/>
  <c r="D50" i="334"/>
  <c r="D45" i="334"/>
  <c r="M20" i="334"/>
  <c r="D49" i="334"/>
  <c r="D51" i="334"/>
  <c r="D46" i="334"/>
  <c r="D47" i="334"/>
  <c r="M13" i="334"/>
  <c r="D48" i="334"/>
  <c r="M18" i="334"/>
  <c r="M5" i="334"/>
  <c r="M16" i="334"/>
  <c r="M21" i="334"/>
  <c r="D52" i="334"/>
  <c r="K7" i="16"/>
  <c r="E7" i="16"/>
  <c r="C7" i="16"/>
  <c r="B7" i="16"/>
  <c r="K6" i="16"/>
  <c r="E6" i="16"/>
  <c r="C6" i="16"/>
  <c r="D6" i="16" s="1"/>
  <c r="B6" i="16"/>
  <c r="K5" i="16"/>
  <c r="E5" i="16"/>
  <c r="F5" i="16" s="1"/>
  <c r="C5" i="16"/>
  <c r="D5" i="16" s="1"/>
  <c r="B5" i="16"/>
  <c r="M37" i="333"/>
  <c r="N37" i="333" s="1"/>
  <c r="L37" i="333"/>
  <c r="K37" i="333"/>
  <c r="H37" i="333"/>
  <c r="M36" i="333"/>
  <c r="N36" i="333" s="1"/>
  <c r="L36" i="333"/>
  <c r="K36" i="333"/>
  <c r="H36" i="333"/>
  <c r="M35" i="333"/>
  <c r="N35" i="333" s="1"/>
  <c r="L35" i="333"/>
  <c r="K35" i="333"/>
  <c r="H35" i="333"/>
  <c r="M34" i="333"/>
  <c r="N34" i="333" s="1"/>
  <c r="L34" i="333"/>
  <c r="K34" i="333"/>
  <c r="H34" i="333"/>
  <c r="M33" i="333"/>
  <c r="N33" i="333" s="1"/>
  <c r="L33" i="333"/>
  <c r="K33" i="333"/>
  <c r="H33" i="333"/>
  <c r="N32" i="333"/>
  <c r="M32" i="333"/>
  <c r="L32" i="333"/>
  <c r="K32" i="333"/>
  <c r="H32" i="333"/>
  <c r="M31" i="333"/>
  <c r="N31" i="333" s="1"/>
  <c r="L31" i="333"/>
  <c r="K31" i="333"/>
  <c r="H31" i="333"/>
  <c r="M30" i="333"/>
  <c r="N30" i="333" s="1"/>
  <c r="L30" i="333"/>
  <c r="K30" i="333"/>
  <c r="H30" i="333"/>
  <c r="M29" i="333"/>
  <c r="N29" i="333" s="1"/>
  <c r="L29" i="333"/>
  <c r="K29" i="333"/>
  <c r="H29" i="333"/>
  <c r="M28" i="333"/>
  <c r="N28" i="333" s="1"/>
  <c r="L28" i="333"/>
  <c r="K28" i="333"/>
  <c r="H28" i="333"/>
  <c r="L21" i="333"/>
  <c r="N21" i="333" s="1"/>
  <c r="K21" i="333"/>
  <c r="H21" i="333"/>
  <c r="L20" i="333"/>
  <c r="N20" i="333" s="1"/>
  <c r="K20" i="333"/>
  <c r="H20" i="333"/>
  <c r="L19" i="333"/>
  <c r="N19" i="333" s="1"/>
  <c r="K19" i="333"/>
  <c r="H19" i="333"/>
  <c r="L18" i="333"/>
  <c r="M18" i="333" s="1"/>
  <c r="K18" i="333"/>
  <c r="H18" i="333"/>
  <c r="L17" i="333"/>
  <c r="N17" i="333" s="1"/>
  <c r="K17" i="333"/>
  <c r="H17" i="333"/>
  <c r="L16" i="333"/>
  <c r="N16" i="333" s="1"/>
  <c r="K16" i="333"/>
  <c r="H16" i="333"/>
  <c r="L15" i="333"/>
  <c r="N15" i="333" s="1"/>
  <c r="K15" i="333"/>
  <c r="H15" i="333"/>
  <c r="L14" i="333"/>
  <c r="N14" i="333" s="1"/>
  <c r="K14" i="333"/>
  <c r="H14" i="333"/>
  <c r="L13" i="333"/>
  <c r="M13" i="333" s="1"/>
  <c r="K13" i="333"/>
  <c r="H13" i="333"/>
  <c r="L12" i="333"/>
  <c r="N12" i="333" s="1"/>
  <c r="K12" i="333"/>
  <c r="H12" i="333"/>
  <c r="D53" i="333"/>
  <c r="J5" i="333"/>
  <c r="K5" i="333" s="1"/>
  <c r="H5" i="333"/>
  <c r="I5" i="333" s="1"/>
  <c r="G5" i="333"/>
  <c r="E5" i="333"/>
  <c r="D53" i="332"/>
  <c r="D52" i="332"/>
  <c r="D51" i="332"/>
  <c r="D50" i="332"/>
  <c r="D49" i="332"/>
  <c r="D48" i="332"/>
  <c r="D47" i="332"/>
  <c r="D46" i="332"/>
  <c r="D45" i="332"/>
  <c r="D44" i="332"/>
  <c r="M37" i="332"/>
  <c r="N37" i="332" s="1"/>
  <c r="L37" i="332"/>
  <c r="K37" i="332"/>
  <c r="H37" i="332"/>
  <c r="M36" i="332"/>
  <c r="N36" i="332" s="1"/>
  <c r="L36" i="332"/>
  <c r="K36" i="332"/>
  <c r="H36" i="332"/>
  <c r="M35" i="332"/>
  <c r="N35" i="332" s="1"/>
  <c r="L35" i="332"/>
  <c r="K35" i="332"/>
  <c r="H35" i="332"/>
  <c r="M34" i="332"/>
  <c r="N34" i="332" s="1"/>
  <c r="L34" i="332"/>
  <c r="K34" i="332"/>
  <c r="H34" i="332"/>
  <c r="M33" i="332"/>
  <c r="N33" i="332" s="1"/>
  <c r="L33" i="332"/>
  <c r="K33" i="332"/>
  <c r="H33" i="332"/>
  <c r="M32" i="332"/>
  <c r="N32" i="332" s="1"/>
  <c r="L32" i="332"/>
  <c r="K32" i="332"/>
  <c r="H32" i="332"/>
  <c r="N31" i="332"/>
  <c r="M31" i="332"/>
  <c r="L31" i="332"/>
  <c r="K31" i="332"/>
  <c r="H31" i="332"/>
  <c r="N30" i="332"/>
  <c r="M30" i="332"/>
  <c r="L30" i="332"/>
  <c r="K30" i="332"/>
  <c r="H30" i="332"/>
  <c r="M29" i="332"/>
  <c r="N29" i="332" s="1"/>
  <c r="L29" i="332"/>
  <c r="K29" i="332"/>
  <c r="H29" i="332"/>
  <c r="M28" i="332"/>
  <c r="N28" i="332" s="1"/>
  <c r="L28" i="332"/>
  <c r="K28" i="332"/>
  <c r="H28" i="332"/>
  <c r="M21" i="332"/>
  <c r="L21" i="332"/>
  <c r="N21" i="332" s="1"/>
  <c r="K21" i="332"/>
  <c r="H21" i="332"/>
  <c r="L20" i="332"/>
  <c r="M20" i="332" s="1"/>
  <c r="K20" i="332"/>
  <c r="H20" i="332"/>
  <c r="L19" i="332"/>
  <c r="N19" i="332" s="1"/>
  <c r="K19" i="332"/>
  <c r="H19" i="332"/>
  <c r="L18" i="332"/>
  <c r="N18" i="332" s="1"/>
  <c r="K18" i="332"/>
  <c r="H18" i="332"/>
  <c r="N17" i="332"/>
  <c r="L17" i="332"/>
  <c r="M17" i="332" s="1"/>
  <c r="K17" i="332"/>
  <c r="H17" i="332"/>
  <c r="N16" i="332"/>
  <c r="L16" i="332"/>
  <c r="M16" i="332" s="1"/>
  <c r="K16" i="332"/>
  <c r="H16" i="332"/>
  <c r="L15" i="332"/>
  <c r="N15" i="332" s="1"/>
  <c r="K15" i="332"/>
  <c r="H15" i="332"/>
  <c r="M14" i="332"/>
  <c r="L14" i="332"/>
  <c r="N14" i="332" s="1"/>
  <c r="K14" i="332"/>
  <c r="H14" i="332"/>
  <c r="M13" i="332"/>
  <c r="L13" i="332"/>
  <c r="N13" i="332" s="1"/>
  <c r="K13" i="332"/>
  <c r="H13" i="332"/>
  <c r="L12" i="332"/>
  <c r="M12" i="332" s="1"/>
  <c r="K12" i="332"/>
  <c r="H12" i="332"/>
  <c r="M5" i="332"/>
  <c r="J5" i="332"/>
  <c r="K5" i="332" s="1"/>
  <c r="H5" i="332"/>
  <c r="G6" i="16" s="1"/>
  <c r="H6" i="16" s="1"/>
  <c r="G5" i="332"/>
  <c r="E5" i="332"/>
  <c r="D53" i="331"/>
  <c r="D52" i="331"/>
  <c r="D51" i="331"/>
  <c r="D50" i="331"/>
  <c r="D49" i="331"/>
  <c r="D48" i="331"/>
  <c r="D47" i="331"/>
  <c r="D46" i="331"/>
  <c r="D45" i="331"/>
  <c r="D44" i="331"/>
  <c r="M37" i="331"/>
  <c r="N37" i="331" s="1"/>
  <c r="L37" i="331"/>
  <c r="K37" i="331"/>
  <c r="H37" i="331"/>
  <c r="M36" i="331"/>
  <c r="N36" i="331" s="1"/>
  <c r="L36" i="331"/>
  <c r="K36" i="331"/>
  <c r="H36" i="331"/>
  <c r="M35" i="331"/>
  <c r="N35" i="331" s="1"/>
  <c r="L35" i="331"/>
  <c r="K35" i="331"/>
  <c r="H35" i="331"/>
  <c r="M34" i="331"/>
  <c r="N34" i="331" s="1"/>
  <c r="L34" i="331"/>
  <c r="K34" i="331"/>
  <c r="H34" i="331"/>
  <c r="M33" i="331"/>
  <c r="N33" i="331" s="1"/>
  <c r="L33" i="331"/>
  <c r="K33" i="331"/>
  <c r="H33" i="331"/>
  <c r="N32" i="331"/>
  <c r="M32" i="331"/>
  <c r="L32" i="331"/>
  <c r="K32" i="331"/>
  <c r="H32" i="331"/>
  <c r="N31" i="331"/>
  <c r="M31" i="331"/>
  <c r="L31" i="331"/>
  <c r="K31" i="331"/>
  <c r="H31" i="331"/>
  <c r="M30" i="331"/>
  <c r="N30" i="331" s="1"/>
  <c r="L30" i="331"/>
  <c r="K30" i="331"/>
  <c r="H30" i="331"/>
  <c r="M29" i="331"/>
  <c r="N29" i="331" s="1"/>
  <c r="L29" i="331"/>
  <c r="K29" i="331"/>
  <c r="H29" i="331"/>
  <c r="M28" i="331"/>
  <c r="N28" i="331" s="1"/>
  <c r="L28" i="331"/>
  <c r="K28" i="331"/>
  <c r="H28" i="331"/>
  <c r="L21" i="331"/>
  <c r="M21" i="331" s="1"/>
  <c r="K21" i="331"/>
  <c r="H21" i="331"/>
  <c r="L20" i="331"/>
  <c r="N20" i="331" s="1"/>
  <c r="K20" i="331"/>
  <c r="H20" i="331"/>
  <c r="L19" i="331"/>
  <c r="N19" i="331" s="1"/>
  <c r="K19" i="331"/>
  <c r="H19" i="331"/>
  <c r="N18" i="331"/>
  <c r="L18" i="331"/>
  <c r="M18" i="331" s="1"/>
  <c r="K18" i="331"/>
  <c r="H18" i="331"/>
  <c r="N17" i="331"/>
  <c r="L17" i="331"/>
  <c r="M17" i="331" s="1"/>
  <c r="K17" i="331"/>
  <c r="H17" i="331"/>
  <c r="L16" i="331"/>
  <c r="N16" i="331" s="1"/>
  <c r="K16" i="331"/>
  <c r="H16" i="331"/>
  <c r="M15" i="331"/>
  <c r="L15" i="331"/>
  <c r="N15" i="331" s="1"/>
  <c r="K15" i="331"/>
  <c r="H15" i="331"/>
  <c r="M14" i="331"/>
  <c r="L14" i="331"/>
  <c r="N14" i="331" s="1"/>
  <c r="K14" i="331"/>
  <c r="H14" i="331"/>
  <c r="L13" i="331"/>
  <c r="M13" i="331" s="1"/>
  <c r="K13" i="331"/>
  <c r="H13" i="331"/>
  <c r="L12" i="331"/>
  <c r="N12" i="331" s="1"/>
  <c r="K12" i="331"/>
  <c r="H12" i="331"/>
  <c r="M5" i="331"/>
  <c r="J5" i="331"/>
  <c r="K5" i="331" s="1"/>
  <c r="H5" i="331"/>
  <c r="I5" i="331" s="1"/>
  <c r="G5" i="331"/>
  <c r="E5" i="331"/>
  <c r="N13" i="331" l="1"/>
  <c r="N21" i="331"/>
  <c r="I5" i="332"/>
  <c r="N12" i="332"/>
  <c r="N20" i="332"/>
  <c r="I6" i="16"/>
  <c r="J6" i="16" s="1"/>
  <c r="M12" i="331"/>
  <c r="M20" i="331"/>
  <c r="M19" i="332"/>
  <c r="M12" i="333"/>
  <c r="M14" i="333"/>
  <c r="G5" i="16"/>
  <c r="H5" i="16" s="1"/>
  <c r="M19" i="333"/>
  <c r="I5" i="16"/>
  <c r="J5" i="16" s="1"/>
  <c r="L5" i="16"/>
  <c r="M19" i="331"/>
  <c r="M18" i="332"/>
  <c r="M16" i="331"/>
  <c r="M15" i="332"/>
  <c r="G7" i="16"/>
  <c r="H7" i="16" s="1"/>
  <c r="I7" i="16"/>
  <c r="J7" i="16" s="1"/>
  <c r="F7" i="16"/>
  <c r="L6" i="16"/>
  <c r="D7" i="16"/>
  <c r="L7" i="16"/>
  <c r="F6" i="16"/>
  <c r="N18" i="333"/>
  <c r="D50" i="333"/>
  <c r="D45" i="333"/>
  <c r="M15" i="333"/>
  <c r="M20" i="333"/>
  <c r="N13" i="333"/>
  <c r="M5" i="333"/>
  <c r="M16" i="333"/>
  <c r="D51" i="333"/>
  <c r="D44" i="333"/>
  <c r="D47" i="333"/>
  <c r="D49" i="333"/>
  <c r="M21" i="333"/>
  <c r="D52" i="333"/>
  <c r="M17" i="333"/>
  <c r="D46" i="333"/>
  <c r="D48" i="333"/>
  <c r="K4" i="16"/>
  <c r="G4" i="16"/>
  <c r="E4" i="16"/>
  <c r="C4" i="16"/>
  <c r="B4" i="16"/>
  <c r="M37" i="319"/>
  <c r="N37" i="319" s="1"/>
  <c r="L37" i="319"/>
  <c r="K37" i="319"/>
  <c r="H37" i="319"/>
  <c r="N36" i="319"/>
  <c r="M36" i="319"/>
  <c r="L36" i="319"/>
  <c r="K36" i="319"/>
  <c r="H36" i="319"/>
  <c r="M35" i="319"/>
  <c r="N35" i="319" s="1"/>
  <c r="L35" i="319"/>
  <c r="K35" i="319"/>
  <c r="H35" i="319"/>
  <c r="M34" i="319"/>
  <c r="N34" i="319" s="1"/>
  <c r="L34" i="319"/>
  <c r="K34" i="319"/>
  <c r="H34" i="319"/>
  <c r="M33" i="319"/>
  <c r="N33" i="319" s="1"/>
  <c r="L33" i="319"/>
  <c r="K33" i="319"/>
  <c r="H33" i="319"/>
  <c r="M32" i="319"/>
  <c r="N32" i="319" s="1"/>
  <c r="L32" i="319"/>
  <c r="K32" i="319"/>
  <c r="H32" i="319"/>
  <c r="M31" i="319"/>
  <c r="N31" i="319" s="1"/>
  <c r="L31" i="319"/>
  <c r="K31" i="319"/>
  <c r="H31" i="319"/>
  <c r="M30" i="319"/>
  <c r="N30" i="319" s="1"/>
  <c r="L30" i="319"/>
  <c r="K30" i="319"/>
  <c r="H30" i="319"/>
  <c r="N29" i="319"/>
  <c r="M29" i="319"/>
  <c r="L29" i="319"/>
  <c r="K29" i="319"/>
  <c r="H29" i="319"/>
  <c r="M28" i="319"/>
  <c r="N28" i="319" s="1"/>
  <c r="L28" i="319"/>
  <c r="K28" i="319"/>
  <c r="H28" i="319"/>
  <c r="L21" i="319"/>
  <c r="M21" i="319" s="1"/>
  <c r="K21" i="319"/>
  <c r="H21" i="319"/>
  <c r="L20" i="319"/>
  <c r="N20" i="319" s="1"/>
  <c r="K20" i="319"/>
  <c r="H20" i="319"/>
  <c r="L19" i="319"/>
  <c r="M19" i="319" s="1"/>
  <c r="K19" i="319"/>
  <c r="H19" i="319"/>
  <c r="L18" i="319"/>
  <c r="M18" i="319" s="1"/>
  <c r="K18" i="319"/>
  <c r="H18" i="319"/>
  <c r="L17" i="319"/>
  <c r="M17" i="319" s="1"/>
  <c r="K17" i="319"/>
  <c r="H17" i="319"/>
  <c r="L16" i="319"/>
  <c r="N16" i="319" s="1"/>
  <c r="K16" i="319"/>
  <c r="H16" i="319"/>
  <c r="L15" i="319"/>
  <c r="N15" i="319" s="1"/>
  <c r="K15" i="319"/>
  <c r="H15" i="319"/>
  <c r="L14" i="319"/>
  <c r="N14" i="319" s="1"/>
  <c r="K14" i="319"/>
  <c r="H14" i="319"/>
  <c r="L13" i="319"/>
  <c r="N13" i="319" s="1"/>
  <c r="K13" i="319"/>
  <c r="H13" i="319"/>
  <c r="L12" i="319"/>
  <c r="N12" i="319" s="1"/>
  <c r="K12" i="319"/>
  <c r="H12" i="319"/>
  <c r="D49" i="319"/>
  <c r="J5" i="319"/>
  <c r="K5" i="319" s="1"/>
  <c r="H5" i="319"/>
  <c r="I5" i="319" s="1"/>
  <c r="G5" i="319"/>
  <c r="E5" i="319"/>
  <c r="M14" i="319" l="1"/>
  <c r="M16" i="319"/>
  <c r="I4" i="16"/>
  <c r="N21" i="319"/>
  <c r="M13" i="319"/>
  <c r="N18" i="319"/>
  <c r="D50" i="319"/>
  <c r="M5" i="319"/>
  <c r="D51" i="319"/>
  <c r="D52" i="319"/>
  <c r="D53" i="319"/>
  <c r="D46" i="319"/>
  <c r="M12" i="319"/>
  <c r="N19" i="319"/>
  <c r="D44" i="319"/>
  <c r="M15" i="319"/>
  <c r="M20" i="319"/>
  <c r="D47" i="319"/>
  <c r="N17" i="319"/>
  <c r="D45" i="319"/>
  <c r="D48" i="319"/>
  <c r="A5" i="16" l="1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6" i="16" s="1"/>
  <c r="A17" i="16" s="1"/>
  <c r="A18" i="16" s="1"/>
  <c r="A19" i="16" s="1"/>
  <c r="A20" i="16" s="1"/>
  <c r="A21" i="16" s="1"/>
  <c r="A22" i="16" s="1"/>
  <c r="A23" i="16" s="1"/>
  <c r="A24" i="16" s="1"/>
  <c r="A25" i="16" s="1"/>
  <c r="A26" i="16" s="1"/>
  <c r="A27" i="16" s="1"/>
  <c r="A28" i="16" s="1"/>
  <c r="A29" i="16" s="1"/>
  <c r="A30" i="16" s="1"/>
  <c r="A31" i="16" s="1"/>
  <c r="A32" i="16" l="1"/>
  <c r="A33" i="16" s="1"/>
  <c r="A34" i="16" s="1"/>
  <c r="L4" i="16" l="1"/>
  <c r="J4" i="16"/>
  <c r="H4" i="16"/>
  <c r="D4" i="16" l="1"/>
  <c r="F4" i="16"/>
</calcChain>
</file>

<file path=xl/sharedStrings.xml><?xml version="1.0" encoding="utf-8"?>
<sst xmlns="http://schemas.openxmlformats.org/spreadsheetml/2006/main" count="5804" uniqueCount="1152">
  <si>
    <r>
      <rPr>
        <b/>
        <sz val="20"/>
        <color theme="1"/>
        <rFont val="微軟正黑體"/>
        <family val="2"/>
        <charset val="136"/>
      </rPr>
      <t>分析原因</t>
    </r>
    <r>
      <rPr>
        <b/>
        <sz val="16"/>
        <color theme="1"/>
        <rFont val="微軟正黑體"/>
        <family val="2"/>
        <charset val="136"/>
      </rPr>
      <t xml:space="preserve">
(細項說明參照當日分頁)</t>
    </r>
    <phoneticPr fontId="180" type="noConversion"/>
  </si>
  <si>
    <t>半成品品項數</t>
    <phoneticPr fontId="180" type="noConversion"/>
  </si>
  <si>
    <t>日期</t>
    <phoneticPr fontId="182" type="noConversion"/>
  </si>
  <si>
    <t>營業額</t>
    <phoneticPr fontId="180" type="noConversion"/>
  </si>
  <si>
    <t>報廢額</t>
    <phoneticPr fontId="182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</si>
  <si>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80" type="noConversion"/>
  </si>
  <si>
    <t>超用額</t>
    <phoneticPr fontId="182" type="noConversion"/>
  </si>
  <si>
    <t>超用率</t>
    <phoneticPr fontId="180" type="noConversion"/>
  </si>
  <si>
    <t>廢棄前10名</t>
    <phoneticPr fontId="180" type="noConversion"/>
  </si>
  <si>
    <t>共用類廢棄</t>
    <phoneticPr fontId="180" type="noConversion"/>
  </si>
  <si>
    <t>金額總計</t>
    <phoneticPr fontId="180" type="noConversion"/>
  </si>
  <si>
    <t>構成比</t>
    <phoneticPr fontId="180" type="noConversion"/>
  </si>
  <si>
    <t>金額總計</t>
    <phoneticPr fontId="182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</si>
  <si>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182" type="noConversion"/>
  </si>
  <si>
    <t>※淺黃色為工廠自填項目</t>
    <phoneticPr fontId="182" type="noConversion"/>
  </si>
  <si>
    <t>※日期紅色為新品日</t>
    <phoneticPr fontId="182" type="noConversion"/>
  </si>
  <si>
    <t>超用前10名</t>
    <phoneticPr fontId="180" type="noConversion"/>
  </si>
  <si>
    <t>開發設定</t>
    <phoneticPr fontId="180" type="noConversion"/>
  </si>
  <si>
    <t>原物料</t>
  </si>
  <si>
    <t>調理端</t>
  </si>
  <si>
    <t>調理端</t>
    <phoneticPr fontId="180" type="noConversion"/>
  </si>
  <si>
    <t>原物料</t>
    <phoneticPr fontId="180" type="noConversion"/>
  </si>
  <si>
    <t>組合室</t>
  </si>
  <si>
    <t>組合室</t>
    <phoneticPr fontId="180" type="noConversion"/>
  </si>
  <si>
    <t>古早味炒炊粉</t>
  </si>
  <si>
    <t>共用類</t>
  </si>
  <si>
    <t>瘋狂奶油起司(113.11)</t>
  </si>
  <si>
    <t>瘋狂起司三明治(113年)</t>
  </si>
  <si>
    <t>拌總匯雞蛋沙拉CL(113年)</t>
  </si>
  <si>
    <t>醬燒烤雞三明治</t>
  </si>
  <si>
    <t>(V)電解消毒小黃瓜絲</t>
  </si>
  <si>
    <t>電解消毒切段廣東A</t>
  </si>
  <si>
    <t>切新重煙燻火腿0.9mm</t>
  </si>
  <si>
    <t>電解消毒美生菜(三明治用)</t>
  </si>
  <si>
    <t>電解消毒蔥花</t>
  </si>
  <si>
    <t>蒸基礎風味雞肉絲</t>
  </si>
  <si>
    <t>電解消毒十字切美生菜</t>
  </si>
  <si>
    <t>電解消毒切段美生菜2-3cm</t>
  </si>
  <si>
    <t>電解消毒雙色高麗菜絲(7:3)</t>
  </si>
  <si>
    <t>電解消毒混合紅K高麗絲</t>
  </si>
  <si>
    <t>F-台式特級沙拉醬</t>
  </si>
  <si>
    <t>青檸沙拉醬(113.03)</t>
  </si>
  <si>
    <t>青醬優格(113.06)</t>
  </si>
  <si>
    <t>電解消毒紫洋蔥(去皮)切絲</t>
  </si>
  <si>
    <t>炒金鉤蝦肉燥(112年)</t>
  </si>
  <si>
    <t>油亮蒜味香腸片</t>
  </si>
  <si>
    <t>蒸鼎泰豐香辣醬</t>
  </si>
  <si>
    <t>油亮後腿肉絲</t>
  </si>
  <si>
    <t>蒸海鮮醬(料)</t>
  </si>
  <si>
    <t>溏心蛋洋芋沙拉</t>
  </si>
  <si>
    <t>溏心洋芋沙拉(113.06)</t>
  </si>
  <si>
    <t>蔥鹽雞肉麵沙拉(114年)</t>
  </si>
  <si>
    <t>鼎泰豐-煮麻婆豆腐(113年)</t>
  </si>
  <si>
    <t>辛口咖哩豬肉(112年)</t>
  </si>
  <si>
    <t>濃辛辣咖哩醬</t>
  </si>
  <si>
    <t>果香甘口咖哩腿丁</t>
  </si>
  <si>
    <t>川燙青紅辣椒圓片</t>
  </si>
  <si>
    <t>極上炙烤親子丼</t>
  </si>
  <si>
    <t>炙烤雞腿丁(113年)</t>
  </si>
  <si>
    <t>日式烤洋蔥絲(114年)</t>
  </si>
  <si>
    <t>可果美蕃茄醬</t>
  </si>
  <si>
    <t>輕乳酪巧克力三明治</t>
  </si>
  <si>
    <t>原味起司(110年)</t>
  </si>
  <si>
    <t>炒肉鬆餡料(113.03)</t>
  </si>
  <si>
    <t>新豐廠半成品管理日別總表</t>
    <phoneticPr fontId="180" type="noConversion"/>
  </si>
  <si>
    <t>原物料特性，梗葉比例重量差異，抓樣不穩</t>
  </si>
  <si>
    <t>調理多產</t>
  </si>
  <si>
    <t>秤重物料，過多無法剝除</t>
  </si>
  <si>
    <t>電解消毒牛蕃茄切片</t>
  </si>
  <si>
    <t>電解消毒三色高麗菜絲</t>
  </si>
  <si>
    <t>秤重物料，剝除會導致操作變慢</t>
  </si>
  <si>
    <t>肯瓊醬(114.04)</t>
  </si>
  <si>
    <t>生產餘料，人員抓樣不穩</t>
  </si>
  <si>
    <t>二配香拌海鮮醬肉絲蛋炒飯</t>
  </si>
  <si>
    <t>二配金咖哩果香甘口咖哩飯</t>
  </si>
  <si>
    <t>二配煸椒烘蛋飯</t>
  </si>
  <si>
    <t>二配香辣醬蒜味香腸蛋炒飯</t>
  </si>
  <si>
    <t>二配川味麻婆燒豆腐燴飯</t>
  </si>
  <si>
    <t>二配金咖哩濃厚辛辣咖哩飯</t>
  </si>
  <si>
    <t>開發設定</t>
  </si>
  <si>
    <t>抓樣使用，使用上會較難一片片分開</t>
  </si>
  <si>
    <t>原物料特性，調理後持續出水導致殘水率高</t>
  </si>
  <si>
    <t>藍莓優格三明治(114年)</t>
  </si>
  <si>
    <t>藍莓優格奶油霜(114.05)</t>
  </si>
  <si>
    <t>冰杓定量挖取(使用量上會較起伏)，持續上抽測確認人員使用準確度</t>
  </si>
  <si>
    <t>紅燒纖牛若風味燴飯</t>
  </si>
  <si>
    <t>(V)川燙油菜2.5cm</t>
  </si>
  <si>
    <t>(V)炒冬瓜</t>
  </si>
  <si>
    <t>調理製程，狀態細碎</t>
  </si>
  <si>
    <t>莎莎烤雞麵沙拉</t>
  </si>
  <si>
    <t>水果莎莎醬(114.06)</t>
  </si>
  <si>
    <t>新豐廠半成品管理分析</t>
  </si>
  <si>
    <t>日期</t>
  </si>
  <si>
    <t>營業額</t>
  </si>
  <si>
    <t>報廢展開</t>
  </si>
  <si>
    <t>超用展開</t>
  </si>
  <si>
    <t>總報廢</t>
  </si>
  <si>
    <t>總超用</t>
  </si>
  <si>
    <t>報廢-前10名</t>
  </si>
  <si>
    <t>超用-前10名</t>
  </si>
  <si>
    <t>共用類-總報廢</t>
  </si>
  <si>
    <t>金額</t>
  </si>
  <si>
    <t>占比(營業額)</t>
  </si>
  <si>
    <t>占比(總報廢)</t>
  </si>
  <si>
    <t>占比(總超用)</t>
  </si>
  <si>
    <t>年度KPI目標0.25%</t>
  </si>
  <si>
    <t>起司芋見肉鬆三明治</t>
  </si>
  <si>
    <t>114年自製芋頭餡</t>
  </si>
  <si>
    <t>電解消毒混合蔥鹽蔬菜絲</t>
  </si>
  <si>
    <t>冰杓定量挖取(使用量上會較起伏)</t>
  </si>
  <si>
    <t>產出量</t>
    <phoneticPr fontId="180" type="noConversion"/>
  </si>
  <si>
    <t>組裝量少，人員抓樣不穩</t>
  </si>
  <si>
    <t>川燙切片青江菜(VN-151)</t>
  </si>
  <si>
    <t>二配港式香滑嫩蛋牛肉燴飯</t>
  </si>
  <si>
    <t>川燙醃嫩化淨零碳排牛肉片</t>
  </si>
  <si>
    <t>香滑嫩蛋牛肉-燴汁</t>
  </si>
  <si>
    <t>胡麻沙拉醬(114.07)</t>
  </si>
  <si>
    <t>熟化帶皮黃肉地瓜滾刀7-13g</t>
  </si>
  <si>
    <t>炒素鬆(新豐113.04)</t>
  </si>
  <si>
    <t>( V)烤紫洋蔥絲</t>
  </si>
  <si>
    <t>二配黑胡椒素豬若飯</t>
  </si>
  <si>
    <t>(V)川燙切片高麗菜</t>
  </si>
  <si>
    <t>二配美味蟹煲</t>
  </si>
  <si>
    <t>烤鹹蛋黃碎</t>
  </si>
  <si>
    <t>蒸新珍珍蟹味絲CL</t>
  </si>
  <si>
    <t>注餡機使用(機器出料落差)，人員持續於線上不定時抽測重量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</si>
  <si>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</si>
  <si>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</si>
  <si>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</si>
  <si>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</si>
  <si>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</si>
  <si>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</si>
  <si>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</si>
  <si>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</si>
  <si>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</si>
  <si>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</si>
  <si>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</si>
  <si>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</si>
  <si>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</si>
  <si>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</si>
  <si>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</si>
  <si>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</si>
  <si>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</si>
  <si>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</si>
  <si>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</si>
  <si>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</si>
  <si>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</si>
  <si>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</si>
  <si>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</si>
  <si>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</si>
  <si>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</si>
  <si>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</si>
  <si>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</si>
  <si>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分析原因</t>
    <phoneticPr fontId="180" type="noConversion"/>
  </si>
  <si>
    <t>備註-商品名稱</t>
    <phoneticPr fontId="181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</si>
  <si>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</si>
  <si>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</si>
  <si>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</si>
  <si>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超用金額
排序</t>
    <phoneticPr fontId="180" type="noConversion"/>
  </si>
  <si>
    <t>產出量</t>
    <phoneticPr fontId="180" type="noConversion"/>
  </si>
  <si>
    <t>報廢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</si>
  <si>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</si>
  <si>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</si>
  <si>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</si>
  <si>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</si>
  <si>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</si>
  <si>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</si>
  <si>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</si>
  <si>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kg</t>
    <phoneticPr fontId="180" type="noConversion"/>
  </si>
  <si>
    <t>共用類報廢金額前十名半成品</t>
    <phoneticPr fontId="180" type="noConversion"/>
  </si>
  <si>
    <t>明細展開</t>
    <phoneticPr fontId="180" type="noConversion"/>
  </si>
  <si>
    <t>排序</t>
    <phoneticPr fontId="181" type="noConversion"/>
  </si>
  <si>
    <t>名稱</t>
    <phoneticPr fontId="180" type="noConversion"/>
  </si>
  <si>
    <t>報廢金額
排序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</si>
  <si>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</si>
  <si>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</si>
  <si>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</si>
  <si>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1.5i調理多產 2.1i原物料特性，梗葉比例重量差異，抓樣不穩 3.1i原物料特性，調理後持續出水導致殘水率高 4.1i調理製程，狀態細碎 5.1i組裝量少，人員抓樣不穩 6.1i生產餘料，人員抓樣不穩</t>
  </si>
  <si>
    <t>刮板使用，人員操作手法異常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</si>
  <si>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</si>
  <si>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</si>
  <si>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</si>
  <si>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</si>
  <si>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</si>
  <si>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</si>
  <si>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</si>
  <si>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</si>
  <si>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</si>
  <si>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</si>
  <si>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</si>
  <si>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</si>
  <si>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</si>
  <si>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</si>
  <si>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</si>
  <si>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</si>
  <si>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</si>
  <si>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</si>
  <si>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</si>
  <si>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</si>
  <si>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</si>
  <si>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</si>
  <si>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</si>
  <si>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</si>
  <si>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</si>
  <si>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分析原因</t>
    <phoneticPr fontId="180" type="noConversion"/>
  </si>
  <si>
    <t>生產端</t>
    <phoneticPr fontId="180" type="noConversion"/>
  </si>
  <si>
    <t>超用金額
排序</t>
    <phoneticPr fontId="180" type="noConversion"/>
  </si>
  <si>
    <t>產出量</t>
    <phoneticPr fontId="180" type="noConversion"/>
  </si>
  <si>
    <t>報廢</t>
    <phoneticPr fontId="180" type="noConversion"/>
  </si>
  <si>
    <t>訂單需求
(kg)</t>
    <phoneticPr fontId="180" type="noConversion"/>
  </si>
  <si>
    <t>補單
(kg)</t>
    <phoneticPr fontId="180" type="noConversion"/>
  </si>
  <si>
    <t>差異
(元)</t>
    <phoneticPr fontId="180" type="noConversion"/>
  </si>
  <si>
    <t>占比</t>
    <phoneticPr fontId="180" type="noConversion"/>
  </si>
  <si>
    <t>共用類報廢金額前十名半成品</t>
    <phoneticPr fontId="180" type="noConversion"/>
  </si>
  <si>
    <t>名稱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</si>
  <si>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</si>
  <si>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</si>
  <si>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</si>
  <si>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</si>
  <si>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</si>
  <si>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</si>
  <si>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</si>
  <si>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</si>
  <si>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</si>
  <si>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</si>
  <si>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</si>
  <si>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</si>
  <si>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</si>
  <si>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</si>
  <si>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超用</t>
    <phoneticPr fontId="180" type="noConversion"/>
  </si>
  <si>
    <t>單價
(元)</t>
    <phoneticPr fontId="182" type="noConversion"/>
  </si>
  <si>
    <t>實際生產
(對比訂單需求)</t>
    <phoneticPr fontId="182" type="noConversion"/>
  </si>
  <si>
    <t>kg</t>
    <phoneticPr fontId="180" type="noConversion"/>
  </si>
  <si>
    <t>金額
(元)</t>
    <phoneticPr fontId="181" type="noConversion"/>
  </si>
  <si>
    <t>生產資訊</t>
    <phoneticPr fontId="180" type="noConversion"/>
  </si>
  <si>
    <t>半成品</t>
    <phoneticPr fontId="180" type="noConversion"/>
  </si>
  <si>
    <t>報廢</t>
    <phoneticPr fontId="180" type="noConversion"/>
  </si>
  <si>
    <t>實際產出
(kg)</t>
    <phoneticPr fontId="180" type="noConversion"/>
  </si>
  <si>
    <t>kg</t>
    <phoneticPr fontId="180" type="noConversion"/>
  </si>
  <si>
    <t>共用類報廢金額前十名半成品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</si>
  <si>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</si>
  <si>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</si>
  <si>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報廢金額前十名半成品</t>
    <phoneticPr fontId="180" type="noConversion"/>
  </si>
  <si>
    <t>類別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</si>
  <si>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</si>
  <si>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</si>
  <si>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</si>
  <si>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</si>
  <si>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</si>
  <si>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</si>
  <si>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</si>
  <si>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</si>
  <si>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超用</t>
    <phoneticPr fontId="180" type="noConversion"/>
  </si>
  <si>
    <t>實際產出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</si>
  <si>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</si>
  <si>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</si>
  <si>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kg</t>
    <phoneticPr fontId="180" type="noConversion"/>
  </si>
  <si>
    <t>占比</t>
    <phoneticPr fontId="180" type="noConversion"/>
  </si>
  <si>
    <t>kg</t>
    <phoneticPr fontId="180" type="noConversion"/>
  </si>
  <si>
    <t>金額
(元)</t>
    <phoneticPr fontId="181" type="noConversion"/>
  </si>
  <si>
    <t>超用金額前十名半成品</t>
    <phoneticPr fontId="180" type="noConversion"/>
  </si>
  <si>
    <t>分析原因</t>
    <phoneticPr fontId="180" type="noConversion"/>
  </si>
  <si>
    <t>排序</t>
    <phoneticPr fontId="181" type="noConversion"/>
  </si>
  <si>
    <t>半成品</t>
    <phoneticPr fontId="180" type="noConversion"/>
  </si>
  <si>
    <t>超用金額
排序</t>
    <phoneticPr fontId="180" type="noConversion"/>
  </si>
  <si>
    <t>產出量</t>
    <phoneticPr fontId="180" type="noConversion"/>
  </si>
  <si>
    <t>報廢</t>
    <phoneticPr fontId="180" type="noConversion"/>
  </si>
  <si>
    <t>實際產出
(kg)</t>
    <phoneticPr fontId="180" type="noConversion"/>
  </si>
  <si>
    <t>補單
(kg)</t>
    <phoneticPr fontId="180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</si>
  <si>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</si>
  <si>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</si>
  <si>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</si>
  <si>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共用類報廢金額前十名半成品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</si>
  <si>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</si>
  <si>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</si>
  <si>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</si>
  <si>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</si>
  <si>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</si>
  <si>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</si>
  <si>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</si>
  <si>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半成品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</si>
  <si>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</si>
  <si>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</si>
  <si>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</si>
  <si>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</si>
  <si>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</si>
  <si>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</si>
  <si>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</si>
  <si>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實際生產
(對比訂單需求)</t>
    <phoneticPr fontId="182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</si>
  <si>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</si>
  <si>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</si>
  <si>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</si>
  <si>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</si>
  <si>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</si>
  <si>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</si>
  <si>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生產端</t>
    <phoneticPr fontId="180" type="noConversion"/>
  </si>
  <si>
    <t>組合端</t>
    <phoneticPr fontId="180" type="noConversion"/>
  </si>
  <si>
    <t>報廢</t>
    <phoneticPr fontId="180" type="noConversion"/>
  </si>
  <si>
    <t>超用</t>
    <phoneticPr fontId="180" type="noConversion"/>
  </si>
  <si>
    <t>實際產出
(kg)</t>
    <phoneticPr fontId="180" type="noConversion"/>
  </si>
  <si>
    <t>單價
(元)</t>
    <phoneticPr fontId="182" type="noConversion"/>
  </si>
  <si>
    <t>差異
(元)</t>
    <phoneticPr fontId="180" type="noConversion"/>
  </si>
  <si>
    <t>地瓜瓜握沙拉</t>
  </si>
  <si>
    <t>共用類報廢金額前十名半成品</t>
    <phoneticPr fontId="180" type="noConversion"/>
  </si>
  <si>
    <t>排序</t>
    <phoneticPr fontId="181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</si>
  <si>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</si>
  <si>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</si>
  <si>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</si>
  <si>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</si>
  <si>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</si>
  <si>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</si>
  <si>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</si>
  <si>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</si>
  <si>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</si>
  <si>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</si>
  <si>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</si>
  <si>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</si>
  <si>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</si>
  <si>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</si>
  <si>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</si>
  <si>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</si>
  <si>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</si>
  <si>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</si>
  <si>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</si>
  <si>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</si>
  <si>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</si>
  <si>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</si>
  <si>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</si>
  <si>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</si>
  <si>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</si>
  <si>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</si>
  <si>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</si>
  <si>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類別</t>
    <phoneticPr fontId="180" type="noConversion"/>
  </si>
  <si>
    <t>備註-商品名稱</t>
    <phoneticPr fontId="181" type="noConversion"/>
  </si>
  <si>
    <t>名稱</t>
    <phoneticPr fontId="180" type="noConversion"/>
  </si>
  <si>
    <t>超用金額
排序</t>
    <phoneticPr fontId="180" type="noConversion"/>
  </si>
  <si>
    <t>超用</t>
    <phoneticPr fontId="180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</si>
  <si>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</si>
  <si>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</si>
  <si>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</si>
  <si>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共用類報廢金額前十名半成品</t>
    <phoneticPr fontId="180" type="noConversion"/>
  </si>
  <si>
    <t>共用類總金額
占比</t>
    <phoneticPr fontId="180" type="noConversion"/>
  </si>
  <si>
    <t>(V)電解消毒細切紅蘿蔔絲</t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</si>
  <si>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</si>
  <si>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</si>
  <si>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</si>
  <si>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</si>
  <si>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</si>
  <si>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</si>
  <si>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</si>
  <si>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</si>
  <si>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</si>
  <si>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</si>
  <si>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</si>
  <si>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</si>
  <si>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</si>
  <si>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</si>
  <si>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</si>
  <si>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</si>
  <si>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</si>
  <si>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</si>
  <si>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</si>
  <si>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</si>
  <si>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</si>
  <si>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</si>
  <si>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</si>
  <si>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kg</t>
    <phoneticPr fontId="180" type="noConversion"/>
  </si>
  <si>
    <t>占比</t>
    <phoneticPr fontId="180" type="noConversion"/>
  </si>
  <si>
    <t>炒辛口紅蘿蔔丁(112年)</t>
  </si>
  <si>
    <t>炒辛口馬鈴薯丁(112年)</t>
  </si>
  <si>
    <t>超用金額前十名半成品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</si>
  <si>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</si>
  <si>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</si>
  <si>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</si>
  <si>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</si>
  <si>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</si>
  <si>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</si>
  <si>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</si>
  <si>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組合端</t>
    <phoneticPr fontId="180" type="noConversion"/>
  </si>
  <si>
    <t>名稱</t>
    <phoneticPr fontId="180" type="noConversion"/>
  </si>
  <si>
    <t>超用金額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</si>
  <si>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</si>
  <si>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</si>
  <si>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</si>
  <si>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</si>
  <si>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</si>
  <si>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</si>
  <si>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</si>
  <si>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</si>
  <si>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</si>
  <si>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金額
(元)</t>
    <phoneticPr fontId="181" type="noConversion"/>
  </si>
  <si>
    <t>kg</t>
    <phoneticPr fontId="180" type="noConversion"/>
  </si>
  <si>
    <t>占比</t>
    <phoneticPr fontId="180" type="noConversion"/>
  </si>
  <si>
    <t>共用類報廢金額前十名半成品</t>
    <phoneticPr fontId="180" type="noConversion"/>
  </si>
  <si>
    <t>明細展開</t>
    <phoneticPr fontId="180" type="noConversion"/>
  </si>
  <si>
    <t>排序</t>
    <phoneticPr fontId="181" type="noConversion"/>
  </si>
  <si>
    <t>半成品</t>
    <phoneticPr fontId="180" type="noConversion"/>
  </si>
  <si>
    <t>名稱</t>
    <phoneticPr fontId="180" type="noConversion"/>
  </si>
  <si>
    <t>報廢金額
排序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</si>
  <si>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</si>
  <si>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</si>
  <si>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</si>
  <si>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雙圈秤重，人員磅秤使用再持續確認精準度</t>
    <phoneticPr fontId="180" type="noConversion"/>
  </si>
  <si>
    <t>組合室</t>
    <phoneticPr fontId="180" type="noConversion"/>
  </si>
  <si>
    <t>原物料特性，重量規格落差太大，導致超用提升</t>
    <phoneticPr fontId="180" type="noConversion"/>
  </si>
  <si>
    <t>原物料特性，重量規格落差太大，導致超用提升</t>
    <phoneticPr fontId="180" type="noConversion"/>
  </si>
  <si>
    <t>人員抓樣，絲狀較長抓樣重量差異</t>
    <phoneticPr fontId="180" type="noConversion"/>
  </si>
  <si>
    <t>組合室</t>
    <phoneticPr fontId="180" type="noConversion"/>
  </si>
  <si>
    <t>人員抓樣，絲狀較長抓樣重量差異</t>
  </si>
  <si>
    <t>注餡機使用(機器出料就有落差)，人員持續於線上不定時抽測重量</t>
    <phoneticPr fontId="180" type="noConversion"/>
  </si>
  <si>
    <t>原物料特性，重量規格落差太大，導致超用提升</t>
    <phoneticPr fontId="180" type="noConversion"/>
  </si>
  <si>
    <t>組合室</t>
    <phoneticPr fontId="180" type="noConversion"/>
  </si>
  <si>
    <t>原物料特性，重量規格落差太大，導致超用提升</t>
    <phoneticPr fontId="180" type="noConversion"/>
  </si>
  <si>
    <t>組合室</t>
    <phoneticPr fontId="180" type="noConversion"/>
  </si>
  <si>
    <t>刮板使用，操作人員不穩定，持續線上抽檢</t>
    <phoneticPr fontId="180" type="noConversion"/>
  </si>
  <si>
    <t>組合室</t>
    <phoneticPr fontId="180" type="noConversion"/>
  </si>
  <si>
    <t>人員抓樣手感不穩</t>
    <phoneticPr fontId="180" type="noConversion"/>
  </si>
  <si>
    <t>原物料特性，梗葉比例重量差異大</t>
    <phoneticPr fontId="180" type="noConversion"/>
  </si>
  <si>
    <t>原物料製程未過篩，調理製程後較細碎</t>
    <phoneticPr fontId="180" type="noConversion"/>
  </si>
  <si>
    <t>調理多產預留超用量</t>
    <phoneticPr fontId="180" type="noConversion"/>
  </si>
  <si>
    <t>原物料特性，調理製程後較細碎</t>
    <phoneticPr fontId="180" type="noConversion"/>
  </si>
  <si>
    <t>原果重量大小差異</t>
    <phoneticPr fontId="180" type="noConversion"/>
  </si>
  <si>
    <t>組合端</t>
    <phoneticPr fontId="180" type="noConversion"/>
  </si>
  <si>
    <t>人員抓樣手感不穩</t>
    <phoneticPr fontId="180" type="noConversion"/>
  </si>
  <si>
    <t>調理端</t>
    <phoneticPr fontId="180" type="noConversion"/>
  </si>
  <si>
    <t>調理多產預留超用量</t>
    <phoneticPr fontId="180" type="noConversion"/>
  </si>
  <si>
    <t>調理後持續出水導致殘水率高</t>
    <phoneticPr fontId="180" type="noConversion"/>
  </si>
  <si>
    <t>組合端</t>
    <phoneticPr fontId="180" type="noConversion"/>
  </si>
  <si>
    <t>組合補單退回</t>
    <phoneticPr fontId="180" type="noConversion"/>
  </si>
  <si>
    <t>組合補單退回</t>
    <phoneticPr fontId="180" type="noConversion"/>
  </si>
  <si>
    <t>原物料</t>
    <phoneticPr fontId="180" type="noConversion"/>
  </si>
  <si>
    <t>組合端</t>
    <phoneticPr fontId="180" type="noConversion"/>
  </si>
  <si>
    <t>調理多產預留超用量</t>
    <phoneticPr fontId="180" type="noConversion"/>
  </si>
  <si>
    <t>調理端</t>
    <phoneticPr fontId="180" type="noConversion"/>
  </si>
  <si>
    <t>原果重量大小差異</t>
    <phoneticPr fontId="180" type="noConversion"/>
  </si>
  <si>
    <t>調理後持續出水導致殘水率高</t>
    <phoneticPr fontId="180" type="noConversion"/>
  </si>
  <si>
    <t>原物料</t>
    <phoneticPr fontId="180" type="noConversion"/>
  </si>
  <si>
    <t>調理端</t>
    <phoneticPr fontId="180" type="noConversion"/>
  </si>
  <si>
    <t>組合抓樣使用時會有破損狀況發生</t>
    <phoneticPr fontId="180" type="noConversion"/>
  </si>
  <si>
    <t>組合補單退回</t>
    <phoneticPr fontId="180" type="noConversion"/>
  </si>
  <si>
    <t>1.2i人員抓樣手感不穩 2.2i組合補單退回 3.2i調理多產預留超用量 4.2i調理後持續出水導致殘水率高 5.1i原物料特性，梗葉比例重量差異大 6.1i組合抓樣使用時會有破損狀況發生</t>
  </si>
  <si>
    <t>1.4i調理多產預留超用量 2.2i人員抓樣手感不穩 3.2i組合補單退回 4.1i原果重量大小差異 5.1i調理後持續出水導致殘水率高</t>
  </si>
  <si>
    <t>1.2i原物料特性，梗葉比例重量差異大 2.2i組合補單退回 3.2i調理後持續出水導致殘水率高 4.2i調理多產預留超用量 5.1i原果重量大小差異 6.1i人員抓樣手感不穩</t>
  </si>
  <si>
    <t>1.3i調理多產預留超用量 2.3i組合補單退回 3.2i人員抓樣手感不穩 4.1i原物料特性，梗葉比例重量差異大 5.1i調理後持續出水導致殘水率高</t>
  </si>
  <si>
    <t>1.4i人員抓樣手感不穩 2.2i調理多產預留超用量 3.2i調理後持續出水導致殘水率高 4.1i組合補單退回 5.1i原物料特性，梗葉比例重量差異大 6.0i</t>
  </si>
  <si>
    <t>1.3i人員抓樣手感不穩 2.2i原物料製程未過篩，調理製程後較細碎 3.2i調理多產預留超用量 4.1i原物料特性，梗葉比例重量差異大 5.1i原物料特性，調理製程後較細碎 6.1i原果重量大小差異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</si>
  <si>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</si>
  <si>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</si>
  <si>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</si>
  <si>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</si>
  <si>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</si>
  <si>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</si>
  <si>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</si>
  <si>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</si>
  <si>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</si>
  <si>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</si>
  <si>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</si>
  <si>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</si>
  <si>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</si>
  <si>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</si>
  <si>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</si>
  <si>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</si>
  <si>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</si>
  <si>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</si>
  <si>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</si>
  <si>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</si>
  <si>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</si>
  <si>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</si>
  <si>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</si>
  <si>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蒸180切家常豆腐(蟹煲)</t>
  </si>
  <si>
    <t>塔塔醬(112.11)</t>
  </si>
  <si>
    <t>黃金魚堡</t>
  </si>
  <si>
    <t>超用金額前十名半成品</t>
    <phoneticPr fontId="180" type="noConversion"/>
  </si>
  <si>
    <t>生產資訊</t>
    <phoneticPr fontId="180" type="noConversion"/>
  </si>
  <si>
    <t>備註-商品名稱</t>
    <phoneticPr fontId="181" type="noConversion"/>
  </si>
  <si>
    <t>半成品</t>
    <phoneticPr fontId="180" type="noConversion"/>
  </si>
  <si>
    <t>組合端</t>
    <phoneticPr fontId="180" type="noConversion"/>
  </si>
  <si>
    <t>超用金額
排序</t>
    <phoneticPr fontId="180" type="noConversion"/>
  </si>
  <si>
    <t>鼎泰豐-黃金蛋炒飯(112年)</t>
  </si>
  <si>
    <t>F-2025藍莓果醬</t>
  </si>
  <si>
    <t>共用類報廢金額前十名半成品</t>
    <phoneticPr fontId="180" type="noConversion"/>
  </si>
  <si>
    <t>報廢金額
排序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</si>
  <si>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</si>
  <si>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</si>
  <si>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</si>
  <si>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</si>
  <si>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</si>
  <si>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</si>
  <si>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</si>
  <si>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</si>
  <si>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</si>
  <si>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</si>
  <si>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</si>
  <si>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</si>
  <si>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</si>
  <si>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</si>
  <si>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</si>
  <si>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</si>
  <si>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</si>
  <si>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</si>
  <si>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</si>
  <si>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</si>
  <si>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</si>
  <si>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</si>
  <si>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</si>
  <si>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</si>
  <si>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</si>
  <si>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</si>
  <si>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</si>
  <si>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</si>
  <si>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打發植鮮</t>
  </si>
  <si>
    <t>水果派對三明治</t>
  </si>
  <si>
    <t>煮咖哩紅蘿蔔丁(112年)</t>
  </si>
  <si>
    <t>超用金額前十名半成品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</si>
  <si>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</si>
  <si>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</si>
  <si>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分析原因</t>
    <phoneticPr fontId="180" type="noConversion"/>
  </si>
  <si>
    <t>備註-商品名稱</t>
    <phoneticPr fontId="181" type="noConversion"/>
  </si>
  <si>
    <t>排序</t>
    <phoneticPr fontId="181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</si>
  <si>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</si>
  <si>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</si>
  <si>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</si>
  <si>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超用金額
排序</t>
    <phoneticPr fontId="180" type="noConversion"/>
  </si>
  <si>
    <t>超用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</si>
  <si>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</si>
  <si>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</si>
  <si>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</si>
  <si>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</si>
  <si>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</si>
  <si>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</si>
  <si>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</si>
  <si>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</si>
  <si>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kg</t>
    <phoneticPr fontId="180" type="noConversion"/>
  </si>
  <si>
    <t>占比</t>
    <phoneticPr fontId="180" type="noConversion"/>
  </si>
  <si>
    <t>明細展開</t>
    <phoneticPr fontId="180" type="noConversion"/>
  </si>
  <si>
    <t>半成品</t>
    <phoneticPr fontId="180" type="noConversion"/>
  </si>
  <si>
    <t>名稱</t>
    <phoneticPr fontId="180" type="noConversion"/>
  </si>
  <si>
    <t>報廢金額
排序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</si>
  <si>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</si>
  <si>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</si>
  <si>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</si>
  <si>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原物料規格導致重量差異，抓樣不穩</t>
  </si>
  <si>
    <t>鮪魚沙拉(113.05)</t>
  </si>
  <si>
    <t>鮪魚起司溏心蛋三明治</t>
  </si>
  <si>
    <t>(V)電解消毒紫高麗菜絲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</si>
  <si>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</si>
  <si>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</si>
  <si>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</si>
  <si>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</si>
  <si>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</t>
    <phoneticPr fontId="180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</si>
  <si>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</si>
  <si>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</si>
  <si>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</si>
  <si>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</si>
  <si>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</si>
  <si>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</si>
  <si>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</si>
  <si>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</si>
  <si>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</si>
  <si>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</si>
  <si>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</si>
  <si>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</si>
  <si>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</si>
  <si>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</si>
  <si>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</si>
  <si>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</si>
  <si>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</si>
  <si>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調製地瓜泥</t>
  </si>
  <si>
    <t>超用金額前十名半成品</t>
    <phoneticPr fontId="180" type="noConversion"/>
  </si>
  <si>
    <t>備註-商品名稱</t>
    <phoneticPr fontId="181" type="noConversion"/>
  </si>
  <si>
    <t>半成品</t>
    <phoneticPr fontId="180" type="noConversion"/>
  </si>
  <si>
    <t>超用金額
排序</t>
    <phoneticPr fontId="180" type="noConversion"/>
  </si>
  <si>
    <t>產出量</t>
    <phoneticPr fontId="180" type="noConversion"/>
  </si>
  <si>
    <t>報廢</t>
    <phoneticPr fontId="180" type="noConversion"/>
  </si>
  <si>
    <t>實際生產
(對比訂單需求)</t>
    <phoneticPr fontId="182" type="noConversion"/>
  </si>
  <si>
    <t>金額
(元)</t>
    <phoneticPr fontId="181" type="noConversion"/>
  </si>
  <si>
    <t>kg</t>
    <phoneticPr fontId="180" type="noConversion"/>
  </si>
  <si>
    <t>共用類報廢金額前十名半成品</t>
    <phoneticPr fontId="180" type="noConversion"/>
  </si>
  <si>
    <t>排序</t>
    <phoneticPr fontId="181" type="noConversion"/>
  </si>
  <si>
    <t>報廢金額
排序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</si>
  <si>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</si>
  <si>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</si>
  <si>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</si>
  <si>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原物料特性，梗葉比例重量差異大</t>
  </si>
  <si>
    <t>組合端</t>
  </si>
  <si>
    <t>人員抓樣手感不穩</t>
  </si>
  <si>
    <t>調理後持續出水導致殘水率高</t>
  </si>
  <si>
    <t>調理多產預留超用量</t>
  </si>
  <si>
    <t>原物料特性，調理製程後較細碎</t>
  </si>
  <si>
    <t>組合補單退回</t>
  </si>
  <si>
    <t>原物料製程未過篩，調理製程後較細碎</t>
  </si>
  <si>
    <t>烤鹹蛋黃碎</t>
    <phoneticPr fontId="180" type="noConversion"/>
  </si>
  <si>
    <t>人員抓樣手感需持續於線上校正</t>
    <phoneticPr fontId="180" type="noConversion"/>
  </si>
  <si>
    <t>秤重物料，秤重精準度需持續確認</t>
    <phoneticPr fontId="180" type="noConversion"/>
  </si>
  <si>
    <t>原物料特性大小差異，導致使用上重量差異</t>
    <phoneticPr fontId="180" type="noConversion"/>
  </si>
  <si>
    <t>原物料特性大小差異，加上產地情報導致用量上差異更大</t>
    <phoneticPr fontId="180" type="noConversion"/>
  </si>
  <si>
    <t>1.6i人員抓樣手感不穩 2.1i原物料特性，梗葉比例重量差異大 3.1i調理後持續出水導致殘水率高 4.1i調理多產預留超用量 5.1i原物料特性，調理製程後較細碎</t>
  </si>
  <si>
    <t>1.3i人員抓樣手感不穩 2.2i組合補單退回 3.2i原物料製程未過篩，調理製程後較細碎 4.2i調理多產預留超用量 5.1i原物料特性，調理製程後較細碎</t>
  </si>
  <si>
    <t>1.4i調理多產預留超用量 2.2i原物料特性，梗葉比例重量差異大 3.2i人員抓樣手感不穩 4.1i調理後持續出水導致殘水率高 5.1i原物料特性，調理製程後較細碎</t>
  </si>
  <si>
    <t>1.2i調理多產預留超用量 2.2i原物料特性，梗葉比例重量差異大 3.2i人員抓樣手感不穩 4.2i原物料製程未過篩，調理製程後較細碎 5.1i調理後持續出水導致殘水率高 6.1i原物料特性，調理製程後較細碎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</si>
  <si>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</si>
  <si>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</si>
  <si>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</si>
  <si>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</si>
  <si>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</si>
  <si>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</si>
  <si>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</si>
  <si>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</si>
  <si>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</si>
  <si>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</si>
  <si>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</si>
  <si>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</si>
  <si>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</si>
  <si>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</si>
  <si>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</si>
  <si>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</si>
  <si>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</si>
  <si>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</si>
  <si>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</si>
  <si>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</si>
  <si>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</si>
  <si>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</si>
  <si>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</si>
  <si>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</si>
  <si>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</si>
  <si>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(V)紅燒燴汁(113年)</t>
  </si>
  <si>
    <t>超用金額前十名半成品</t>
    <phoneticPr fontId="180" type="noConversion"/>
  </si>
  <si>
    <t>超用金額
排序</t>
    <phoneticPr fontId="180" type="noConversion"/>
  </si>
  <si>
    <t>雞蛋沙拉(A)</t>
  </si>
  <si>
    <t>雞蛋沙拉三明治</t>
  </si>
  <si>
    <t>蒸鳳梨碎肉</t>
  </si>
  <si>
    <t>共用類報廢金額前十名半成品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</si>
  <si>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</si>
  <si>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</si>
  <si>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</si>
  <si>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</si>
  <si>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</si>
  <si>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</si>
  <si>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</si>
  <si>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</si>
  <si>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排序</t>
    <phoneticPr fontId="181" type="noConversion"/>
  </si>
  <si>
    <t>半成品</t>
    <phoneticPr fontId="180" type="noConversion"/>
  </si>
  <si>
    <t>報廢金額
排序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</si>
  <si>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</si>
  <si>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</si>
  <si>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</si>
  <si>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</si>
  <si>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實際生產
(對比訂單需求)</t>
    <phoneticPr fontId="182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</si>
  <si>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</si>
  <si>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</si>
  <si>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</si>
  <si>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</si>
  <si>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</si>
  <si>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</si>
  <si>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</si>
  <si>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排序</t>
    <phoneticPr fontId="181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</si>
  <si>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</si>
  <si>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</si>
  <si>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</si>
  <si>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超用</t>
    <phoneticPr fontId="180" type="noConversion"/>
  </si>
  <si>
    <t>補單
(kg)</t>
    <phoneticPr fontId="180" type="noConversion"/>
  </si>
  <si>
    <t>差異
(元)</t>
    <phoneticPr fontId="180" type="noConversion"/>
  </si>
  <si>
    <t>占比</t>
    <phoneticPr fontId="180" type="noConversion"/>
  </si>
  <si>
    <t>kg</t>
    <phoneticPr fontId="180" type="noConversion"/>
  </si>
  <si>
    <t>占比</t>
    <phoneticPr fontId="180" type="noConversion"/>
  </si>
  <si>
    <t>親子丼-滑蛋(114年)</t>
  </si>
  <si>
    <t>共用類報廢金額前十名半成品</t>
    <phoneticPr fontId="180" type="noConversion"/>
  </si>
  <si>
    <t>明細展開</t>
    <phoneticPr fontId="180" type="noConversion"/>
  </si>
  <si>
    <t>半成品</t>
    <phoneticPr fontId="180" type="noConversion"/>
  </si>
  <si>
    <t>蒸紫米薏仁</t>
  </si>
  <si>
    <t>展開量105%</t>
  </si>
  <si>
    <t>製程不穩</t>
  </si>
  <si>
    <t>抓樣不穩</t>
  </si>
  <si>
    <t>原物料規格</t>
  </si>
  <si>
    <t>研發設定</t>
  </si>
  <si>
    <t>其他原因</t>
  </si>
  <si>
    <t>步留不足</t>
  </si>
  <si>
    <t>人員秤重檯面歸零動作需再確實</t>
  </si>
  <si>
    <t>原物料特性，重量規格落差太大，導致超用提升</t>
  </si>
  <si>
    <t>人員抓樣，較大塊物料重量大於設定重(組裝兩個)</t>
  </si>
  <si>
    <t>1.4i調理多產預留超用量 2.3i人員抓樣手感不穩 3.2i原物料製程未過篩，調理製程後較細碎 4.1i組合補單退回</t>
  </si>
  <si>
    <t>1.5i人員抓樣手感不穩 2.2i組合補單退回 3.1i原物料特性，梗葉比例重量差異大 4.1i原物料製程未過篩，調理製程後較細碎 5.1i調理後持續出水導致殘水率高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</si>
  <si>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</si>
  <si>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</si>
  <si>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</si>
  <si>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</si>
  <si>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</si>
  <si>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</si>
  <si>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</si>
  <si>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</si>
  <si>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</si>
  <si>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</si>
  <si>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</si>
  <si>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</si>
  <si>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</si>
  <si>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</si>
  <si>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</si>
  <si>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</si>
  <si>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</si>
  <si>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</si>
  <si>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</si>
  <si>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</si>
  <si>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</si>
  <si>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</si>
  <si>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</si>
  <si>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</si>
  <si>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拌總匯雞蛋沙拉CL(112年)</t>
  </si>
  <si>
    <t>煮桂芳白醬(114年)</t>
  </si>
  <si>
    <t>哞哞奶香白醬火腿蛋堡</t>
  </si>
  <si>
    <t>超用金額前十名半成品</t>
    <phoneticPr fontId="180" type="noConversion"/>
  </si>
  <si>
    <t>超用金額
排序</t>
    <phoneticPr fontId="180" type="noConversion"/>
  </si>
  <si>
    <t>實際生產
(對比訂單需求)</t>
    <phoneticPr fontId="182" type="noConversion"/>
  </si>
  <si>
    <t>共用類報廢金額前十名半成品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</si>
  <si>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</si>
  <si>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</si>
  <si>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</si>
  <si>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</si>
  <si>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類別</t>
    <phoneticPr fontId="180" type="noConversion"/>
  </si>
  <si>
    <t>其他原因說明</t>
    <phoneticPr fontId="180" type="noConversion"/>
  </si>
  <si>
    <t>生產端</t>
    <phoneticPr fontId="180" type="noConversion"/>
  </si>
  <si>
    <t>組合端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</si>
  <si>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</si>
  <si>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</si>
  <si>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</si>
  <si>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</si>
  <si>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</si>
  <si>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實際生產
(對比訂單需求)</t>
    <phoneticPr fontId="182" type="noConversion"/>
  </si>
  <si>
    <t>占比</t>
    <phoneticPr fontId="180" type="noConversion"/>
  </si>
  <si>
    <t>拌芥末雞蛋沙拉(114.07)</t>
  </si>
  <si>
    <t>日式芥末蛋沙拉三明治</t>
  </si>
  <si>
    <t>電解消毒切段甜脆</t>
  </si>
  <si>
    <t>(V)黑胡椒燴汁</t>
  </si>
  <si>
    <t>古早味拌炊粉(112年)</t>
  </si>
  <si>
    <t>備註-商品名稱</t>
    <phoneticPr fontId="181" type="noConversion"/>
  </si>
  <si>
    <t>排序</t>
    <phoneticPr fontId="181" type="noConversion"/>
  </si>
  <si>
    <t>報廢金額
排序</t>
    <phoneticPr fontId="180" type="noConversion"/>
  </si>
  <si>
    <t>產出量</t>
    <phoneticPr fontId="180" type="noConversion"/>
  </si>
  <si>
    <t>訂單需求
(kg)</t>
    <phoneticPr fontId="180" type="noConversion"/>
  </si>
  <si>
    <t>實際產出
(kg)</t>
    <phoneticPr fontId="180" type="noConversion"/>
  </si>
  <si>
    <t>差異
(元)</t>
    <phoneticPr fontId="180" type="noConversion"/>
  </si>
  <si>
    <t>kg</t>
    <phoneticPr fontId="180" type="noConversion"/>
  </si>
  <si>
    <t>分析原因
(請填寫8大原因)</t>
    <phoneticPr fontId="180" type="noConversion"/>
  </si>
  <si>
    <t>生產端</t>
    <phoneticPr fontId="180" type="noConversion"/>
  </si>
  <si>
    <t>明細展開</t>
    <phoneticPr fontId="180" type="noConversion"/>
  </si>
  <si>
    <t>1.6i抓樣不穩 2.3i展開量105% 3.1i原物料規格</t>
  </si>
  <si>
    <t>秤重物料，油脂凝結人員不好拉斷 &amp; 操作</t>
  </si>
  <si>
    <t>秤重物料，人員秤重精準度需再提升</t>
  </si>
  <si>
    <t>人員不慎打翻</t>
  </si>
  <si>
    <t>1.6i抓樣不穩 2.2i展開量105% 3.1i其他原因 4.1i原物料規格</t>
  </si>
  <si>
    <t>1.5i抓樣不穩 2.3i展開量105% 3.2i原物料規格</t>
  </si>
  <si>
    <t>報廢金額前十名半成品</t>
    <phoneticPr fontId="180" type="noConversion"/>
  </si>
  <si>
    <t>生產資訊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</si>
  <si>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</si>
  <si>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</si>
  <si>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</si>
  <si>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</si>
  <si>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</si>
  <si>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</si>
  <si>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</si>
  <si>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</si>
  <si>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</si>
  <si>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</si>
  <si>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</si>
  <si>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</si>
  <si>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</si>
  <si>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</si>
  <si>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</si>
  <si>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</si>
  <si>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</si>
  <si>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</si>
  <si>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</si>
  <si>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</si>
  <si>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</si>
  <si>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</si>
  <si>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明細展開</t>
    <phoneticPr fontId="180" type="noConversion"/>
  </si>
  <si>
    <t>超用金額
排序</t>
    <phoneticPr fontId="180" type="noConversion"/>
  </si>
  <si>
    <t>差異
(元)</t>
    <phoneticPr fontId="180" type="noConversion"/>
  </si>
  <si>
    <t>拌水果莎莎醬1.2細麵</t>
  </si>
  <si>
    <t>共用類報廢金額前十名半成品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</si>
  <si>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</si>
  <si>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</si>
  <si>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麵體拌醬，會較容易互黏。操作手法需持續校正</t>
    <phoneticPr fontId="180" type="noConversion"/>
  </si>
  <si>
    <t>刮板挖取使用，持續上抽測確認人員使用準確度</t>
    <phoneticPr fontId="180" type="noConversion"/>
  </si>
  <si>
    <t>1.6i抓樣不穩 2.3i原物料規格 3.1i展開量105%</t>
  </si>
  <si>
    <t>名稱</t>
    <phoneticPr fontId="180" type="noConversion"/>
  </si>
  <si>
    <t>補單
(kg)</t>
    <phoneticPr fontId="180" type="noConversion"/>
  </si>
  <si>
    <t>義美業務用馬芬堡</t>
  </si>
  <si>
    <t>墨西哥餅皮-原味(8英吋)新</t>
  </si>
  <si>
    <t>拌總匯鮪魚沙拉CL(113年)</t>
  </si>
  <si>
    <t>經典總匯三明治</t>
  </si>
  <si>
    <t>共用類總金額
占比</t>
    <phoneticPr fontId="180" type="noConversion"/>
  </si>
  <si>
    <t>分析原因
(請填寫8大原因)</t>
    <phoneticPr fontId="180" type="noConversion"/>
  </si>
  <si>
    <t>實際產出
(kg)</t>
    <phoneticPr fontId="180" type="noConversion"/>
  </si>
  <si>
    <t>差異
(元)</t>
    <phoneticPr fontId="180" type="noConversion"/>
  </si>
  <si>
    <t>08/20星期三</t>
  </si>
  <si>
    <t>酸黃瓜碎(新)</t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</si>
  <si>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</si>
  <si>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</si>
  <si>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</si>
  <si>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</si>
  <si>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</si>
  <si>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排序</t>
    <phoneticPr fontId="181" type="noConversion"/>
  </si>
  <si>
    <t>半成品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</si>
  <si>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</si>
  <si>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</si>
  <si>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</si>
  <si>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</si>
  <si>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</si>
  <si>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</si>
  <si>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</si>
  <si>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</si>
  <si>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</si>
  <si>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</si>
  <si>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</si>
  <si>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</si>
  <si>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</si>
  <si>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四吋芝麻漢堡</t>
  </si>
  <si>
    <t>經典雙牛起司堡(113年)</t>
  </si>
  <si>
    <t>泰式酸辣醬(114.08)</t>
  </si>
  <si>
    <t>泰式酸辣炸雞堡</t>
  </si>
  <si>
    <t>超用金額前十名半成品</t>
    <phoneticPr fontId="180" type="noConversion"/>
  </si>
  <si>
    <t>備註-商品名稱</t>
    <phoneticPr fontId="181" type="noConversion"/>
  </si>
  <si>
    <t>生產端</t>
    <phoneticPr fontId="180" type="noConversion"/>
  </si>
  <si>
    <t>超用金額
排序</t>
    <phoneticPr fontId="180" type="noConversion"/>
  </si>
  <si>
    <t>親子柴魚風味醬汁(114年)</t>
  </si>
  <si>
    <t>共用類報廢金額前十名半成品</t>
    <phoneticPr fontId="180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</si>
  <si>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</si>
  <si>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</si>
  <si>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</si>
  <si>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</si>
  <si>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</si>
  <si>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</si>
  <si>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</si>
  <si>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</si>
  <si>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</si>
  <si>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</si>
  <si>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</si>
  <si>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</si>
  <si>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</si>
  <si>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</si>
  <si>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</si>
  <si>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</si>
  <si>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</si>
  <si>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</si>
  <si>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</si>
  <si>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</si>
  <si>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</si>
  <si>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</si>
  <si>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</si>
  <si>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明細展開</t>
    <phoneticPr fontId="180" type="noConversion"/>
  </si>
  <si>
    <t>類別</t>
    <phoneticPr fontId="180" type="noConversion"/>
  </si>
  <si>
    <t>超用金額
排序</t>
    <phoneticPr fontId="180" type="noConversion"/>
  </si>
  <si>
    <t>產出量</t>
    <phoneticPr fontId="180" type="noConversion"/>
  </si>
  <si>
    <t>報廢</t>
    <phoneticPr fontId="180" type="noConversion"/>
  </si>
  <si>
    <t>單價
(元)</t>
    <phoneticPr fontId="182" type="noConversion"/>
  </si>
  <si>
    <t>共用類報廢金額前十名半成品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</si>
  <si>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</si>
  <si>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</si>
  <si>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</si>
  <si>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</si>
  <si>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</si>
  <si>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</si>
  <si>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其他原因說明</t>
    <phoneticPr fontId="180" type="noConversion"/>
  </si>
  <si>
    <t>備註-商品名稱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</si>
  <si>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</si>
  <si>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</si>
  <si>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</si>
  <si>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</si>
  <si>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</si>
  <si>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</si>
  <si>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</si>
  <si>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</si>
  <si>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</si>
  <si>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</si>
  <si>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</si>
  <si>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</si>
  <si>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</si>
  <si>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</si>
  <si>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</si>
  <si>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類別</t>
    <phoneticPr fontId="180" type="noConversion"/>
  </si>
  <si>
    <t>分析原因
(請填寫8大原因)</t>
    <phoneticPr fontId="180" type="noConversion"/>
  </si>
  <si>
    <t>排序</t>
    <phoneticPr fontId="181" type="noConversion"/>
  </si>
  <si>
    <t>超用金額
排序</t>
    <phoneticPr fontId="180" type="noConversion"/>
  </si>
  <si>
    <t>產出量</t>
    <phoneticPr fontId="180" type="noConversion"/>
  </si>
  <si>
    <t>實際產出
(kg)</t>
    <phoneticPr fontId="180" type="noConversion"/>
  </si>
  <si>
    <t>雞排蛋炒飯</t>
  </si>
  <si>
    <t>二配粗飽系雞排炒飯</t>
  </si>
  <si>
    <t>共用類報廢金額前十名半成品</t>
    <phoneticPr fontId="180" type="noConversion"/>
  </si>
  <si>
    <t>報廢金額
排序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</si>
  <si>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</si>
  <si>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</si>
  <si>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刮板挖取使用，持續上抽測確認人員使用準確度</t>
  </si>
  <si>
    <t>秤重物料，秤重精準度須持續校正</t>
  </si>
  <si>
    <t>秤重物料，秤重精準度須持續校正</t>
    <phoneticPr fontId="180" type="noConversion"/>
  </si>
  <si>
    <t>注餡機使用(機器出料就有落差)，人員持續於線上不定時抽測重量</t>
  </si>
  <si>
    <t>組合室</t>
    <phoneticPr fontId="180" type="noConversion"/>
  </si>
  <si>
    <t>抓樣不穩</t>
    <phoneticPr fontId="180" type="noConversion"/>
  </si>
  <si>
    <t>人員抓樣，絲狀較長抓樣重量差異</t>
    <phoneticPr fontId="180" type="noConversion"/>
  </si>
  <si>
    <t>蒸鼎泰豐香辣醬</t>
    <phoneticPr fontId="180" type="noConversion"/>
  </si>
  <si>
    <t>日式烤洋蔥絲(114年)</t>
    <phoneticPr fontId="180" type="noConversion"/>
  </si>
  <si>
    <t>冰杓定量挖取(使用量上會較起伏)，人員攪拌頻率再提高，滲出的香辣油不可混到下一鍋繼續使用</t>
  </si>
  <si>
    <t>冰杓定量挖取(使用量上會較起伏)，人員攪拌頻率再提高，滲出的香辣油不可混到下一鍋繼續使用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</si>
  <si>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</si>
  <si>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</si>
  <si>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</si>
  <si>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其他原因說明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</si>
  <si>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</si>
  <si>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</si>
  <si>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</si>
  <si>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</si>
  <si>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</si>
  <si>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</si>
  <si>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</si>
  <si>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</si>
  <si>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</si>
  <si>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</si>
  <si>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</si>
  <si>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</si>
  <si>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</si>
  <si>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</si>
  <si>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</si>
  <si>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</si>
  <si>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</si>
  <si>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超用金額前十名半成品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</si>
  <si>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</si>
  <si>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</si>
  <si>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</si>
  <si>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</si>
  <si>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</si>
  <si>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備註-商品名稱</t>
    <phoneticPr fontId="181" type="noConversion"/>
  </si>
  <si>
    <t>排序</t>
    <phoneticPr fontId="181" type="noConversion"/>
  </si>
  <si>
    <t>超用金額
排序</t>
    <phoneticPr fontId="180" type="noConversion"/>
  </si>
  <si>
    <t>實際產出
(kg)</t>
    <phoneticPr fontId="180" type="noConversion"/>
  </si>
  <si>
    <t>補單
(kg)</t>
    <phoneticPr fontId="180" type="noConversion"/>
  </si>
  <si>
    <t>實際生產
(對比訂單需求)</t>
    <phoneticPr fontId="182" type="noConversion"/>
  </si>
  <si>
    <t>kg</t>
    <phoneticPr fontId="180" type="noConversion"/>
  </si>
  <si>
    <t>金額
(元)</t>
    <phoneticPr fontId="181" type="noConversion"/>
  </si>
  <si>
    <t>占比</t>
    <phoneticPr fontId="180" type="noConversion"/>
  </si>
  <si>
    <t>共用類報廢金額前十名半成品</t>
    <phoneticPr fontId="180" type="noConversion"/>
  </si>
  <si>
    <t>半成品</t>
    <phoneticPr fontId="180" type="noConversion"/>
  </si>
  <si>
    <t>報廢金額
排序</t>
    <phoneticPr fontId="180" type="noConversion"/>
  </si>
  <si>
    <t>共用類總金額
占比</t>
    <phoneticPr fontId="180" type="noConversion"/>
  </si>
  <si>
    <t>※炊飯類不納入半成品廢棄計算</t>
    <phoneticPr fontId="180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</si>
  <si>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</si>
  <si>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</si>
  <si>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</si>
  <si>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</si>
  <si>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其他原因說明</t>
    <phoneticPr fontId="180" type="noConversion"/>
  </si>
  <si>
    <t>備註-商品名稱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</si>
  <si>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</si>
  <si>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</si>
  <si>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</si>
  <si>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</si>
  <si>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</si>
  <si>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</si>
  <si>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</si>
  <si>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</si>
  <si>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</si>
  <si>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</si>
  <si>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</si>
  <si>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</si>
  <si>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</si>
  <si>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</si>
  <si>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奶油霜(火腿起司)</t>
  </si>
  <si>
    <t>火腿起司蛋三明治</t>
  </si>
  <si>
    <t>義美4吋無芝麻漢堡</t>
  </si>
  <si>
    <t>超用金額前十名半成品</t>
    <phoneticPr fontId="180" type="noConversion"/>
  </si>
  <si>
    <t>分析原因
(請填寫8大原因)</t>
    <phoneticPr fontId="180" type="noConversion"/>
  </si>
  <si>
    <t>排序</t>
    <phoneticPr fontId="181" type="noConversion"/>
  </si>
  <si>
    <t>超用金額
排序</t>
    <phoneticPr fontId="180" type="noConversion"/>
  </si>
  <si>
    <t>產出量</t>
    <phoneticPr fontId="180" type="noConversion"/>
  </si>
  <si>
    <t>報廢</t>
    <phoneticPr fontId="180" type="noConversion"/>
  </si>
  <si>
    <t>共用類總金額
占比</t>
    <phoneticPr fontId="180" type="noConversion"/>
  </si>
  <si>
    <t>包材過於貼體</t>
  </si>
  <si>
    <t>菜梗太硬導致捲的時候破損</t>
  </si>
  <si>
    <t>人員冰杓定量手法不穩</t>
  </si>
  <si>
    <t>1.4i抓樣不穩 2.2i其他原因 3.2i原物料規格 4.2i展開量105%</t>
  </si>
  <si>
    <t>1.8i抓樣不穩 2.1i原物料規格 3.1i其他原因</t>
  </si>
  <si>
    <t>1.7i抓樣不穩 2.2i原物料規格 3.1i其他原因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</si>
  <si>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</si>
  <si>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</si>
  <si>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</si>
  <si>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</si>
  <si>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</si>
  <si>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</si>
  <si>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</si>
  <si>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</si>
  <si>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</si>
  <si>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</si>
  <si>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</si>
  <si>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</si>
  <si>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</si>
  <si>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</si>
  <si>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</si>
  <si>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</si>
  <si>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</si>
  <si>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</si>
  <si>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</si>
  <si>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</si>
  <si>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</si>
  <si>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</si>
  <si>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</si>
  <si>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</si>
  <si>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</si>
  <si>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</si>
  <si>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</si>
  <si>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</si>
  <si>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</si>
  <si>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分析原因
(請填寫8大原因)</t>
    <phoneticPr fontId="180" type="noConversion"/>
  </si>
  <si>
    <t>其他原因說明</t>
    <phoneticPr fontId="180" type="noConversion"/>
  </si>
  <si>
    <t>備註-商品名稱</t>
    <phoneticPr fontId="181" type="noConversion"/>
  </si>
  <si>
    <t>半成品</t>
    <phoneticPr fontId="180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</si>
  <si>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</si>
  <si>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</si>
  <si>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</si>
  <si>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</si>
  <si>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產出量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</si>
  <si>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</si>
  <si>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</si>
  <si>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</si>
  <si>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</si>
  <si>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</si>
  <si>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</si>
  <si>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</si>
  <si>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</si>
  <si>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</si>
  <si>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</si>
  <si>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</si>
  <si>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超用金額前十名半成品</t>
    <phoneticPr fontId="180" type="noConversion"/>
  </si>
  <si>
    <t>超用金額
排序</t>
    <phoneticPr fontId="180" type="noConversion"/>
  </si>
  <si>
    <t>共用類報廢金額前十名半成品</t>
    <phoneticPr fontId="180" type="noConversion"/>
  </si>
  <si>
    <t>排序</t>
    <phoneticPr fontId="181" type="noConversion"/>
  </si>
  <si>
    <t>共用類總金額
占比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</si>
  <si>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</si>
  <si>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</si>
  <si>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</si>
  <si>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明細展開</t>
    <phoneticPr fontId="180" type="noConversion"/>
  </si>
  <si>
    <t>類別</t>
    <phoneticPr fontId="180" type="noConversion"/>
  </si>
  <si>
    <t>分析原因
(請填寫8大原因)</t>
    <phoneticPr fontId="180" type="noConversion"/>
  </si>
  <si>
    <t>備註-商品名稱</t>
    <phoneticPr fontId="181" type="noConversion"/>
  </si>
  <si>
    <t>排序</t>
    <phoneticPr fontId="181" type="noConversion"/>
  </si>
  <si>
    <t>生產端</t>
    <phoneticPr fontId="180" type="noConversion"/>
  </si>
  <si>
    <t>組合端</t>
    <phoneticPr fontId="180" type="noConversion"/>
  </si>
  <si>
    <t>名稱</t>
    <phoneticPr fontId="180" type="noConversion"/>
  </si>
  <si>
    <t>報廢金額
排序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</si>
  <si>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</si>
  <si>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</si>
  <si>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</si>
  <si>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</si>
  <si>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</si>
  <si>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</si>
  <si>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差異
(元)</t>
    <phoneticPr fontId="180" type="noConversion"/>
  </si>
  <si>
    <t>kg</t>
    <phoneticPr fontId="180" type="noConversion"/>
  </si>
  <si>
    <t>占比</t>
    <phoneticPr fontId="180" type="noConversion"/>
  </si>
  <si>
    <t>金額
(元)</t>
    <phoneticPr fontId="181" type="noConversion"/>
  </si>
  <si>
    <t>紐奧良抹醬(113.04)</t>
  </si>
  <si>
    <t>紐奧良風味烤雞鮮蔬三明治</t>
  </si>
  <si>
    <t>超用金額前十名半成品</t>
    <phoneticPr fontId="180" type="noConversion"/>
  </si>
  <si>
    <t>生產資訊</t>
    <phoneticPr fontId="180" type="noConversion"/>
  </si>
  <si>
    <t>其他原因說明</t>
    <phoneticPr fontId="180" type="noConversion"/>
  </si>
  <si>
    <t>半成品</t>
    <phoneticPr fontId="180" type="noConversion"/>
  </si>
  <si>
    <t>超用金額
排序</t>
    <phoneticPr fontId="180" type="noConversion"/>
  </si>
  <si>
    <t>補單
(kg)</t>
    <phoneticPr fontId="180" type="noConversion"/>
  </si>
  <si>
    <t>共用類報廢金額前十名半成品</t>
    <phoneticPr fontId="180" type="noConversion"/>
  </si>
  <si>
    <t>共用類總金額
占比</t>
    <phoneticPr fontId="180" type="noConversion"/>
  </si>
  <si>
    <t>※淺黃色為工廠自填項目</t>
    <phoneticPr fontId="182" type="noConversion"/>
  </si>
  <si>
    <t>報廢金額前十名半成品</t>
    <phoneticPr fontId="180" type="noConversion"/>
  </si>
  <si>
    <t>類別</t>
    <phoneticPr fontId="180" type="noConversion"/>
  </si>
  <si>
    <t>其他原因說明</t>
    <phoneticPr fontId="180" type="noConversion"/>
  </si>
  <si>
    <t>備註-商品名稱</t>
    <phoneticPr fontId="181" type="noConversion"/>
  </si>
  <si>
    <t>排序</t>
    <phoneticPr fontId="181" type="noConversion"/>
  </si>
  <si>
    <t>半成品</t>
    <phoneticPr fontId="180" type="noConversion"/>
  </si>
  <si>
    <t>名稱</t>
    <phoneticPr fontId="180" type="noConversion"/>
  </si>
  <si>
    <t>報廢金額
排序</t>
    <phoneticPr fontId="180" type="noConversion"/>
  </si>
  <si>
    <t>kg</t>
    <phoneticPr fontId="180" type="noConversion"/>
  </si>
  <si>
    <t>占比</t>
    <phoneticPr fontId="180" type="noConversion"/>
  </si>
  <si>
    <t>kg</t>
    <phoneticPr fontId="180" type="noConversion"/>
  </si>
  <si>
    <t>超用金額前十名半成品</t>
    <phoneticPr fontId="180" type="noConversion"/>
  </si>
  <si>
    <t>生產資訊</t>
    <phoneticPr fontId="180" type="noConversion"/>
  </si>
  <si>
    <t>類別</t>
    <phoneticPr fontId="180" type="noConversion"/>
  </si>
  <si>
    <t>排序</t>
    <phoneticPr fontId="181" type="noConversion"/>
  </si>
  <si>
    <t>半成品</t>
    <phoneticPr fontId="180" type="noConversion"/>
  </si>
  <si>
    <t>生產端</t>
    <phoneticPr fontId="180" type="noConversion"/>
  </si>
  <si>
    <t>產出量</t>
    <phoneticPr fontId="180" type="noConversion"/>
  </si>
  <si>
    <t>單價
(元)</t>
    <phoneticPr fontId="182" type="noConversion"/>
  </si>
  <si>
    <t>金額
(元)</t>
    <phoneticPr fontId="181" type="noConversion"/>
  </si>
  <si>
    <t>共用類報廢金額前十名半成品</t>
    <phoneticPr fontId="180" type="noConversion"/>
  </si>
  <si>
    <t>明細展開</t>
    <phoneticPr fontId="180" type="noConversion"/>
  </si>
  <si>
    <t>名稱</t>
    <phoneticPr fontId="180" type="noConversion"/>
  </si>
  <si>
    <t>※淺黃色為工廠自填項目</t>
    <phoneticPr fontId="182" type="noConversion"/>
  </si>
  <si>
    <t>1.5i抓樣不穩 2.4i原物料規格 3.1i其他原因</t>
  </si>
  <si>
    <t>1.6i抓樣不穩 2.2i其他原因 3.2i原物料規格</t>
  </si>
  <si>
    <t>1.9i抓樣不穩 2.1i其他原因</t>
  </si>
  <si>
    <t>1.8i抓樣不穩 2.1i其他原因 3.1i原物料規格</t>
  </si>
  <si>
    <t>1.6i抓樣不穩 2.3i原物料規格 3.1i其他原因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</si>
  <si>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</si>
  <si>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</si>
  <si>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</si>
  <si>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排序</t>
    <phoneticPr fontId="181" type="noConversion"/>
  </si>
  <si>
    <t>報廢金額
排序</t>
    <phoneticPr fontId="180" type="noConversion"/>
  </si>
  <si>
    <t>訂單需求
(kg)</t>
    <phoneticPr fontId="180" type="noConversion"/>
  </si>
  <si>
    <t>實際生產
(對比訂單需求)</t>
    <phoneticPr fontId="182" type="noConversion"/>
  </si>
  <si>
    <t>超HOT沙拉醬</t>
  </si>
  <si>
    <t>超HOT雞腿堡(114年)</t>
  </si>
  <si>
    <t>龍蝦沙拉(114.08)</t>
  </si>
  <si>
    <t>龍蝦風味總匯三明治</t>
  </si>
  <si>
    <t>組合端</t>
    <phoneticPr fontId="180" type="noConversion"/>
  </si>
  <si>
    <t>名稱</t>
    <phoneticPr fontId="180" type="noConversion"/>
  </si>
  <si>
    <t>報廢</t>
    <phoneticPr fontId="180" type="noConversion"/>
  </si>
  <si>
    <t>差異
(元)</t>
    <phoneticPr fontId="180" type="noConversion"/>
  </si>
  <si>
    <t>報廢金額
排序</t>
    <phoneticPr fontId="180" type="noConversion"/>
  </si>
  <si>
    <t>※炊飯類不納入半成品廢棄計算</t>
    <phoneticPr fontId="180" type="noConversion"/>
  </si>
  <si>
    <t>墨西哥餅皮-菠菜(8英吋)新</t>
  </si>
  <si>
    <t>五吋芝麻漢堡</t>
  </si>
  <si>
    <t>美式起司巨牛堡</t>
  </si>
  <si>
    <t>義美4吋芝麻漢堡</t>
  </si>
  <si>
    <t>墨西哥餅皮-蕃茄(8英吋)新</t>
  </si>
  <si>
    <t>蟹粉燴汁(114年)</t>
  </si>
  <si>
    <t>果香甘口咖哩醬</t>
  </si>
  <si>
    <t>海鮮醬炒飯</t>
  </si>
  <si>
    <t>報廢金額前十名半成品</t>
    <phoneticPr fontId="180" type="noConversion"/>
  </si>
  <si>
    <t>明細展開</t>
    <phoneticPr fontId="180" type="noConversion"/>
  </si>
  <si>
    <t>生產資訊</t>
    <phoneticPr fontId="180" type="noConversion"/>
  </si>
  <si>
    <t>類別</t>
    <phoneticPr fontId="180" type="noConversion"/>
  </si>
  <si>
    <t>排序</t>
    <phoneticPr fontId="181" type="noConversion"/>
  </si>
  <si>
    <t>半成品</t>
    <phoneticPr fontId="180" type="noConversion"/>
  </si>
  <si>
    <t>組合端</t>
    <phoneticPr fontId="180" type="noConversion"/>
  </si>
  <si>
    <t>名稱</t>
    <phoneticPr fontId="180" type="noConversion"/>
  </si>
  <si>
    <t>報廢</t>
    <phoneticPr fontId="180" type="noConversion"/>
  </si>
  <si>
    <t>超用</t>
    <phoneticPr fontId="180" type="noConversion"/>
  </si>
  <si>
    <t>訂單需求
(kg)</t>
    <phoneticPr fontId="180" type="noConversion"/>
  </si>
  <si>
    <t>實際產出
(kg)</t>
    <phoneticPr fontId="180" type="noConversion"/>
  </si>
  <si>
    <t>補單
(kg)</t>
    <phoneticPr fontId="180" type="noConversion"/>
  </si>
  <si>
    <t>單價
(元)</t>
    <phoneticPr fontId="182" type="noConversion"/>
  </si>
  <si>
    <t>實際生產
(對比訂單需求)</t>
    <phoneticPr fontId="182" type="noConversion"/>
  </si>
  <si>
    <t>占比</t>
    <phoneticPr fontId="180" type="noConversion"/>
  </si>
  <si>
    <t>金額
(元)</t>
    <phoneticPr fontId="181" type="noConversion"/>
  </si>
  <si>
    <t>其他原因說明</t>
    <phoneticPr fontId="180" type="noConversion"/>
  </si>
  <si>
    <t>備註-商品名稱</t>
    <phoneticPr fontId="181" type="noConversion"/>
  </si>
  <si>
    <t>半成品</t>
    <phoneticPr fontId="180" type="noConversion"/>
  </si>
  <si>
    <t>生產端</t>
    <phoneticPr fontId="180" type="noConversion"/>
  </si>
  <si>
    <t>超用金額
排序</t>
    <phoneticPr fontId="180" type="noConversion"/>
  </si>
  <si>
    <t>產出量</t>
    <phoneticPr fontId="180" type="noConversion"/>
  </si>
  <si>
    <t>實際產出
(kg)</t>
    <phoneticPr fontId="180" type="noConversion"/>
  </si>
  <si>
    <t>kg</t>
    <phoneticPr fontId="180" type="noConversion"/>
  </si>
  <si>
    <t>※炊飯類不納入半成品廢棄計算</t>
    <phoneticPr fontId="180" type="noConversion"/>
  </si>
  <si>
    <t>※淺黃色為工廠自填項目</t>
    <phoneticPr fontId="182" type="noConversion"/>
  </si>
  <si>
    <t>分析原因
(請填寫8大原因)</t>
    <phoneticPr fontId="180" type="noConversion"/>
  </si>
  <si>
    <t>報廢金額
排序</t>
    <phoneticPr fontId="180" type="noConversion"/>
  </si>
  <si>
    <t>差異
(元)</t>
    <phoneticPr fontId="180" type="noConversion"/>
  </si>
  <si>
    <t>超用金額前十名半成品</t>
    <phoneticPr fontId="180" type="noConversion"/>
  </si>
  <si>
    <t>共用類總金額
占比</t>
    <phoneticPr fontId="18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</si>
</sst>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_-;\-* #,##0.00_-;_-* &quot;-&quot;??_-;_-@_-"/>
    <numFmt numFmtId="176" formatCode="0.000%"/>
    <numFmt numFmtId="177" formatCode="0.00_ "/>
    <numFmt numFmtId="178" formatCode="m/d\ aaaa"/>
    <numFmt numFmtId="179" formatCode="0,000&quot;元&quot;"/>
    <numFmt numFmtId="180" formatCode="0.0%"/>
  </numFmts>
  <fonts count="206" x14ac:knownFonts="1">
    <font>
      <sz val="11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9"/>
      <name val="新細明體"/>
      <family val="2"/>
      <charset val="136"/>
      <scheme val="minor"/>
    </font>
    <font>
      <sz val="14"/>
      <color theme="1"/>
      <name val="微軟正黑體"/>
      <family val="2"/>
      <charset val="136"/>
    </font>
    <font>
      <b/>
      <sz val="26"/>
      <color theme="1"/>
      <name val="微軟正黑體"/>
      <family val="2"/>
      <charset val="136"/>
    </font>
    <font>
      <sz val="20"/>
      <name val="微軟正黑體"/>
      <family val="2"/>
      <charset val="136"/>
    </font>
    <font>
      <b/>
      <sz val="22"/>
      <color theme="1"/>
      <name val="微軟正黑體"/>
      <family val="2"/>
      <charset val="136"/>
    </font>
    <font>
      <sz val="20"/>
      <color theme="1"/>
      <name val="微軟正黑體"/>
      <family val="2"/>
      <charset val="136"/>
    </font>
    <font>
      <sz val="18"/>
      <color theme="1"/>
      <name val="新細明體"/>
      <family val="2"/>
      <scheme val="minor"/>
    </font>
    <font>
      <b/>
      <sz val="20"/>
      <color rgb="FFFF0000"/>
      <name val="微軟正黑體"/>
      <family val="2"/>
      <charset val="136"/>
    </font>
    <font>
      <b/>
      <sz val="22"/>
      <name val="微軟正黑體"/>
      <family val="2"/>
      <charset val="136"/>
    </font>
    <font>
      <sz val="22"/>
      <color theme="1"/>
      <name val="微軟正黑體"/>
      <family val="2"/>
      <charset val="136"/>
    </font>
    <font>
      <sz val="22"/>
      <name val="微軟正黑體"/>
      <family val="2"/>
      <charset val="136"/>
    </font>
    <font>
      <b/>
      <sz val="20"/>
      <color theme="1"/>
      <name val="微軟正黑體"/>
      <family val="2"/>
      <charset val="136"/>
    </font>
    <font>
      <b/>
      <sz val="16"/>
      <color theme="1"/>
      <name val="微軟正黑體"/>
      <family val="2"/>
      <charset val="136"/>
    </font>
    <font>
      <b/>
      <sz val="16"/>
      <name val="微軟正黑體"/>
      <family val="2"/>
      <charset val="136"/>
    </font>
    <font>
      <sz val="14"/>
      <name val="微軟正黑體"/>
      <family val="2"/>
      <charset val="136"/>
    </font>
    <font>
      <sz val="16"/>
      <color theme="1"/>
      <name val="微軟正黑體"/>
      <family val="2"/>
      <charset val="136"/>
    </font>
    <font>
      <sz val="16"/>
      <color theme="1"/>
      <name val="新細明體"/>
      <family val="2"/>
      <scheme val="minor"/>
    </font>
    <font>
      <sz val="11"/>
      <color theme="1"/>
      <name val="微軟正黑體"/>
      <family val="2"/>
      <charset val="136"/>
    </font>
    <font>
      <b/>
      <sz val="18"/>
      <color rgb="FFFF0000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sz val="11"/>
      <color rgb="FFFF0000"/>
      <name val="新細明體"/>
      <family val="2"/>
      <scheme val="minor"/>
    </font>
    <font>
      <b/>
      <sz val="14"/>
      <color theme="1"/>
      <name val="微軟正黑體"/>
      <family val="2"/>
      <charset val="136"/>
    </font>
    <font>
      <b/>
      <sz val="14"/>
      <color rgb="FFFF000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7" tint="0.59999389629810485"/>
        <bgColor theme="4" tint="0.7999816888943144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709">
    <xf numFmtId="0" fontId="0" fillId="0" borderId="0"/>
    <xf numFmtId="43" fontId="178" fillId="0" borderId="0" applyFont="0" applyFill="0" applyBorder="0" applyAlignment="0" applyProtection="0">
      <alignment vertical="center"/>
    </xf>
    <xf numFmtId="9" fontId="178" fillId="0" borderId="0" applyFont="0" applyFill="0" applyBorder="0" applyAlignment="0" applyProtection="0">
      <alignment vertical="center"/>
    </xf>
    <xf numFmtId="0" fontId="179" fillId="0" borderId="0"/>
    <xf numFmtId="0" fontId="177" fillId="0" borderId="0">
      <alignment vertical="center"/>
    </xf>
    <xf numFmtId="0" fontId="179" fillId="0" borderId="0"/>
    <xf numFmtId="9" fontId="177" fillId="0" borderId="0" applyFont="0" applyFill="0" applyBorder="0" applyAlignment="0" applyProtection="0">
      <alignment vertical="center"/>
    </xf>
    <xf numFmtId="0" fontId="177" fillId="0" borderId="0">
      <alignment vertical="center"/>
    </xf>
    <xf numFmtId="0" fontId="178" fillId="0" borderId="0"/>
    <xf numFmtId="0" fontId="177" fillId="0" borderId="0">
      <alignment vertical="center"/>
    </xf>
    <xf numFmtId="9" fontId="179" fillId="0" borderId="0" applyFont="0" applyFill="0" applyBorder="0" applyAlignment="0" applyProtection="0">
      <alignment vertical="center"/>
    </xf>
    <xf numFmtId="0" fontId="177" fillId="0" borderId="0">
      <alignment vertical="center"/>
    </xf>
    <xf numFmtId="0" fontId="176" fillId="0" borderId="0">
      <alignment vertical="center"/>
    </xf>
    <xf numFmtId="0" fontId="176" fillId="0" borderId="0">
      <alignment vertical="center"/>
    </xf>
    <xf numFmtId="0" fontId="175" fillId="0" borderId="0">
      <alignment vertical="center"/>
    </xf>
    <xf numFmtId="0" fontId="17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3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2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1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70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9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8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6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5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4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3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2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1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60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9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8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7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6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5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4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3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2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1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50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9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8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7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6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5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4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3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2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1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40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9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8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7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6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3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2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1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30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9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8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7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6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5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4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3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2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1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20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9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8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7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2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1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10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8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7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6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5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4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3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2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9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8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6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5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4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3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2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90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9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8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7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6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9" fontId="205" fillId="0" borderId="0" applyFont="0" applyFill="0" applyBorder="0" applyAlignment="0" applyProtection="0">
      <alignment vertical="center"/>
    </xf>
    <xf numFmtId="9" fontId="179" fillId="0" borderId="0" applyFont="0" applyFill="0" applyBorder="0" applyAlignment="0" applyProtection="0"/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4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2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1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80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9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8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7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6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5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3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2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1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70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9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8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6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4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2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1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60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9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8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7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4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2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1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50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9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8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7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4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3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2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1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40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9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7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6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4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9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5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4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9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8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4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10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965">
    <xf numFmtId="0" fontId="0" fillId="0" borderId="0" xfId="0"/>
    <xf numFmtId="0" fontId="188" fillId="0" borderId="0" xfId="0" applyFont="1"/>
    <xf numFmtId="0" fontId="186" fillId="0" borderId="2" xfId="0" applyFont="1" applyBorder="1" applyAlignment="1">
      <alignment horizontal="center" vertical="center"/>
    </xf>
    <xf numFmtId="0" fontId="187" fillId="0" borderId="2" xfId="0" applyFont="1" applyBorder="1" applyAlignment="1">
      <alignment horizontal="center" vertical="center"/>
    </xf>
    <xf numFmtId="0" fontId="187" fillId="0" borderId="7" xfId="0" applyFont="1" applyBorder="1" applyAlignment="1">
      <alignment horizontal="center" vertical="center"/>
    </xf>
    <xf numFmtId="176" fontId="190" fillId="0" borderId="9" xfId="2" applyNumberFormat="1" applyFont="1" applyFill="1" applyBorder="1" applyAlignment="1">
      <alignment horizontal="center" vertical="center"/>
    </xf>
    <xf numFmtId="179" fontId="191" fillId="0" borderId="9" xfId="0" applyNumberFormat="1" applyFont="1" applyBorder="1" applyAlignment="1">
      <alignment horizontal="center" vertical="center"/>
    </xf>
    <xf numFmtId="10" fontId="192" fillId="7" borderId="9" xfId="10" applyNumberFormat="1" applyFont="1" applyFill="1" applyBorder="1" applyAlignment="1">
      <alignment horizontal="center" vertical="center"/>
    </xf>
    <xf numFmtId="179" fontId="191" fillId="2" borderId="9" xfId="1" applyNumberFormat="1" applyFont="1" applyFill="1" applyBorder="1" applyAlignment="1">
      <alignment horizontal="center" vertical="center"/>
    </xf>
    <xf numFmtId="10" fontId="191" fillId="0" borderId="10" xfId="2" applyNumberFormat="1" applyFont="1" applyBorder="1" applyAlignment="1">
      <alignment horizontal="center" vertical="center"/>
    </xf>
    <xf numFmtId="0" fontId="183" fillId="2" borderId="2" xfId="0" applyFont="1" applyFill="1" applyBorder="1" applyAlignment="1">
      <alignment horizontal="left" vertical="center"/>
    </xf>
    <xf numFmtId="180" fontId="183" fillId="7" borderId="2" xfId="2" applyNumberFormat="1" applyFont="1" applyFill="1" applyBorder="1" applyAlignment="1">
      <alignment horizontal="center" vertical="center"/>
    </xf>
    <xf numFmtId="10" fontId="183" fillId="0" borderId="2" xfId="2" applyNumberFormat="1" applyFont="1" applyFill="1" applyBorder="1" applyAlignment="1">
      <alignment horizontal="center" vertical="center"/>
    </xf>
    <xf numFmtId="10" fontId="196" fillId="0" borderId="2" xfId="2" applyNumberFormat="1" applyFont="1" applyFill="1" applyBorder="1" applyAlignment="1">
      <alignment horizontal="center" vertical="center"/>
    </xf>
    <xf numFmtId="0" fontId="183" fillId="2" borderId="13" xfId="8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183" fillId="2" borderId="9" xfId="0" applyFont="1" applyFill="1" applyBorder="1" applyAlignment="1">
      <alignment horizontal="left" vertical="center"/>
    </xf>
    <xf numFmtId="180" fontId="183" fillId="7" borderId="9" xfId="2" applyNumberFormat="1" applyFont="1" applyFill="1" applyBorder="1" applyAlignment="1">
      <alignment horizontal="center" vertical="center"/>
    </xf>
    <xf numFmtId="10" fontId="183" fillId="0" borderId="9" xfId="2" applyNumberFormat="1" applyFont="1" applyFill="1" applyBorder="1" applyAlignment="1">
      <alignment horizontal="center" vertical="center"/>
    </xf>
    <xf numFmtId="10" fontId="196" fillId="0" borderId="9" xfId="2" applyNumberFormat="1" applyFont="1" applyFill="1" applyBorder="1" applyAlignment="1">
      <alignment horizontal="center" vertical="center"/>
    </xf>
    <xf numFmtId="0" fontId="183" fillId="2" borderId="8" xfId="8" applyFont="1" applyFill="1" applyBorder="1" applyAlignment="1">
      <alignment horizontal="left" vertical="center" wrapText="1"/>
    </xf>
    <xf numFmtId="0" fontId="197" fillId="0" borderId="0" xfId="0" applyFont="1"/>
    <xf numFmtId="177" fontId="198" fillId="0" borderId="0" xfId="0" applyNumberFormat="1" applyFont="1"/>
    <xf numFmtId="0" fontId="199" fillId="0" borderId="0" xfId="0" applyFont="1"/>
    <xf numFmtId="10" fontId="183" fillId="0" borderId="7" xfId="2" applyNumberFormat="1" applyFont="1" applyBorder="1" applyAlignment="1">
      <alignment horizontal="center" vertical="center"/>
    </xf>
    <xf numFmtId="0" fontId="199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0" fontId="183" fillId="0" borderId="10" xfId="2" applyNumberFormat="1" applyFont="1" applyBorder="1" applyAlignment="1">
      <alignment horizontal="center" vertical="center"/>
    </xf>
    <xf numFmtId="0" fontId="183" fillId="2" borderId="7" xfId="0" applyFont="1" applyFill="1" applyBorder="1" applyAlignment="1">
      <alignment horizontal="left" vertical="center"/>
    </xf>
    <xf numFmtId="0" fontId="183" fillId="2" borderId="10" xfId="0" applyFont="1" applyFill="1" applyBorder="1" applyAlignment="1">
      <alignment horizontal="left" vertical="center"/>
    </xf>
    <xf numFmtId="10" fontId="201" fillId="0" borderId="0" xfId="2" applyNumberFormat="1" applyFont="1" applyFill="1" applyBorder="1" applyAlignment="1">
      <alignment horizontal="center" vertical="center"/>
    </xf>
    <xf numFmtId="180" fontId="201" fillId="0" borderId="0" xfId="2" applyNumberFormat="1" applyFont="1" applyFill="1" applyBorder="1" applyAlignment="1">
      <alignment horizontal="center" vertical="center"/>
    </xf>
    <xf numFmtId="2" fontId="183" fillId="2" borderId="2" xfId="0" applyNumberFormat="1" applyFont="1" applyFill="1" applyBorder="1" applyAlignment="1">
      <alignment horizontal="center" vertical="center"/>
    </xf>
    <xf numFmtId="1" fontId="183" fillId="2" borderId="2" xfId="0" applyNumberFormat="1" applyFont="1" applyFill="1" applyBorder="1" applyAlignment="1">
      <alignment horizontal="center" vertical="center"/>
    </xf>
    <xf numFmtId="1" fontId="183" fillId="2" borderId="9" xfId="0" applyNumberFormat="1" applyFont="1" applyFill="1" applyBorder="1" applyAlignment="1">
      <alignment horizontal="center" vertical="center"/>
    </xf>
    <xf numFmtId="10" fontId="183" fillId="7" borderId="2" xfId="2" applyNumberFormat="1" applyFont="1" applyFill="1" applyBorder="1" applyAlignment="1">
      <alignment horizontal="center" vertical="center"/>
    </xf>
    <xf numFmtId="10" fontId="183" fillId="7" borderId="9" xfId="2" applyNumberFormat="1" applyFont="1" applyFill="1" applyBorder="1" applyAlignment="1">
      <alignment horizontal="center" vertical="center"/>
    </xf>
    <xf numFmtId="0" fontId="176" fillId="0" borderId="0" xfId="12">
      <alignment vertical="center"/>
    </xf>
    <xf numFmtId="178" fontId="183" fillId="0" borderId="2" xfId="8" applyNumberFormat="1" applyFont="1" applyBorder="1" applyAlignment="1">
      <alignment horizontal="center" vertical="center"/>
    </xf>
    <xf numFmtId="10" fontId="183" fillId="0" borderId="2" xfId="2" applyNumberFormat="1" applyFont="1" applyBorder="1" applyAlignment="1">
      <alignment horizontal="center" vertical="center"/>
    </xf>
    <xf numFmtId="1" fontId="176" fillId="0" borderId="0" xfId="12" applyNumberFormat="1">
      <alignment vertical="center"/>
    </xf>
    <xf numFmtId="3" fontId="176" fillId="0" borderId="0" xfId="12" applyNumberFormat="1">
      <alignment vertical="center"/>
    </xf>
    <xf numFmtId="176" fontId="176" fillId="0" borderId="0" xfId="2" applyNumberFormat="1" applyFont="1">
      <alignment vertical="center"/>
    </xf>
    <xf numFmtId="0" fontId="183" fillId="0" borderId="0" xfId="12" applyFont="1">
      <alignment vertical="center"/>
    </xf>
    <xf numFmtId="10" fontId="190" fillId="0" borderId="9" xfId="2" applyNumberFormat="1" applyFont="1" applyFill="1" applyBorder="1" applyAlignment="1">
      <alignment horizontal="center" vertical="center"/>
    </xf>
    <xf numFmtId="0" fontId="203" fillId="5" borderId="2" xfId="12" applyFont="1" applyFill="1" applyBorder="1" applyAlignment="1">
      <alignment horizontal="center" vertical="center" wrapText="1"/>
    </xf>
    <xf numFmtId="10" fontId="191" fillId="0" borderId="9" xfId="2" applyNumberFormat="1" applyFont="1" applyFill="1" applyBorder="1" applyAlignment="1">
      <alignment horizontal="center" vertical="center"/>
    </xf>
    <xf numFmtId="179" fontId="183" fillId="2" borderId="2" xfId="16" applyNumberFormat="1" applyFont="1" applyFill="1" applyBorder="1" applyAlignment="1">
      <alignment horizontal="center" vertical="center"/>
    </xf>
    <xf numFmtId="179" fontId="183" fillId="2" borderId="12" xfId="16" applyNumberFormat="1" applyFont="1" applyFill="1" applyBorder="1" applyAlignment="1">
      <alignment horizontal="center" vertical="center"/>
    </xf>
    <xf numFmtId="179" fontId="183" fillId="0" borderId="2" xfId="16" applyNumberFormat="1" applyFont="1" applyBorder="1" applyAlignment="1">
      <alignment horizontal="center" vertical="center"/>
    </xf>
    <xf numFmtId="0" fontId="183" fillId="0" borderId="2" xfId="16" applyFont="1" applyBorder="1" applyAlignment="1">
      <alignment horizontal="center" vertical="center"/>
    </xf>
    <xf numFmtId="14" fontId="0" fillId="0" borderId="0" xfId="0" applyNumberFormat="1"/>
    <xf numFmtId="0" fontId="183" fillId="2" borderId="9" xfId="8" applyFont="1" applyFill="1" applyBorder="1" applyAlignment="1">
      <alignment horizontal="left" vertical="center" wrapText="1"/>
    </xf>
    <xf numFmtId="0" fontId="167" fillId="0" borderId="0" xfId="12" applyFont="1">
      <alignment vertical="center"/>
    </xf>
    <xf numFmtId="0" fontId="0" fillId="0" borderId="0" xfId="0" applyFont="1"/>
    <xf numFmtId="0" fontId="0" fillId="0" borderId="0" xfId="0" applyFill="1"/>
    <xf numFmtId="0" fontId="183" fillId="2" borderId="2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183" fillId="2" borderId="9" xfId="0" applyNumberFormat="1" applyFont="1" applyFill="1" applyBorder="1" applyAlignment="1">
      <alignment horizontal="center" vertical="center"/>
    </xf>
    <xf numFmtId="0" fontId="201" fillId="0" borderId="0" xfId="0" applyFont="1" applyFill="1" applyBorder="1" applyAlignment="1">
      <alignment horizontal="left" vertical="center"/>
    </xf>
    <xf numFmtId="0" fontId="201" fillId="0" borderId="0" xfId="0" applyNumberFormat="1" applyFont="1" applyFill="1" applyBorder="1" applyAlignment="1">
      <alignment horizontal="center" vertical="center"/>
    </xf>
    <xf numFmtId="0" fontId="201" fillId="0" borderId="0" xfId="8" applyFont="1" applyFill="1" applyBorder="1" applyAlignment="1">
      <alignment horizontal="left" vertical="center" wrapText="1"/>
    </xf>
    <xf numFmtId="0" fontId="202" fillId="0" borderId="0" xfId="0" applyFont="1" applyFill="1" applyAlignment="1">
      <alignment vertical="center"/>
    </xf>
    <xf numFmtId="0" fontId="200" fillId="0" borderId="0" xfId="0" applyFont="1" applyBorder="1" applyAlignment="1">
      <alignment vertical="center"/>
    </xf>
    <xf numFmtId="0" fontId="183" fillId="2" borderId="9" xfId="8" quotePrefix="1" applyFont="1" applyFill="1" applyBorder="1" applyAlignment="1">
      <alignment horizontal="left" vertical="center" wrapText="1"/>
    </xf>
    <xf numFmtId="0" fontId="183" fillId="2" borderId="20" xfId="0" applyFont="1" applyFill="1" applyBorder="1" applyAlignment="1">
      <alignment horizontal="left" vertical="center"/>
    </xf>
    <xf numFmtId="0" fontId="183" fillId="2" borderId="2" xfId="8" quotePrefix="1" applyFont="1" applyFill="1" applyBorder="1" applyAlignment="1">
      <alignment horizontal="left" vertical="center" wrapText="1"/>
    </xf>
    <xf numFmtId="176" fontId="183" fillId="0" borderId="2" xfId="266" applyNumberFormat="1" applyFont="1" applyBorder="1" applyAlignment="1">
      <alignment horizontal="center" vertical="center"/>
    </xf>
    <xf numFmtId="10" fontId="183" fillId="0" borderId="2" xfId="266" applyNumberFormat="1" applyFont="1" applyBorder="1" applyAlignment="1">
      <alignment horizontal="center" vertical="center"/>
    </xf>
    <xf numFmtId="0" fontId="183" fillId="2" borderId="2" xfId="8" applyFont="1" applyFill="1" applyBorder="1" applyAlignment="1">
      <alignment horizontal="left" vertical="center" wrapText="1"/>
    </xf>
    <xf numFmtId="0" fontId="185" fillId="5" borderId="2" xfId="549" applyFont="1" applyFill="1" applyBorder="1" applyAlignment="1">
      <alignment horizontal="center" vertical="center" wrapText="1"/>
    </xf>
    <xf numFmtId="179" fontId="190" fillId="2" borderId="9" xfId="551" applyNumberFormat="1" applyFont="1" applyFill="1" applyBorder="1" applyAlignment="1">
      <alignment horizontal="center" vertical="center"/>
    </xf>
    <xf numFmtId="0" fontId="194" fillId="10" borderId="2" xfId="552" applyFont="1" applyFill="1" applyBorder="1" applyAlignment="1">
      <alignment horizontal="center" vertical="center" wrapText="1"/>
    </xf>
    <xf numFmtId="0" fontId="194" fillId="11" borderId="2" xfId="552" applyFont="1" applyFill="1" applyBorder="1" applyAlignment="1">
      <alignment horizontal="center" vertical="center"/>
    </xf>
    <xf numFmtId="0" fontId="194" fillId="11" borderId="12" xfId="552" applyFont="1" applyFill="1" applyBorder="1" applyAlignment="1">
      <alignment horizontal="center" vertical="center" wrapText="1"/>
    </xf>
    <xf numFmtId="0" fontId="196" fillId="0" borderId="6" xfId="552" applyFont="1" applyFill="1" applyBorder="1" applyAlignment="1">
      <alignment horizontal="center" vertical="center"/>
    </xf>
    <xf numFmtId="177" fontId="196" fillId="0" borderId="2" xfId="552" applyNumberFormat="1" applyFont="1" applyFill="1" applyBorder="1" applyAlignment="1">
      <alignment horizontal="center" vertical="center"/>
    </xf>
    <xf numFmtId="1" fontId="196" fillId="0" borderId="2" xfId="552" applyNumberFormat="1" applyFont="1" applyFill="1" applyBorder="1" applyAlignment="1">
      <alignment horizontal="center" vertical="center"/>
    </xf>
    <xf numFmtId="0" fontId="196" fillId="7" borderId="6" xfId="552" applyFont="1" applyFill="1" applyBorder="1" applyAlignment="1">
      <alignment horizontal="center" vertical="center"/>
    </xf>
    <xf numFmtId="0" fontId="196" fillId="7" borderId="17" xfId="552" applyFont="1" applyFill="1" applyBorder="1" applyAlignment="1">
      <alignment horizontal="center" vertical="center"/>
    </xf>
    <xf numFmtId="177" fontId="196" fillId="0" borderId="9" xfId="552" applyNumberFormat="1" applyFont="1" applyFill="1" applyBorder="1" applyAlignment="1">
      <alignment horizontal="center" vertical="center"/>
    </xf>
    <xf numFmtId="1" fontId="196" fillId="0" borderId="9" xfId="552" applyNumberFormat="1" applyFont="1" applyFill="1" applyBorder="1" applyAlignment="1">
      <alignment horizontal="center" vertical="center"/>
    </xf>
    <xf numFmtId="0" fontId="201" fillId="0" borderId="0" xfId="552" applyFont="1" applyFill="1" applyBorder="1" applyAlignment="1">
      <alignment horizontal="center" vertical="center"/>
    </xf>
    <xf numFmtId="177" fontId="201" fillId="0" borderId="0" xfId="552" applyNumberFormat="1" applyFont="1" applyFill="1" applyBorder="1" applyAlignment="1">
      <alignment horizontal="center" vertical="center"/>
    </xf>
    <xf numFmtId="1" fontId="201" fillId="0" borderId="0" xfId="552" applyNumberFormat="1" applyFont="1" applyFill="1" applyBorder="1" applyAlignment="1">
      <alignment horizontal="center" vertical="center"/>
    </xf>
    <xf numFmtId="0" fontId="183" fillId="0" borderId="6" xfId="552" applyFont="1" applyFill="1" applyBorder="1" applyAlignment="1">
      <alignment horizontal="center" vertical="center"/>
    </xf>
    <xf numFmtId="0" fontId="183" fillId="7" borderId="6" xfId="552" applyFont="1" applyFill="1" applyBorder="1" applyAlignment="1">
      <alignment horizontal="center" vertical="center"/>
    </xf>
    <xf numFmtId="0" fontId="183" fillId="7" borderId="17" xfId="552" applyFont="1" applyFill="1" applyBorder="1" applyAlignment="1">
      <alignment horizontal="center" vertical="center"/>
    </xf>
    <xf numFmtId="0" fontId="185" fillId="5" borderId="2" xfId="569" applyFont="1" applyFill="1" applyBorder="1" applyAlignment="1">
      <alignment horizontal="center" vertical="center" wrapText="1"/>
    </xf>
    <xf numFmtId="179" fontId="190" fillId="2" borderId="9" xfId="571" applyNumberFormat="1" applyFont="1" applyFill="1" applyBorder="1" applyAlignment="1">
      <alignment horizontal="center" vertical="center"/>
    </xf>
    <xf numFmtId="0" fontId="194" fillId="10" borderId="2" xfId="572" applyFont="1" applyFill="1" applyBorder="1" applyAlignment="1">
      <alignment horizontal="center" vertical="center" wrapText="1"/>
    </xf>
    <xf numFmtId="0" fontId="194" fillId="11" borderId="2" xfId="572" applyFont="1" applyFill="1" applyBorder="1" applyAlignment="1">
      <alignment horizontal="center" vertical="center"/>
    </xf>
    <xf numFmtId="0" fontId="194" fillId="11" borderId="12" xfId="572" applyFont="1" applyFill="1" applyBorder="1" applyAlignment="1">
      <alignment horizontal="center" vertical="center" wrapText="1"/>
    </xf>
    <xf numFmtId="0" fontId="196" fillId="0" borderId="6" xfId="572" applyFont="1" applyFill="1" applyBorder="1" applyAlignment="1">
      <alignment horizontal="center" vertical="center"/>
    </xf>
    <xf numFmtId="177" fontId="196" fillId="0" borderId="2" xfId="572" applyNumberFormat="1" applyFont="1" applyFill="1" applyBorder="1" applyAlignment="1">
      <alignment horizontal="center" vertical="center"/>
    </xf>
    <xf numFmtId="1" fontId="196" fillId="0" borderId="2" xfId="572" applyNumberFormat="1" applyFont="1" applyFill="1" applyBorder="1" applyAlignment="1">
      <alignment horizontal="center" vertical="center"/>
    </xf>
    <xf numFmtId="0" fontId="196" fillId="7" borderId="6" xfId="572" applyFont="1" applyFill="1" applyBorder="1" applyAlignment="1">
      <alignment horizontal="center" vertical="center"/>
    </xf>
    <xf numFmtId="0" fontId="196" fillId="7" borderId="17" xfId="572" applyFont="1" applyFill="1" applyBorder="1" applyAlignment="1">
      <alignment horizontal="center" vertical="center"/>
    </xf>
    <xf numFmtId="177" fontId="196" fillId="0" borderId="9" xfId="572" applyNumberFormat="1" applyFont="1" applyFill="1" applyBorder="1" applyAlignment="1">
      <alignment horizontal="center" vertical="center"/>
    </xf>
    <xf numFmtId="1" fontId="196" fillId="0" borderId="9" xfId="572" applyNumberFormat="1" applyFont="1" applyFill="1" applyBorder="1" applyAlignment="1">
      <alignment horizontal="center" vertical="center"/>
    </xf>
    <xf numFmtId="0" fontId="201" fillId="0" borderId="0" xfId="572" applyFont="1" applyFill="1" applyBorder="1" applyAlignment="1">
      <alignment horizontal="center" vertical="center"/>
    </xf>
    <xf numFmtId="177" fontId="201" fillId="0" borderId="0" xfId="572" applyNumberFormat="1" applyFont="1" applyFill="1" applyBorder="1" applyAlignment="1">
      <alignment horizontal="center" vertical="center"/>
    </xf>
    <xf numFmtId="1" fontId="201" fillId="0" borderId="0" xfId="572" applyNumberFormat="1" applyFont="1" applyFill="1" applyBorder="1" applyAlignment="1">
      <alignment horizontal="center" vertical="center"/>
    </xf>
    <xf numFmtId="0" fontId="183" fillId="0" borderId="6" xfId="572" applyFont="1" applyFill="1" applyBorder="1" applyAlignment="1">
      <alignment horizontal="center" vertical="center"/>
    </xf>
    <xf numFmtId="0" fontId="183" fillId="7" borderId="6" xfId="572" applyFont="1" applyFill="1" applyBorder="1" applyAlignment="1">
      <alignment horizontal="center" vertical="center"/>
    </xf>
    <xf numFmtId="0" fontId="183" fillId="7" borderId="17" xfId="572" applyFont="1" applyFill="1" applyBorder="1" applyAlignment="1">
      <alignment horizontal="center" vertical="center"/>
    </xf>
    <xf numFmtId="0" fontId="185" fillId="5" borderId="2" xfId="573" applyFont="1" applyFill="1" applyBorder="1" applyAlignment="1">
      <alignment horizontal="center" vertical="center" wrapText="1"/>
    </xf>
    <xf numFmtId="179" fontId="190" fillId="2" borderId="9" xfId="575" applyNumberFormat="1" applyFont="1" applyFill="1" applyBorder="1" applyAlignment="1">
      <alignment horizontal="center" vertical="center"/>
    </xf>
    <xf numFmtId="0" fontId="194" fillId="10" borderId="2" xfId="576" applyFont="1" applyFill="1" applyBorder="1" applyAlignment="1">
      <alignment horizontal="center" vertical="center" wrapText="1"/>
    </xf>
    <xf numFmtId="0" fontId="194" fillId="11" borderId="2" xfId="576" applyFont="1" applyFill="1" applyBorder="1" applyAlignment="1">
      <alignment horizontal="center" vertical="center"/>
    </xf>
    <xf numFmtId="0" fontId="194" fillId="11" borderId="12" xfId="576" applyFont="1" applyFill="1" applyBorder="1" applyAlignment="1">
      <alignment horizontal="center" vertical="center" wrapText="1"/>
    </xf>
    <xf numFmtId="0" fontId="196" fillId="0" borderId="6" xfId="576" applyFont="1" applyFill="1" applyBorder="1" applyAlignment="1">
      <alignment horizontal="center" vertical="center"/>
    </xf>
    <xf numFmtId="177" fontId="196" fillId="0" borderId="2" xfId="576" applyNumberFormat="1" applyFont="1" applyFill="1" applyBorder="1" applyAlignment="1">
      <alignment horizontal="center" vertical="center"/>
    </xf>
    <xf numFmtId="1" fontId="196" fillId="0" borderId="2" xfId="576" applyNumberFormat="1" applyFont="1" applyFill="1" applyBorder="1" applyAlignment="1">
      <alignment horizontal="center" vertical="center"/>
    </xf>
    <xf numFmtId="0" fontId="196" fillId="7" borderId="6" xfId="576" applyFont="1" applyFill="1" applyBorder="1" applyAlignment="1">
      <alignment horizontal="center" vertical="center"/>
    </xf>
    <xf numFmtId="0" fontId="196" fillId="7" borderId="17" xfId="576" applyFont="1" applyFill="1" applyBorder="1" applyAlignment="1">
      <alignment horizontal="center" vertical="center"/>
    </xf>
    <xf numFmtId="177" fontId="196" fillId="0" borderId="9" xfId="576" applyNumberFormat="1" applyFont="1" applyFill="1" applyBorder="1" applyAlignment="1">
      <alignment horizontal="center" vertical="center"/>
    </xf>
    <xf numFmtId="1" fontId="196" fillId="0" borderId="9" xfId="576" applyNumberFormat="1" applyFont="1" applyFill="1" applyBorder="1" applyAlignment="1">
      <alignment horizontal="center" vertical="center"/>
    </xf>
    <xf numFmtId="0" fontId="201" fillId="0" borderId="0" xfId="576" applyFont="1" applyFill="1" applyBorder="1" applyAlignment="1">
      <alignment horizontal="center" vertical="center"/>
    </xf>
    <xf numFmtId="177" fontId="201" fillId="0" borderId="0" xfId="576" applyNumberFormat="1" applyFont="1" applyFill="1" applyBorder="1" applyAlignment="1">
      <alignment horizontal="center" vertical="center"/>
    </xf>
    <xf numFmtId="1" fontId="201" fillId="0" borderId="0" xfId="576" applyNumberFormat="1" applyFont="1" applyFill="1" applyBorder="1" applyAlignment="1">
      <alignment horizontal="center" vertical="center"/>
    </xf>
    <xf numFmtId="0" fontId="183" fillId="0" borderId="6" xfId="576" applyFont="1" applyFill="1" applyBorder="1" applyAlignment="1">
      <alignment horizontal="center" vertical="center"/>
    </xf>
    <xf numFmtId="0" fontId="183" fillId="7" borderId="6" xfId="576" applyFont="1" applyFill="1" applyBorder="1" applyAlignment="1">
      <alignment horizontal="center" vertical="center"/>
    </xf>
    <xf numFmtId="0" fontId="183" fillId="7" borderId="17" xfId="576" applyFont="1" applyFill="1" applyBorder="1" applyAlignment="1">
      <alignment horizontal="center" vertical="center"/>
    </xf>
    <xf numFmtId="0" fontId="185" fillId="5" borderId="2" xfId="593" applyFont="1" applyFill="1" applyBorder="1" applyAlignment="1">
      <alignment horizontal="center" vertical="center" wrapText="1"/>
    </xf>
    <xf numFmtId="179" fontId="190" fillId="2" borderId="9" xfId="595" applyNumberFormat="1" applyFont="1" applyFill="1" applyBorder="1" applyAlignment="1">
      <alignment horizontal="center" vertical="center"/>
    </xf>
    <xf numFmtId="0" fontId="194" fillId="10" borderId="2" xfId="596" applyFont="1" applyFill="1" applyBorder="1" applyAlignment="1">
      <alignment horizontal="center" vertical="center" wrapText="1"/>
    </xf>
    <xf numFmtId="0" fontId="194" fillId="11" borderId="2" xfId="596" applyFont="1" applyFill="1" applyBorder="1" applyAlignment="1">
      <alignment horizontal="center" vertical="center"/>
    </xf>
    <xf numFmtId="0" fontId="194" fillId="11" borderId="12" xfId="596" applyFont="1" applyFill="1" applyBorder="1" applyAlignment="1">
      <alignment horizontal="center" vertical="center" wrapText="1"/>
    </xf>
    <xf numFmtId="0" fontId="196" fillId="0" borderId="6" xfId="596" applyFont="1" applyFill="1" applyBorder="1" applyAlignment="1">
      <alignment horizontal="center" vertical="center"/>
    </xf>
    <xf numFmtId="177" fontId="196" fillId="0" borderId="2" xfId="596" applyNumberFormat="1" applyFont="1" applyFill="1" applyBorder="1" applyAlignment="1">
      <alignment horizontal="center" vertical="center"/>
    </xf>
    <xf numFmtId="1" fontId="196" fillId="0" borderId="2" xfId="596" applyNumberFormat="1" applyFont="1" applyFill="1" applyBorder="1" applyAlignment="1">
      <alignment horizontal="center" vertical="center"/>
    </xf>
    <xf numFmtId="0" fontId="196" fillId="7" borderId="6" xfId="596" applyFont="1" applyFill="1" applyBorder="1" applyAlignment="1">
      <alignment horizontal="center" vertical="center"/>
    </xf>
    <xf numFmtId="0" fontId="196" fillId="7" borderId="17" xfId="596" applyFont="1" applyFill="1" applyBorder="1" applyAlignment="1">
      <alignment horizontal="center" vertical="center"/>
    </xf>
    <xf numFmtId="177" fontId="196" fillId="0" borderId="9" xfId="596" applyNumberFormat="1" applyFont="1" applyFill="1" applyBorder="1" applyAlignment="1">
      <alignment horizontal="center" vertical="center"/>
    </xf>
    <xf numFmtId="1" fontId="196" fillId="0" borderId="9" xfId="596" applyNumberFormat="1" applyFont="1" applyFill="1" applyBorder="1" applyAlignment="1">
      <alignment horizontal="center" vertical="center"/>
    </xf>
    <xf numFmtId="0" fontId="201" fillId="0" borderId="0" xfId="596" applyFont="1" applyFill="1" applyBorder="1" applyAlignment="1">
      <alignment horizontal="center" vertical="center"/>
    </xf>
    <xf numFmtId="177" fontId="201" fillId="0" borderId="0" xfId="596" applyNumberFormat="1" applyFont="1" applyFill="1" applyBorder="1" applyAlignment="1">
      <alignment horizontal="center" vertical="center"/>
    </xf>
    <xf numFmtId="1" fontId="201" fillId="0" borderId="0" xfId="596" applyNumberFormat="1" applyFont="1" applyFill="1" applyBorder="1" applyAlignment="1">
      <alignment horizontal="center" vertical="center"/>
    </xf>
    <xf numFmtId="0" fontId="183" fillId="0" borderId="6" xfId="596" applyFont="1" applyFill="1" applyBorder="1" applyAlignment="1">
      <alignment horizontal="center" vertical="center"/>
    </xf>
    <xf numFmtId="0" fontId="183" fillId="7" borderId="6" xfId="596" applyFont="1" applyFill="1" applyBorder="1" applyAlignment="1">
      <alignment horizontal="center" vertical="center"/>
    </xf>
    <xf numFmtId="0" fontId="183" fillId="7" borderId="17" xfId="596" applyFont="1" applyFill="1" applyBorder="1" applyAlignment="1">
      <alignment horizontal="center" vertical="center"/>
    </xf>
    <xf numFmtId="0" fontId="185" fillId="5" borderId="2" xfId="597" applyFont="1" applyFill="1" applyBorder="1" applyAlignment="1">
      <alignment horizontal="center" vertical="center" wrapText="1"/>
    </xf>
    <xf numFmtId="179" fontId="190" fillId="2" borderId="9" xfId="599" applyNumberFormat="1" applyFont="1" applyFill="1" applyBorder="1" applyAlignment="1">
      <alignment horizontal="center" vertical="center"/>
    </xf>
    <xf numFmtId="0" fontId="194" fillId="10" borderId="2" xfId="600" applyFont="1" applyFill="1" applyBorder="1" applyAlignment="1">
      <alignment horizontal="center" vertical="center" wrapText="1"/>
    </xf>
    <xf numFmtId="0" fontId="194" fillId="11" borderId="2" xfId="600" applyFont="1" applyFill="1" applyBorder="1" applyAlignment="1">
      <alignment horizontal="center" vertical="center"/>
    </xf>
    <xf numFmtId="0" fontId="194" fillId="11" borderId="12" xfId="600" applyFont="1" applyFill="1" applyBorder="1" applyAlignment="1">
      <alignment horizontal="center" vertical="center" wrapText="1"/>
    </xf>
    <xf numFmtId="0" fontId="196" fillId="0" borderId="6" xfId="600" applyFont="1" applyFill="1" applyBorder="1" applyAlignment="1">
      <alignment horizontal="center" vertical="center"/>
    </xf>
    <xf numFmtId="177" fontId="196" fillId="0" borderId="2" xfId="600" applyNumberFormat="1" applyFont="1" applyFill="1" applyBorder="1" applyAlignment="1">
      <alignment horizontal="center" vertical="center"/>
    </xf>
    <xf numFmtId="1" fontId="196" fillId="0" borderId="2" xfId="600" applyNumberFormat="1" applyFont="1" applyFill="1" applyBorder="1" applyAlignment="1">
      <alignment horizontal="center" vertical="center"/>
    </xf>
    <xf numFmtId="0" fontId="196" fillId="7" borderId="6" xfId="600" applyFont="1" applyFill="1" applyBorder="1" applyAlignment="1">
      <alignment horizontal="center" vertical="center"/>
    </xf>
    <xf numFmtId="0" fontId="196" fillId="7" borderId="17" xfId="600" applyFont="1" applyFill="1" applyBorder="1" applyAlignment="1">
      <alignment horizontal="center" vertical="center"/>
    </xf>
    <xf numFmtId="177" fontId="196" fillId="0" borderId="9" xfId="600" applyNumberFormat="1" applyFont="1" applyFill="1" applyBorder="1" applyAlignment="1">
      <alignment horizontal="center" vertical="center"/>
    </xf>
    <xf numFmtId="1" fontId="196" fillId="0" borderId="9" xfId="600" applyNumberFormat="1" applyFont="1" applyFill="1" applyBorder="1" applyAlignment="1">
      <alignment horizontal="center" vertical="center"/>
    </xf>
    <xf numFmtId="0" fontId="201" fillId="0" borderId="0" xfId="600" applyFont="1" applyFill="1" applyBorder="1" applyAlignment="1">
      <alignment horizontal="center" vertical="center"/>
    </xf>
    <xf numFmtId="177" fontId="201" fillId="0" borderId="0" xfId="600" applyNumberFormat="1" applyFont="1" applyFill="1" applyBorder="1" applyAlignment="1">
      <alignment horizontal="center" vertical="center"/>
    </xf>
    <xf numFmtId="1" fontId="201" fillId="0" borderId="0" xfId="600" applyNumberFormat="1" applyFont="1" applyFill="1" applyBorder="1" applyAlignment="1">
      <alignment horizontal="center" vertical="center"/>
    </xf>
    <xf numFmtId="0" fontId="183" fillId="0" borderId="6" xfId="600" applyFont="1" applyFill="1" applyBorder="1" applyAlignment="1">
      <alignment horizontal="center" vertical="center"/>
    </xf>
    <xf numFmtId="0" fontId="183" fillId="7" borderId="6" xfId="600" applyFont="1" applyFill="1" applyBorder="1" applyAlignment="1">
      <alignment horizontal="center" vertical="center"/>
    </xf>
    <xf numFmtId="0" fontId="183" fillId="7" borderId="17" xfId="600" applyFont="1" applyFill="1" applyBorder="1" applyAlignment="1">
      <alignment horizontal="center" vertical="center"/>
    </xf>
    <xf numFmtId="0" fontId="185" fillId="5" borderId="2" xfId="605" applyFont="1" applyFill="1" applyBorder="1" applyAlignment="1">
      <alignment horizontal="center" vertical="center" wrapText="1"/>
    </xf>
    <xf numFmtId="179" fontId="190" fillId="2" borderId="9" xfId="607" applyNumberFormat="1" applyFont="1" applyFill="1" applyBorder="1" applyAlignment="1">
      <alignment horizontal="center" vertical="center"/>
    </xf>
    <xf numFmtId="0" fontId="194" fillId="10" borderId="2" xfId="608" applyFont="1" applyFill="1" applyBorder="1" applyAlignment="1">
      <alignment horizontal="center" vertical="center" wrapText="1"/>
    </xf>
    <xf numFmtId="0" fontId="194" fillId="11" borderId="2" xfId="608" applyFont="1" applyFill="1" applyBorder="1" applyAlignment="1">
      <alignment horizontal="center" vertical="center"/>
    </xf>
    <xf numFmtId="0" fontId="194" fillId="11" borderId="12" xfId="608" applyFont="1" applyFill="1" applyBorder="1" applyAlignment="1">
      <alignment horizontal="center" vertical="center" wrapText="1"/>
    </xf>
    <xf numFmtId="0" fontId="196" fillId="0" borderId="6" xfId="608" applyFont="1" applyFill="1" applyBorder="1" applyAlignment="1">
      <alignment horizontal="center" vertical="center"/>
    </xf>
    <xf numFmtId="177" fontId="196" fillId="0" borderId="2" xfId="608" applyNumberFormat="1" applyFont="1" applyFill="1" applyBorder="1" applyAlignment="1">
      <alignment horizontal="center" vertical="center"/>
    </xf>
    <xf numFmtId="1" fontId="196" fillId="0" borderId="2" xfId="608" applyNumberFormat="1" applyFont="1" applyFill="1" applyBorder="1" applyAlignment="1">
      <alignment horizontal="center" vertical="center"/>
    </xf>
    <xf numFmtId="0" fontId="196" fillId="7" borderId="6" xfId="608" applyFont="1" applyFill="1" applyBorder="1" applyAlignment="1">
      <alignment horizontal="center" vertical="center"/>
    </xf>
    <xf numFmtId="0" fontId="196" fillId="7" borderId="17" xfId="608" applyFont="1" applyFill="1" applyBorder="1" applyAlignment="1">
      <alignment horizontal="center" vertical="center"/>
    </xf>
    <xf numFmtId="177" fontId="196" fillId="0" borderId="9" xfId="608" applyNumberFormat="1" applyFont="1" applyFill="1" applyBorder="1" applyAlignment="1">
      <alignment horizontal="center" vertical="center"/>
    </xf>
    <xf numFmtId="1" fontId="196" fillId="0" borderId="9" xfId="608" applyNumberFormat="1" applyFont="1" applyFill="1" applyBorder="1" applyAlignment="1">
      <alignment horizontal="center" vertical="center"/>
    </xf>
    <xf numFmtId="0" fontId="201" fillId="0" borderId="0" xfId="608" applyFont="1" applyFill="1" applyBorder="1" applyAlignment="1">
      <alignment horizontal="center" vertical="center"/>
    </xf>
    <xf numFmtId="177" fontId="201" fillId="0" borderId="0" xfId="608" applyNumberFormat="1" applyFont="1" applyFill="1" applyBorder="1" applyAlignment="1">
      <alignment horizontal="center" vertical="center"/>
    </xf>
    <xf numFmtId="1" fontId="201" fillId="0" borderId="0" xfId="608" applyNumberFormat="1" applyFont="1" applyFill="1" applyBorder="1" applyAlignment="1">
      <alignment horizontal="center" vertical="center"/>
    </xf>
    <xf numFmtId="0" fontId="183" fillId="0" borderId="6" xfId="608" applyFont="1" applyFill="1" applyBorder="1" applyAlignment="1">
      <alignment horizontal="center" vertical="center"/>
    </xf>
    <xf numFmtId="0" fontId="183" fillId="7" borderId="6" xfId="608" applyFont="1" applyFill="1" applyBorder="1" applyAlignment="1">
      <alignment horizontal="center" vertical="center"/>
    </xf>
    <xf numFmtId="0" fontId="183" fillId="7" borderId="17" xfId="608" applyFont="1" applyFill="1" applyBorder="1" applyAlignment="1">
      <alignment horizontal="center" vertical="center"/>
    </xf>
    <xf numFmtId="0" fontId="185" fillId="5" borderId="2" xfId="609" applyFont="1" applyFill="1" applyBorder="1" applyAlignment="1">
      <alignment horizontal="center" vertical="center" wrapText="1"/>
    </xf>
    <xf numFmtId="179" fontId="190" fillId="2" borderId="9" xfId="611" applyNumberFormat="1" applyFont="1" applyFill="1" applyBorder="1" applyAlignment="1">
      <alignment horizontal="center" vertical="center"/>
    </xf>
    <xf numFmtId="0" fontId="194" fillId="10" borderId="2" xfId="612" applyFont="1" applyFill="1" applyBorder="1" applyAlignment="1">
      <alignment horizontal="center" vertical="center" wrapText="1"/>
    </xf>
    <xf numFmtId="0" fontId="194" fillId="11" borderId="2" xfId="612" applyFont="1" applyFill="1" applyBorder="1" applyAlignment="1">
      <alignment horizontal="center" vertical="center"/>
    </xf>
    <xf numFmtId="0" fontId="194" fillId="11" borderId="12" xfId="612" applyFont="1" applyFill="1" applyBorder="1" applyAlignment="1">
      <alignment horizontal="center" vertical="center" wrapText="1"/>
    </xf>
    <xf numFmtId="0" fontId="196" fillId="0" borderId="6" xfId="612" applyFont="1" applyFill="1" applyBorder="1" applyAlignment="1">
      <alignment horizontal="center" vertical="center"/>
    </xf>
    <xf numFmtId="177" fontId="196" fillId="0" borderId="2" xfId="612" applyNumberFormat="1" applyFont="1" applyFill="1" applyBorder="1" applyAlignment="1">
      <alignment horizontal="center" vertical="center"/>
    </xf>
    <xf numFmtId="1" fontId="196" fillId="0" borderId="2" xfId="612" applyNumberFormat="1" applyFont="1" applyFill="1" applyBorder="1" applyAlignment="1">
      <alignment horizontal="center" vertical="center"/>
    </xf>
    <xf numFmtId="0" fontId="196" fillId="7" borderId="6" xfId="612" applyFont="1" applyFill="1" applyBorder="1" applyAlignment="1">
      <alignment horizontal="center" vertical="center"/>
    </xf>
    <xf numFmtId="0" fontId="196" fillId="7" borderId="17" xfId="612" applyFont="1" applyFill="1" applyBorder="1" applyAlignment="1">
      <alignment horizontal="center" vertical="center"/>
    </xf>
    <xf numFmtId="177" fontId="196" fillId="0" borderId="9" xfId="612" applyNumberFormat="1" applyFont="1" applyFill="1" applyBorder="1" applyAlignment="1">
      <alignment horizontal="center" vertical="center"/>
    </xf>
    <xf numFmtId="1" fontId="196" fillId="0" borderId="9" xfId="612" applyNumberFormat="1" applyFont="1" applyFill="1" applyBorder="1" applyAlignment="1">
      <alignment horizontal="center" vertical="center"/>
    </xf>
    <xf numFmtId="0" fontId="201" fillId="0" borderId="0" xfId="612" applyFont="1" applyFill="1" applyBorder="1" applyAlignment="1">
      <alignment horizontal="center" vertical="center"/>
    </xf>
    <xf numFmtId="177" fontId="201" fillId="0" borderId="0" xfId="612" applyNumberFormat="1" applyFont="1" applyFill="1" applyBorder="1" applyAlignment="1">
      <alignment horizontal="center" vertical="center"/>
    </xf>
    <xf numFmtId="1" fontId="201" fillId="0" borderId="0" xfId="612" applyNumberFormat="1" applyFont="1" applyFill="1" applyBorder="1" applyAlignment="1">
      <alignment horizontal="center" vertical="center"/>
    </xf>
    <xf numFmtId="0" fontId="183" fillId="0" borderId="6" xfId="612" applyFont="1" applyFill="1" applyBorder="1" applyAlignment="1">
      <alignment horizontal="center" vertical="center"/>
    </xf>
    <xf numFmtId="0" fontId="183" fillId="7" borderId="6" xfId="612" applyFont="1" applyFill="1" applyBorder="1" applyAlignment="1">
      <alignment horizontal="center" vertical="center"/>
    </xf>
    <xf numFmtId="0" fontId="183" fillId="7" borderId="17" xfId="612" applyFont="1" applyFill="1" applyBorder="1" applyAlignment="1">
      <alignment horizontal="center" vertical="center"/>
    </xf>
    <xf numFmtId="0" fontId="185" fillId="5" borderId="2" xfId="613" applyFont="1" applyFill="1" applyBorder="1" applyAlignment="1">
      <alignment horizontal="center" vertical="center" wrapText="1"/>
    </xf>
    <xf numFmtId="179" fontId="190" fillId="2" borderId="9" xfId="615" applyNumberFormat="1" applyFont="1" applyFill="1" applyBorder="1" applyAlignment="1">
      <alignment horizontal="center" vertical="center"/>
    </xf>
    <xf numFmtId="0" fontId="194" fillId="10" borderId="2" xfId="616" applyFont="1" applyFill="1" applyBorder="1" applyAlignment="1">
      <alignment horizontal="center" vertical="center" wrapText="1"/>
    </xf>
    <xf numFmtId="0" fontId="194" fillId="11" borderId="2" xfId="616" applyFont="1" applyFill="1" applyBorder="1" applyAlignment="1">
      <alignment horizontal="center" vertical="center"/>
    </xf>
    <xf numFmtId="0" fontId="194" fillId="11" borderId="12" xfId="616" applyFont="1" applyFill="1" applyBorder="1" applyAlignment="1">
      <alignment horizontal="center" vertical="center" wrapText="1"/>
    </xf>
    <xf numFmtId="0" fontId="196" fillId="0" borderId="6" xfId="616" applyFont="1" applyFill="1" applyBorder="1" applyAlignment="1">
      <alignment horizontal="center" vertical="center"/>
    </xf>
    <xf numFmtId="177" fontId="196" fillId="0" borderId="2" xfId="616" applyNumberFormat="1" applyFont="1" applyFill="1" applyBorder="1" applyAlignment="1">
      <alignment horizontal="center" vertical="center"/>
    </xf>
    <xf numFmtId="1" fontId="196" fillId="0" borderId="2" xfId="616" applyNumberFormat="1" applyFont="1" applyFill="1" applyBorder="1" applyAlignment="1">
      <alignment horizontal="center" vertical="center"/>
    </xf>
    <xf numFmtId="0" fontId="196" fillId="7" borderId="6" xfId="616" applyFont="1" applyFill="1" applyBorder="1" applyAlignment="1">
      <alignment horizontal="center" vertical="center"/>
    </xf>
    <xf numFmtId="0" fontId="196" fillId="7" borderId="17" xfId="616" applyFont="1" applyFill="1" applyBorder="1" applyAlignment="1">
      <alignment horizontal="center" vertical="center"/>
    </xf>
    <xf numFmtId="177" fontId="196" fillId="0" borderId="9" xfId="616" applyNumberFormat="1" applyFont="1" applyFill="1" applyBorder="1" applyAlignment="1">
      <alignment horizontal="center" vertical="center"/>
    </xf>
    <xf numFmtId="1" fontId="196" fillId="0" borderId="9" xfId="616" applyNumberFormat="1" applyFont="1" applyFill="1" applyBorder="1" applyAlignment="1">
      <alignment horizontal="center" vertical="center"/>
    </xf>
    <xf numFmtId="0" fontId="201" fillId="0" borderId="0" xfId="616" applyFont="1" applyFill="1" applyBorder="1" applyAlignment="1">
      <alignment horizontal="center" vertical="center"/>
    </xf>
    <xf numFmtId="177" fontId="201" fillId="0" borderId="0" xfId="616" applyNumberFormat="1" applyFont="1" applyFill="1" applyBorder="1" applyAlignment="1">
      <alignment horizontal="center" vertical="center"/>
    </xf>
    <xf numFmtId="1" fontId="201" fillId="0" borderId="0" xfId="616" applyNumberFormat="1" applyFont="1" applyFill="1" applyBorder="1" applyAlignment="1">
      <alignment horizontal="center" vertical="center"/>
    </xf>
    <xf numFmtId="0" fontId="183" fillId="0" borderId="6" xfId="616" applyFont="1" applyFill="1" applyBorder="1" applyAlignment="1">
      <alignment horizontal="center" vertical="center"/>
    </xf>
    <xf numFmtId="0" fontId="183" fillId="7" borderId="6" xfId="616" applyFont="1" applyFill="1" applyBorder="1" applyAlignment="1">
      <alignment horizontal="center" vertical="center"/>
    </xf>
    <xf numFmtId="0" fontId="183" fillId="7" borderId="17" xfId="616" applyFont="1" applyFill="1" applyBorder="1" applyAlignment="1">
      <alignment horizontal="center" vertical="center"/>
    </xf>
    <xf numFmtId="0" fontId="185" fillId="5" borderId="2" xfId="617" applyFont="1" applyFill="1" applyBorder="1" applyAlignment="1">
      <alignment horizontal="center" vertical="center" wrapText="1"/>
    </xf>
    <xf numFmtId="179" fontId="190" fillId="2" borderId="9" xfId="619" applyNumberFormat="1" applyFont="1" applyFill="1" applyBorder="1" applyAlignment="1">
      <alignment horizontal="center" vertical="center"/>
    </xf>
    <xf numFmtId="0" fontId="194" fillId="10" borderId="2" xfId="620" applyFont="1" applyFill="1" applyBorder="1" applyAlignment="1">
      <alignment horizontal="center" vertical="center" wrapText="1"/>
    </xf>
    <xf numFmtId="0" fontId="194" fillId="11" borderId="2" xfId="620" applyFont="1" applyFill="1" applyBorder="1" applyAlignment="1">
      <alignment horizontal="center" vertical="center"/>
    </xf>
    <xf numFmtId="0" fontId="194" fillId="11" borderId="12" xfId="620" applyFont="1" applyFill="1" applyBorder="1" applyAlignment="1">
      <alignment horizontal="center" vertical="center" wrapText="1"/>
    </xf>
    <xf numFmtId="0" fontId="196" fillId="0" borderId="6" xfId="620" applyFont="1" applyFill="1" applyBorder="1" applyAlignment="1">
      <alignment horizontal="center" vertical="center"/>
    </xf>
    <xf numFmtId="177" fontId="196" fillId="0" borderId="2" xfId="620" applyNumberFormat="1" applyFont="1" applyFill="1" applyBorder="1" applyAlignment="1">
      <alignment horizontal="center" vertical="center"/>
    </xf>
    <xf numFmtId="1" fontId="196" fillId="0" borderId="2" xfId="620" applyNumberFormat="1" applyFont="1" applyFill="1" applyBorder="1" applyAlignment="1">
      <alignment horizontal="center" vertical="center"/>
    </xf>
    <xf numFmtId="0" fontId="196" fillId="7" borderId="6" xfId="620" applyFont="1" applyFill="1" applyBorder="1" applyAlignment="1">
      <alignment horizontal="center" vertical="center"/>
    </xf>
    <xf numFmtId="0" fontId="196" fillId="7" borderId="17" xfId="620" applyFont="1" applyFill="1" applyBorder="1" applyAlignment="1">
      <alignment horizontal="center" vertical="center"/>
    </xf>
    <xf numFmtId="177" fontId="196" fillId="0" borderId="9" xfId="620" applyNumberFormat="1" applyFont="1" applyFill="1" applyBorder="1" applyAlignment="1">
      <alignment horizontal="center" vertical="center"/>
    </xf>
    <xf numFmtId="1" fontId="196" fillId="0" borderId="9" xfId="620" applyNumberFormat="1" applyFont="1" applyFill="1" applyBorder="1" applyAlignment="1">
      <alignment horizontal="center" vertical="center"/>
    </xf>
    <xf numFmtId="0" fontId="201" fillId="0" borderId="0" xfId="620" applyFont="1" applyFill="1" applyBorder="1" applyAlignment="1">
      <alignment horizontal="center" vertical="center"/>
    </xf>
    <xf numFmtId="177" fontId="201" fillId="0" borderId="0" xfId="620" applyNumberFormat="1" applyFont="1" applyFill="1" applyBorder="1" applyAlignment="1">
      <alignment horizontal="center" vertical="center"/>
    </xf>
    <xf numFmtId="1" fontId="201" fillId="0" borderId="0" xfId="620" applyNumberFormat="1" applyFont="1" applyFill="1" applyBorder="1" applyAlignment="1">
      <alignment horizontal="center" vertical="center"/>
    </xf>
    <xf numFmtId="0" fontId="183" fillId="0" borderId="6" xfId="620" applyFont="1" applyFill="1" applyBorder="1" applyAlignment="1">
      <alignment horizontal="center" vertical="center"/>
    </xf>
    <xf numFmtId="0" fontId="183" fillId="7" borderId="6" xfId="620" applyFont="1" applyFill="1" applyBorder="1" applyAlignment="1">
      <alignment horizontal="center" vertical="center"/>
    </xf>
    <xf numFmtId="0" fontId="183" fillId="7" borderId="17" xfId="620" applyFont="1" applyFill="1" applyBorder="1" applyAlignment="1">
      <alignment horizontal="center" vertical="center"/>
    </xf>
    <xf numFmtId="0" fontId="185" fillId="5" borderId="2" xfId="625" applyFont="1" applyFill="1" applyBorder="1" applyAlignment="1">
      <alignment horizontal="center" vertical="center" wrapText="1"/>
    </xf>
    <xf numFmtId="179" fontId="190" fillId="2" borderId="9" xfId="627" applyNumberFormat="1" applyFont="1" applyFill="1" applyBorder="1" applyAlignment="1">
      <alignment horizontal="center" vertical="center"/>
    </xf>
    <xf numFmtId="0" fontId="194" fillId="10" borderId="2" xfId="628" applyFont="1" applyFill="1" applyBorder="1" applyAlignment="1">
      <alignment horizontal="center" vertical="center" wrapText="1"/>
    </xf>
    <xf numFmtId="0" fontId="194" fillId="11" borderId="2" xfId="628" applyFont="1" applyFill="1" applyBorder="1" applyAlignment="1">
      <alignment horizontal="center" vertical="center"/>
    </xf>
    <xf numFmtId="0" fontId="194" fillId="11" borderId="12" xfId="628" applyFont="1" applyFill="1" applyBorder="1" applyAlignment="1">
      <alignment horizontal="center" vertical="center" wrapText="1"/>
    </xf>
    <xf numFmtId="0" fontId="196" fillId="0" borderId="6" xfId="628" applyFont="1" applyFill="1" applyBorder="1" applyAlignment="1">
      <alignment horizontal="center" vertical="center"/>
    </xf>
    <xf numFmtId="177" fontId="196" fillId="0" borderId="2" xfId="628" applyNumberFormat="1" applyFont="1" applyFill="1" applyBorder="1" applyAlignment="1">
      <alignment horizontal="center" vertical="center"/>
    </xf>
    <xf numFmtId="1" fontId="196" fillId="0" borderId="2" xfId="628" applyNumberFormat="1" applyFont="1" applyFill="1" applyBorder="1" applyAlignment="1">
      <alignment horizontal="center" vertical="center"/>
    </xf>
    <xf numFmtId="0" fontId="196" fillId="7" borderId="6" xfId="628" applyFont="1" applyFill="1" applyBorder="1" applyAlignment="1">
      <alignment horizontal="center" vertical="center"/>
    </xf>
    <xf numFmtId="0" fontId="196" fillId="7" borderId="17" xfId="628" applyFont="1" applyFill="1" applyBorder="1" applyAlignment="1">
      <alignment horizontal="center" vertical="center"/>
    </xf>
    <xf numFmtId="177" fontId="196" fillId="0" borderId="9" xfId="628" applyNumberFormat="1" applyFont="1" applyFill="1" applyBorder="1" applyAlignment="1">
      <alignment horizontal="center" vertical="center"/>
    </xf>
    <xf numFmtId="1" fontId="196" fillId="0" borderId="9" xfId="628" applyNumberFormat="1" applyFont="1" applyFill="1" applyBorder="1" applyAlignment="1">
      <alignment horizontal="center" vertical="center"/>
    </xf>
    <xf numFmtId="0" fontId="201" fillId="0" borderId="0" xfId="628" applyFont="1" applyFill="1" applyBorder="1" applyAlignment="1">
      <alignment horizontal="center" vertical="center"/>
    </xf>
    <xf numFmtId="177" fontId="201" fillId="0" borderId="0" xfId="628" applyNumberFormat="1" applyFont="1" applyFill="1" applyBorder="1" applyAlignment="1">
      <alignment horizontal="center" vertical="center"/>
    </xf>
    <xf numFmtId="1" fontId="201" fillId="0" borderId="0" xfId="628" applyNumberFormat="1" applyFont="1" applyFill="1" applyBorder="1" applyAlignment="1">
      <alignment horizontal="center" vertical="center"/>
    </xf>
    <xf numFmtId="0" fontId="183" fillId="0" borderId="6" xfId="628" applyFont="1" applyFill="1" applyBorder="1" applyAlignment="1">
      <alignment horizontal="center" vertical="center"/>
    </xf>
    <xf numFmtId="0" fontId="183" fillId="7" borderId="6" xfId="628" applyFont="1" applyFill="1" applyBorder="1" applyAlignment="1">
      <alignment horizontal="center" vertical="center"/>
    </xf>
    <xf numFmtId="0" fontId="183" fillId="7" borderId="17" xfId="628" applyFont="1" applyFill="1" applyBorder="1" applyAlignment="1">
      <alignment horizontal="center" vertical="center"/>
    </xf>
    <xf numFmtId="0" fontId="185" fillId="5" borderId="2" xfId="629" applyFont="1" applyFill="1" applyBorder="1" applyAlignment="1">
      <alignment horizontal="center" vertical="center" wrapText="1"/>
    </xf>
    <xf numFmtId="179" fontId="190" fillId="2" borderId="9" xfId="631" applyNumberFormat="1" applyFont="1" applyFill="1" applyBorder="1" applyAlignment="1">
      <alignment horizontal="center" vertical="center"/>
    </xf>
    <xf numFmtId="0" fontId="194" fillId="10" borderId="2" xfId="632" applyFont="1" applyFill="1" applyBorder="1" applyAlignment="1">
      <alignment horizontal="center" vertical="center" wrapText="1"/>
    </xf>
    <xf numFmtId="0" fontId="194" fillId="11" borderId="2" xfId="632" applyFont="1" applyFill="1" applyBorder="1" applyAlignment="1">
      <alignment horizontal="center" vertical="center"/>
    </xf>
    <xf numFmtId="0" fontId="194" fillId="11" borderId="12" xfId="632" applyFont="1" applyFill="1" applyBorder="1" applyAlignment="1">
      <alignment horizontal="center" vertical="center" wrapText="1"/>
    </xf>
    <xf numFmtId="0" fontId="196" fillId="0" borderId="6" xfId="632" applyFont="1" applyFill="1" applyBorder="1" applyAlignment="1">
      <alignment horizontal="center" vertical="center"/>
    </xf>
    <xf numFmtId="177" fontId="196" fillId="0" borderId="2" xfId="632" applyNumberFormat="1" applyFont="1" applyFill="1" applyBorder="1" applyAlignment="1">
      <alignment horizontal="center" vertical="center"/>
    </xf>
    <xf numFmtId="1" fontId="196" fillId="0" borderId="2" xfId="632" applyNumberFormat="1" applyFont="1" applyFill="1" applyBorder="1" applyAlignment="1">
      <alignment horizontal="center" vertical="center"/>
    </xf>
    <xf numFmtId="0" fontId="196" fillId="7" borderId="6" xfId="632" applyFont="1" applyFill="1" applyBorder="1" applyAlignment="1">
      <alignment horizontal="center" vertical="center"/>
    </xf>
    <xf numFmtId="0" fontId="196" fillId="7" borderId="17" xfId="632" applyFont="1" applyFill="1" applyBorder="1" applyAlignment="1">
      <alignment horizontal="center" vertical="center"/>
    </xf>
    <xf numFmtId="177" fontId="196" fillId="0" borderId="9" xfId="632" applyNumberFormat="1" applyFont="1" applyFill="1" applyBorder="1" applyAlignment="1">
      <alignment horizontal="center" vertical="center"/>
    </xf>
    <xf numFmtId="1" fontId="196" fillId="0" borderId="9" xfId="632" applyNumberFormat="1" applyFont="1" applyFill="1" applyBorder="1" applyAlignment="1">
      <alignment horizontal="center" vertical="center"/>
    </xf>
    <xf numFmtId="0" fontId="201" fillId="0" borderId="0" xfId="632" applyFont="1" applyFill="1" applyBorder="1" applyAlignment="1">
      <alignment horizontal="center" vertical="center"/>
    </xf>
    <xf numFmtId="177" fontId="201" fillId="0" borderId="0" xfId="632" applyNumberFormat="1" applyFont="1" applyFill="1" applyBorder="1" applyAlignment="1">
      <alignment horizontal="center" vertical="center"/>
    </xf>
    <xf numFmtId="1" fontId="201" fillId="0" borderId="0" xfId="632" applyNumberFormat="1" applyFont="1" applyFill="1" applyBorder="1" applyAlignment="1">
      <alignment horizontal="center" vertical="center"/>
    </xf>
    <xf numFmtId="0" fontId="183" fillId="0" borderId="6" xfId="632" applyFont="1" applyFill="1" applyBorder="1" applyAlignment="1">
      <alignment horizontal="center" vertical="center"/>
    </xf>
    <xf numFmtId="0" fontId="183" fillId="7" borderId="6" xfId="632" applyFont="1" applyFill="1" applyBorder="1" applyAlignment="1">
      <alignment horizontal="center" vertical="center"/>
    </xf>
    <xf numFmtId="0" fontId="183" fillId="7" borderId="17" xfId="632" applyFont="1" applyFill="1" applyBorder="1" applyAlignment="1">
      <alignment horizontal="center" vertical="center"/>
    </xf>
    <xf numFmtId="179" fontId="192" fillId="2" borderId="9" xfId="1" applyNumberFormat="1" applyFont="1" applyFill="1" applyBorder="1" applyAlignment="1">
      <alignment horizontal="center" vertical="center"/>
    </xf>
    <xf numFmtId="0" fontId="185" fillId="5" borderId="2" xfId="653" applyFont="1" applyFill="1" applyBorder="1" applyAlignment="1">
      <alignment horizontal="center" vertical="center" wrapText="1"/>
    </xf>
    <xf numFmtId="179" fontId="190" fillId="2" borderId="9" xfId="655" applyNumberFormat="1" applyFont="1" applyFill="1" applyBorder="1" applyAlignment="1">
      <alignment horizontal="center" vertical="center"/>
    </xf>
    <xf numFmtId="0" fontId="194" fillId="10" borderId="2" xfId="656" applyFont="1" applyFill="1" applyBorder="1" applyAlignment="1">
      <alignment horizontal="center" vertical="center" wrapText="1"/>
    </xf>
    <xf numFmtId="0" fontId="194" fillId="11" borderId="2" xfId="656" applyFont="1" applyFill="1" applyBorder="1" applyAlignment="1">
      <alignment horizontal="center" vertical="center"/>
    </xf>
    <xf numFmtId="0" fontId="194" fillId="11" borderId="12" xfId="656" applyFont="1" applyFill="1" applyBorder="1" applyAlignment="1">
      <alignment horizontal="center" vertical="center" wrapText="1"/>
    </xf>
    <xf numFmtId="0" fontId="196" fillId="0" borderId="6" xfId="656" applyFont="1" applyFill="1" applyBorder="1" applyAlignment="1">
      <alignment horizontal="center" vertical="center"/>
    </xf>
    <xf numFmtId="177" fontId="196" fillId="0" borderId="2" xfId="656" applyNumberFormat="1" applyFont="1" applyFill="1" applyBorder="1" applyAlignment="1">
      <alignment horizontal="center" vertical="center"/>
    </xf>
    <xf numFmtId="1" fontId="196" fillId="0" borderId="2" xfId="656" applyNumberFormat="1" applyFont="1" applyFill="1" applyBorder="1" applyAlignment="1">
      <alignment horizontal="center" vertical="center"/>
    </xf>
    <xf numFmtId="0" fontId="196" fillId="7" borderId="6" xfId="656" applyFont="1" applyFill="1" applyBorder="1" applyAlignment="1">
      <alignment horizontal="center" vertical="center"/>
    </xf>
    <xf numFmtId="0" fontId="196" fillId="7" borderId="17" xfId="656" applyFont="1" applyFill="1" applyBorder="1" applyAlignment="1">
      <alignment horizontal="center" vertical="center"/>
    </xf>
    <xf numFmtId="177" fontId="196" fillId="0" borderId="9" xfId="656" applyNumberFormat="1" applyFont="1" applyFill="1" applyBorder="1" applyAlignment="1">
      <alignment horizontal="center" vertical="center"/>
    </xf>
    <xf numFmtId="1" fontId="196" fillId="0" borderId="9" xfId="656" applyNumberFormat="1" applyFont="1" applyFill="1" applyBorder="1" applyAlignment="1">
      <alignment horizontal="center" vertical="center"/>
    </xf>
    <xf numFmtId="0" fontId="201" fillId="0" borderId="0" xfId="656" applyFont="1" applyFill="1" applyBorder="1" applyAlignment="1">
      <alignment horizontal="center" vertical="center"/>
    </xf>
    <xf numFmtId="177" fontId="201" fillId="0" borderId="0" xfId="656" applyNumberFormat="1" applyFont="1" applyFill="1" applyBorder="1" applyAlignment="1">
      <alignment horizontal="center" vertical="center"/>
    </xf>
    <xf numFmtId="1" fontId="201" fillId="0" borderId="0" xfId="656" applyNumberFormat="1" applyFont="1" applyFill="1" applyBorder="1" applyAlignment="1">
      <alignment horizontal="center" vertical="center"/>
    </xf>
    <xf numFmtId="0" fontId="183" fillId="0" borderId="6" xfId="656" applyFont="1" applyFill="1" applyBorder="1" applyAlignment="1">
      <alignment horizontal="center" vertical="center"/>
    </xf>
    <xf numFmtId="0" fontId="183" fillId="7" borderId="6" xfId="656" applyFont="1" applyFill="1" applyBorder="1" applyAlignment="1">
      <alignment horizontal="center" vertical="center"/>
    </xf>
    <xf numFmtId="0" fontId="183" fillId="7" borderId="17" xfId="656" applyFont="1" applyFill="1" applyBorder="1" applyAlignment="1">
      <alignment horizontal="center" vertical="center"/>
    </xf>
    <xf numFmtId="0" fontId="185" fillId="5" borderId="2" xfId="657" applyFont="1" applyFill="1" applyBorder="1" applyAlignment="1">
      <alignment horizontal="center" vertical="center" wrapText="1"/>
    </xf>
    <xf numFmtId="179" fontId="190" fillId="2" borderId="9" xfId="659" applyNumberFormat="1" applyFont="1" applyFill="1" applyBorder="1" applyAlignment="1">
      <alignment horizontal="center" vertical="center"/>
    </xf>
    <xf numFmtId="0" fontId="194" fillId="10" borderId="2" xfId="660" applyFont="1" applyFill="1" applyBorder="1" applyAlignment="1">
      <alignment horizontal="center" vertical="center" wrapText="1"/>
    </xf>
    <xf numFmtId="0" fontId="194" fillId="11" borderId="2" xfId="660" applyFont="1" applyFill="1" applyBorder="1" applyAlignment="1">
      <alignment horizontal="center" vertical="center"/>
    </xf>
    <xf numFmtId="0" fontId="194" fillId="11" borderId="12" xfId="660" applyFont="1" applyFill="1" applyBorder="1" applyAlignment="1">
      <alignment horizontal="center" vertical="center" wrapText="1"/>
    </xf>
    <xf numFmtId="0" fontId="196" fillId="0" borderId="6" xfId="660" applyFont="1" applyFill="1" applyBorder="1" applyAlignment="1">
      <alignment horizontal="center" vertical="center"/>
    </xf>
    <xf numFmtId="177" fontId="196" fillId="0" borderId="2" xfId="660" applyNumberFormat="1" applyFont="1" applyFill="1" applyBorder="1" applyAlignment="1">
      <alignment horizontal="center" vertical="center"/>
    </xf>
    <xf numFmtId="1" fontId="196" fillId="0" borderId="2" xfId="660" applyNumberFormat="1" applyFont="1" applyFill="1" applyBorder="1" applyAlignment="1">
      <alignment horizontal="center" vertical="center"/>
    </xf>
    <xf numFmtId="0" fontId="196" fillId="7" borderId="6" xfId="660" applyFont="1" applyFill="1" applyBorder="1" applyAlignment="1">
      <alignment horizontal="center" vertical="center"/>
    </xf>
    <xf numFmtId="0" fontId="196" fillId="7" borderId="17" xfId="660" applyFont="1" applyFill="1" applyBorder="1" applyAlignment="1">
      <alignment horizontal="center" vertical="center"/>
    </xf>
    <xf numFmtId="177" fontId="196" fillId="0" borderId="9" xfId="660" applyNumberFormat="1" applyFont="1" applyFill="1" applyBorder="1" applyAlignment="1">
      <alignment horizontal="center" vertical="center"/>
    </xf>
    <xf numFmtId="1" fontId="196" fillId="0" borderId="9" xfId="660" applyNumberFormat="1" applyFont="1" applyFill="1" applyBorder="1" applyAlignment="1">
      <alignment horizontal="center" vertical="center"/>
    </xf>
    <xf numFmtId="0" fontId="201" fillId="0" borderId="0" xfId="660" applyFont="1" applyFill="1" applyBorder="1" applyAlignment="1">
      <alignment horizontal="center" vertical="center"/>
    </xf>
    <xf numFmtId="177" fontId="201" fillId="0" borderId="0" xfId="660" applyNumberFormat="1" applyFont="1" applyFill="1" applyBorder="1" applyAlignment="1">
      <alignment horizontal="center" vertical="center"/>
    </xf>
    <xf numFmtId="1" fontId="201" fillId="0" borderId="0" xfId="660" applyNumberFormat="1" applyFont="1" applyFill="1" applyBorder="1" applyAlignment="1">
      <alignment horizontal="center" vertical="center"/>
    </xf>
    <xf numFmtId="0" fontId="183" fillId="0" borderId="6" xfId="660" applyFont="1" applyFill="1" applyBorder="1" applyAlignment="1">
      <alignment horizontal="center" vertical="center"/>
    </xf>
    <xf numFmtId="0" fontId="183" fillId="7" borderId="6" xfId="660" applyFont="1" applyFill="1" applyBorder="1" applyAlignment="1">
      <alignment horizontal="center" vertical="center"/>
    </xf>
    <xf numFmtId="0" fontId="183" fillId="7" borderId="17" xfId="660" applyFont="1" applyFill="1" applyBorder="1" applyAlignment="1">
      <alignment horizontal="center" vertical="center"/>
    </xf>
    <xf numFmtId="0" fontId="185" fillId="5" borderId="2" xfId="661" applyFont="1" applyFill="1" applyBorder="1" applyAlignment="1">
      <alignment horizontal="center" vertical="center" wrapText="1"/>
    </xf>
    <xf numFmtId="179" fontId="190" fillId="2" borderId="9" xfId="663" applyNumberFormat="1" applyFont="1" applyFill="1" applyBorder="1" applyAlignment="1">
      <alignment horizontal="center" vertical="center"/>
    </xf>
    <xf numFmtId="0" fontId="194" fillId="10" borderId="2" xfId="664" applyFont="1" applyFill="1" applyBorder="1" applyAlignment="1">
      <alignment horizontal="center" vertical="center" wrapText="1"/>
    </xf>
    <xf numFmtId="0" fontId="194" fillId="11" borderId="2" xfId="664" applyFont="1" applyFill="1" applyBorder="1" applyAlignment="1">
      <alignment horizontal="center" vertical="center"/>
    </xf>
    <xf numFmtId="0" fontId="194" fillId="11" borderId="12" xfId="664" applyFont="1" applyFill="1" applyBorder="1" applyAlignment="1">
      <alignment horizontal="center" vertical="center" wrapText="1"/>
    </xf>
    <xf numFmtId="0" fontId="196" fillId="0" borderId="6" xfId="664" applyFont="1" applyFill="1" applyBorder="1" applyAlignment="1">
      <alignment horizontal="center" vertical="center"/>
    </xf>
    <xf numFmtId="177" fontId="196" fillId="0" borderId="2" xfId="664" applyNumberFormat="1" applyFont="1" applyFill="1" applyBorder="1" applyAlignment="1">
      <alignment horizontal="center" vertical="center"/>
    </xf>
    <xf numFmtId="1" fontId="196" fillId="0" borderId="2" xfId="664" applyNumberFormat="1" applyFont="1" applyFill="1" applyBorder="1" applyAlignment="1">
      <alignment horizontal="center" vertical="center"/>
    </xf>
    <xf numFmtId="0" fontId="196" fillId="7" borderId="6" xfId="664" applyFont="1" applyFill="1" applyBorder="1" applyAlignment="1">
      <alignment horizontal="center" vertical="center"/>
    </xf>
    <xf numFmtId="0" fontId="196" fillId="7" borderId="17" xfId="664" applyFont="1" applyFill="1" applyBorder="1" applyAlignment="1">
      <alignment horizontal="center" vertical="center"/>
    </xf>
    <xf numFmtId="177" fontId="196" fillId="0" borderId="9" xfId="664" applyNumberFormat="1" applyFont="1" applyFill="1" applyBorder="1" applyAlignment="1">
      <alignment horizontal="center" vertical="center"/>
    </xf>
    <xf numFmtId="1" fontId="196" fillId="0" borderId="9" xfId="664" applyNumberFormat="1" applyFont="1" applyFill="1" applyBorder="1" applyAlignment="1">
      <alignment horizontal="center" vertical="center"/>
    </xf>
    <xf numFmtId="0" fontId="201" fillId="0" borderId="0" xfId="664" applyFont="1" applyFill="1" applyBorder="1" applyAlignment="1">
      <alignment horizontal="center" vertical="center"/>
    </xf>
    <xf numFmtId="177" fontId="201" fillId="0" borderId="0" xfId="664" applyNumberFormat="1" applyFont="1" applyFill="1" applyBorder="1" applyAlignment="1">
      <alignment horizontal="center" vertical="center"/>
    </xf>
    <xf numFmtId="1" fontId="201" fillId="0" borderId="0" xfId="664" applyNumberFormat="1" applyFont="1" applyFill="1" applyBorder="1" applyAlignment="1">
      <alignment horizontal="center" vertical="center"/>
    </xf>
    <xf numFmtId="0" fontId="183" fillId="0" borderId="6" xfId="664" applyFont="1" applyFill="1" applyBorder="1" applyAlignment="1">
      <alignment horizontal="center" vertical="center"/>
    </xf>
    <xf numFmtId="0" fontId="183" fillId="7" borderId="6" xfId="664" applyFont="1" applyFill="1" applyBorder="1" applyAlignment="1">
      <alignment horizontal="center" vertical="center"/>
    </xf>
    <xf numFmtId="0" fontId="183" fillId="7" borderId="17" xfId="664" applyFont="1" applyFill="1" applyBorder="1" applyAlignment="1">
      <alignment horizontal="center" vertical="center"/>
    </xf>
    <xf numFmtId="0" fontId="185" fillId="5" borderId="2" xfId="669" applyFont="1" applyFill="1" applyBorder="1" applyAlignment="1">
      <alignment horizontal="center" vertical="center" wrapText="1"/>
    </xf>
    <xf numFmtId="179" fontId="190" fillId="2" borderId="9" xfId="671" applyNumberFormat="1" applyFont="1" applyFill="1" applyBorder="1" applyAlignment="1">
      <alignment horizontal="center" vertical="center"/>
    </xf>
    <xf numFmtId="0" fontId="194" fillId="10" borderId="2" xfId="672" applyFont="1" applyFill="1" applyBorder="1" applyAlignment="1">
      <alignment horizontal="center" vertical="center" wrapText="1"/>
    </xf>
    <xf numFmtId="0" fontId="194" fillId="11" borderId="2" xfId="672" applyFont="1" applyFill="1" applyBorder="1" applyAlignment="1">
      <alignment horizontal="center" vertical="center"/>
    </xf>
    <xf numFmtId="0" fontId="194" fillId="11" borderId="12" xfId="672" applyFont="1" applyFill="1" applyBorder="1" applyAlignment="1">
      <alignment horizontal="center" vertical="center" wrapText="1"/>
    </xf>
    <xf numFmtId="0" fontId="196" fillId="0" borderId="6" xfId="672" applyFont="1" applyFill="1" applyBorder="1" applyAlignment="1">
      <alignment horizontal="center" vertical="center"/>
    </xf>
    <xf numFmtId="177" fontId="196" fillId="0" borderId="2" xfId="672" applyNumberFormat="1" applyFont="1" applyFill="1" applyBorder="1" applyAlignment="1">
      <alignment horizontal="center" vertical="center"/>
    </xf>
    <xf numFmtId="1" fontId="196" fillId="0" borderId="2" xfId="672" applyNumberFormat="1" applyFont="1" applyFill="1" applyBorder="1" applyAlignment="1">
      <alignment horizontal="center" vertical="center"/>
    </xf>
    <xf numFmtId="0" fontId="196" fillId="7" borderId="6" xfId="672" applyFont="1" applyFill="1" applyBorder="1" applyAlignment="1">
      <alignment horizontal="center" vertical="center"/>
    </xf>
    <xf numFmtId="0" fontId="196" fillId="7" borderId="17" xfId="672" applyFont="1" applyFill="1" applyBorder="1" applyAlignment="1">
      <alignment horizontal="center" vertical="center"/>
    </xf>
    <xf numFmtId="177" fontId="196" fillId="0" borderId="9" xfId="672" applyNumberFormat="1" applyFont="1" applyFill="1" applyBorder="1" applyAlignment="1">
      <alignment horizontal="center" vertical="center"/>
    </xf>
    <xf numFmtId="1" fontId="196" fillId="0" borderId="9" xfId="672" applyNumberFormat="1" applyFont="1" applyFill="1" applyBorder="1" applyAlignment="1">
      <alignment horizontal="center" vertical="center"/>
    </xf>
    <xf numFmtId="0" fontId="201" fillId="0" borderId="0" xfId="672" applyFont="1" applyFill="1" applyBorder="1" applyAlignment="1">
      <alignment horizontal="center" vertical="center"/>
    </xf>
    <xf numFmtId="177" fontId="201" fillId="0" borderId="0" xfId="672" applyNumberFormat="1" applyFont="1" applyFill="1" applyBorder="1" applyAlignment="1">
      <alignment horizontal="center" vertical="center"/>
    </xf>
    <xf numFmtId="1" fontId="201" fillId="0" borderId="0" xfId="672" applyNumberFormat="1" applyFont="1" applyFill="1" applyBorder="1" applyAlignment="1">
      <alignment horizontal="center" vertical="center"/>
    </xf>
    <xf numFmtId="0" fontId="183" fillId="0" borderId="6" xfId="672" applyFont="1" applyFill="1" applyBorder="1" applyAlignment="1">
      <alignment horizontal="center" vertical="center"/>
    </xf>
    <xf numFmtId="0" fontId="183" fillId="7" borderId="6" xfId="672" applyFont="1" applyFill="1" applyBorder="1" applyAlignment="1">
      <alignment horizontal="center" vertical="center"/>
    </xf>
    <xf numFmtId="0" fontId="183" fillId="7" borderId="17" xfId="672" applyFont="1" applyFill="1" applyBorder="1" applyAlignment="1">
      <alignment horizontal="center" vertical="center"/>
    </xf>
    <xf numFmtId="0" fontId="185" fillId="5" borderId="2" xfId="673" applyFont="1" applyFill="1" applyBorder="1" applyAlignment="1">
      <alignment horizontal="center" vertical="center" wrapText="1"/>
    </xf>
    <xf numFmtId="179" fontId="190" fillId="2" borderId="9" xfId="675" applyNumberFormat="1" applyFont="1" applyFill="1" applyBorder="1" applyAlignment="1">
      <alignment horizontal="center" vertical="center"/>
    </xf>
    <xf numFmtId="0" fontId="194" fillId="10" borderId="2" xfId="676" applyFont="1" applyFill="1" applyBorder="1" applyAlignment="1">
      <alignment horizontal="center" vertical="center" wrapText="1"/>
    </xf>
    <xf numFmtId="0" fontId="194" fillId="11" borderId="2" xfId="676" applyFont="1" applyFill="1" applyBorder="1" applyAlignment="1">
      <alignment horizontal="center" vertical="center"/>
    </xf>
    <xf numFmtId="0" fontId="194" fillId="11" borderId="12" xfId="676" applyFont="1" applyFill="1" applyBorder="1" applyAlignment="1">
      <alignment horizontal="center" vertical="center" wrapText="1"/>
    </xf>
    <xf numFmtId="0" fontId="196" fillId="0" borderId="6" xfId="676" applyFont="1" applyFill="1" applyBorder="1" applyAlignment="1">
      <alignment horizontal="center" vertical="center"/>
    </xf>
    <xf numFmtId="177" fontId="196" fillId="0" borderId="2" xfId="676" applyNumberFormat="1" applyFont="1" applyFill="1" applyBorder="1" applyAlignment="1">
      <alignment horizontal="center" vertical="center"/>
    </xf>
    <xf numFmtId="1" fontId="196" fillId="0" borderId="2" xfId="676" applyNumberFormat="1" applyFont="1" applyFill="1" applyBorder="1" applyAlignment="1">
      <alignment horizontal="center" vertical="center"/>
    </xf>
    <xf numFmtId="0" fontId="196" fillId="7" borderId="6" xfId="676" applyFont="1" applyFill="1" applyBorder="1" applyAlignment="1">
      <alignment horizontal="center" vertical="center"/>
    </xf>
    <xf numFmtId="0" fontId="196" fillId="7" borderId="17" xfId="676" applyFont="1" applyFill="1" applyBorder="1" applyAlignment="1">
      <alignment horizontal="center" vertical="center"/>
    </xf>
    <xf numFmtId="177" fontId="196" fillId="0" borderId="9" xfId="676" applyNumberFormat="1" applyFont="1" applyFill="1" applyBorder="1" applyAlignment="1">
      <alignment horizontal="center" vertical="center"/>
    </xf>
    <xf numFmtId="1" fontId="196" fillId="0" borderId="9" xfId="676" applyNumberFormat="1" applyFont="1" applyFill="1" applyBorder="1" applyAlignment="1">
      <alignment horizontal="center" vertical="center"/>
    </xf>
    <xf numFmtId="0" fontId="201" fillId="0" borderId="0" xfId="676" applyFont="1" applyFill="1" applyBorder="1" applyAlignment="1">
      <alignment horizontal="center" vertical="center"/>
    </xf>
    <xf numFmtId="177" fontId="201" fillId="0" borderId="0" xfId="676" applyNumberFormat="1" applyFont="1" applyFill="1" applyBorder="1" applyAlignment="1">
      <alignment horizontal="center" vertical="center"/>
    </xf>
    <xf numFmtId="1" fontId="201" fillId="0" borderId="0" xfId="676" applyNumberFormat="1" applyFont="1" applyFill="1" applyBorder="1" applyAlignment="1">
      <alignment horizontal="center" vertical="center"/>
    </xf>
    <xf numFmtId="0" fontId="183" fillId="0" borderId="6" xfId="676" applyFont="1" applyFill="1" applyBorder="1" applyAlignment="1">
      <alignment horizontal="center" vertical="center"/>
    </xf>
    <xf numFmtId="0" fontId="183" fillId="7" borderId="6" xfId="676" applyFont="1" applyFill="1" applyBorder="1" applyAlignment="1">
      <alignment horizontal="center" vertical="center"/>
    </xf>
    <xf numFmtId="0" fontId="183" fillId="7" borderId="17" xfId="676" applyFont="1" applyFill="1" applyBorder="1" applyAlignment="1">
      <alignment horizontal="center" vertical="center"/>
    </xf>
    <xf numFmtId="0" fontId="185" fillId="5" borderId="2" xfId="677" applyFont="1" applyFill="1" applyBorder="1" applyAlignment="1">
      <alignment horizontal="center" vertical="center" wrapText="1"/>
    </xf>
    <xf numFmtId="179" fontId="190" fillId="2" borderId="9" xfId="679" applyNumberFormat="1" applyFont="1" applyFill="1" applyBorder="1" applyAlignment="1">
      <alignment horizontal="center" vertical="center"/>
    </xf>
    <xf numFmtId="0" fontId="194" fillId="10" borderId="2" xfId="680" applyFont="1" applyFill="1" applyBorder="1" applyAlignment="1">
      <alignment horizontal="center" vertical="center" wrapText="1"/>
    </xf>
    <xf numFmtId="0" fontId="194" fillId="11" borderId="2" xfId="680" applyFont="1" applyFill="1" applyBorder="1" applyAlignment="1">
      <alignment horizontal="center" vertical="center"/>
    </xf>
    <xf numFmtId="0" fontId="194" fillId="11" borderId="12" xfId="680" applyFont="1" applyFill="1" applyBorder="1" applyAlignment="1">
      <alignment horizontal="center" vertical="center" wrapText="1"/>
    </xf>
    <xf numFmtId="0" fontId="196" fillId="0" borderId="6" xfId="680" applyFont="1" applyFill="1" applyBorder="1" applyAlignment="1">
      <alignment horizontal="center" vertical="center"/>
    </xf>
    <xf numFmtId="177" fontId="196" fillId="0" borderId="2" xfId="680" applyNumberFormat="1" applyFont="1" applyFill="1" applyBorder="1" applyAlignment="1">
      <alignment horizontal="center" vertical="center"/>
    </xf>
    <xf numFmtId="1" fontId="196" fillId="0" borderId="2" xfId="680" applyNumberFormat="1" applyFont="1" applyFill="1" applyBorder="1" applyAlignment="1">
      <alignment horizontal="center" vertical="center"/>
    </xf>
    <xf numFmtId="0" fontId="196" fillId="7" borderId="6" xfId="680" applyFont="1" applyFill="1" applyBorder="1" applyAlignment="1">
      <alignment horizontal="center" vertical="center"/>
    </xf>
    <xf numFmtId="0" fontId="196" fillId="7" borderId="17" xfId="680" applyFont="1" applyFill="1" applyBorder="1" applyAlignment="1">
      <alignment horizontal="center" vertical="center"/>
    </xf>
    <xf numFmtId="177" fontId="196" fillId="0" borderId="9" xfId="680" applyNumberFormat="1" applyFont="1" applyFill="1" applyBorder="1" applyAlignment="1">
      <alignment horizontal="center" vertical="center"/>
    </xf>
    <xf numFmtId="1" fontId="196" fillId="0" borderId="9" xfId="680" applyNumberFormat="1" applyFont="1" applyFill="1" applyBorder="1" applyAlignment="1">
      <alignment horizontal="center" vertical="center"/>
    </xf>
    <xf numFmtId="0" fontId="201" fillId="0" borderId="0" xfId="680" applyFont="1" applyFill="1" applyBorder="1" applyAlignment="1">
      <alignment horizontal="center" vertical="center"/>
    </xf>
    <xf numFmtId="177" fontId="201" fillId="0" borderId="0" xfId="680" applyNumberFormat="1" applyFont="1" applyFill="1" applyBorder="1" applyAlignment="1">
      <alignment horizontal="center" vertical="center"/>
    </xf>
    <xf numFmtId="1" fontId="201" fillId="0" borderId="0" xfId="680" applyNumberFormat="1" applyFont="1" applyFill="1" applyBorder="1" applyAlignment="1">
      <alignment horizontal="center" vertical="center"/>
    </xf>
    <xf numFmtId="0" fontId="183" fillId="0" borderId="6" xfId="680" applyFont="1" applyFill="1" applyBorder="1" applyAlignment="1">
      <alignment horizontal="center" vertical="center"/>
    </xf>
    <xf numFmtId="0" fontId="183" fillId="7" borderId="6" xfId="680" applyFont="1" applyFill="1" applyBorder="1" applyAlignment="1">
      <alignment horizontal="center" vertical="center"/>
    </xf>
    <xf numFmtId="0" fontId="183" fillId="7" borderId="17" xfId="680" applyFont="1" applyFill="1" applyBorder="1" applyAlignment="1">
      <alignment horizontal="center" vertical="center"/>
    </xf>
    <xf numFmtId="0" fontId="185" fillId="5" borderId="2" xfId="681" applyFont="1" applyFill="1" applyBorder="1" applyAlignment="1">
      <alignment horizontal="center" vertical="center" wrapText="1"/>
    </xf>
    <xf numFmtId="179" fontId="190" fillId="2" borderId="9" xfId="683" applyNumberFormat="1" applyFont="1" applyFill="1" applyBorder="1" applyAlignment="1">
      <alignment horizontal="center" vertical="center"/>
    </xf>
    <xf numFmtId="0" fontId="194" fillId="10" borderId="2" xfId="684" applyFont="1" applyFill="1" applyBorder="1" applyAlignment="1">
      <alignment horizontal="center" vertical="center" wrapText="1"/>
    </xf>
    <xf numFmtId="0" fontId="194" fillId="11" borderId="2" xfId="684" applyFont="1" applyFill="1" applyBorder="1" applyAlignment="1">
      <alignment horizontal="center" vertical="center"/>
    </xf>
    <xf numFmtId="0" fontId="194" fillId="11" borderId="12" xfId="684" applyFont="1" applyFill="1" applyBorder="1" applyAlignment="1">
      <alignment horizontal="center" vertical="center" wrapText="1"/>
    </xf>
    <xf numFmtId="0" fontId="196" fillId="0" borderId="6" xfId="684" applyFont="1" applyFill="1" applyBorder="1" applyAlignment="1">
      <alignment horizontal="center" vertical="center"/>
    </xf>
    <xf numFmtId="177" fontId="196" fillId="0" borderId="2" xfId="684" applyNumberFormat="1" applyFont="1" applyFill="1" applyBorder="1" applyAlignment="1">
      <alignment horizontal="center" vertical="center"/>
    </xf>
    <xf numFmtId="1" fontId="196" fillId="0" borderId="2" xfId="684" applyNumberFormat="1" applyFont="1" applyFill="1" applyBorder="1" applyAlignment="1">
      <alignment horizontal="center" vertical="center"/>
    </xf>
    <xf numFmtId="0" fontId="196" fillId="7" borderId="6" xfId="684" applyFont="1" applyFill="1" applyBorder="1" applyAlignment="1">
      <alignment horizontal="center" vertical="center"/>
    </xf>
    <xf numFmtId="0" fontId="196" fillId="7" borderId="17" xfId="684" applyFont="1" applyFill="1" applyBorder="1" applyAlignment="1">
      <alignment horizontal="center" vertical="center"/>
    </xf>
    <xf numFmtId="177" fontId="196" fillId="0" borderId="9" xfId="684" applyNumberFormat="1" applyFont="1" applyFill="1" applyBorder="1" applyAlignment="1">
      <alignment horizontal="center" vertical="center"/>
    </xf>
    <xf numFmtId="1" fontId="196" fillId="0" borderId="9" xfId="684" applyNumberFormat="1" applyFont="1" applyFill="1" applyBorder="1" applyAlignment="1">
      <alignment horizontal="center" vertical="center"/>
    </xf>
    <xf numFmtId="0" fontId="201" fillId="0" borderId="0" xfId="684" applyFont="1" applyFill="1" applyBorder="1" applyAlignment="1">
      <alignment horizontal="center" vertical="center"/>
    </xf>
    <xf numFmtId="177" fontId="201" fillId="0" borderId="0" xfId="684" applyNumberFormat="1" applyFont="1" applyFill="1" applyBorder="1" applyAlignment="1">
      <alignment horizontal="center" vertical="center"/>
    </xf>
    <xf numFmtId="1" fontId="201" fillId="0" borderId="0" xfId="684" applyNumberFormat="1" applyFont="1" applyFill="1" applyBorder="1" applyAlignment="1">
      <alignment horizontal="center" vertical="center"/>
    </xf>
    <xf numFmtId="0" fontId="183" fillId="0" borderId="6" xfId="684" applyFont="1" applyFill="1" applyBorder="1" applyAlignment="1">
      <alignment horizontal="center" vertical="center"/>
    </xf>
    <xf numFmtId="0" fontId="183" fillId="7" borderId="6" xfId="684" applyFont="1" applyFill="1" applyBorder="1" applyAlignment="1">
      <alignment horizontal="center" vertical="center"/>
    </xf>
    <xf numFmtId="0" fontId="183" fillId="7" borderId="17" xfId="684" applyFont="1" applyFill="1" applyBorder="1" applyAlignment="1">
      <alignment horizontal="center" vertical="center"/>
    </xf>
    <xf numFmtId="0" fontId="185" fillId="5" borderId="2" xfId="685" applyFont="1" applyFill="1" applyBorder="1" applyAlignment="1">
      <alignment horizontal="center" vertical="center" wrapText="1"/>
    </xf>
    <xf numFmtId="179" fontId="190" fillId="2" borderId="9" xfId="687" applyNumberFormat="1" applyFont="1" applyFill="1" applyBorder="1" applyAlignment="1">
      <alignment horizontal="center" vertical="center"/>
    </xf>
    <xf numFmtId="0" fontId="194" fillId="10" borderId="2" xfId="688" applyFont="1" applyFill="1" applyBorder="1" applyAlignment="1">
      <alignment horizontal="center" vertical="center" wrapText="1"/>
    </xf>
    <xf numFmtId="0" fontId="194" fillId="11" borderId="2" xfId="688" applyFont="1" applyFill="1" applyBorder="1" applyAlignment="1">
      <alignment horizontal="center" vertical="center"/>
    </xf>
    <xf numFmtId="0" fontId="194" fillId="11" borderId="12" xfId="688" applyFont="1" applyFill="1" applyBorder="1" applyAlignment="1">
      <alignment horizontal="center" vertical="center" wrapText="1"/>
    </xf>
    <xf numFmtId="0" fontId="196" fillId="0" borderId="6" xfId="688" applyFont="1" applyFill="1" applyBorder="1" applyAlignment="1">
      <alignment horizontal="center" vertical="center"/>
    </xf>
    <xf numFmtId="177" fontId="196" fillId="0" borderId="2" xfId="688" applyNumberFormat="1" applyFont="1" applyFill="1" applyBorder="1" applyAlignment="1">
      <alignment horizontal="center" vertical="center"/>
    </xf>
    <xf numFmtId="1" fontId="196" fillId="0" borderId="2" xfId="688" applyNumberFormat="1" applyFont="1" applyFill="1" applyBorder="1" applyAlignment="1">
      <alignment horizontal="center" vertical="center"/>
    </xf>
    <xf numFmtId="0" fontId="196" fillId="7" borderId="6" xfId="688" applyFont="1" applyFill="1" applyBorder="1" applyAlignment="1">
      <alignment horizontal="center" vertical="center"/>
    </xf>
    <xf numFmtId="0" fontId="196" fillId="7" borderId="17" xfId="688" applyFont="1" applyFill="1" applyBorder="1" applyAlignment="1">
      <alignment horizontal="center" vertical="center"/>
    </xf>
    <xf numFmtId="177" fontId="196" fillId="0" borderId="9" xfId="688" applyNumberFormat="1" applyFont="1" applyFill="1" applyBorder="1" applyAlignment="1">
      <alignment horizontal="center" vertical="center"/>
    </xf>
    <xf numFmtId="1" fontId="196" fillId="0" borderId="9" xfId="688" applyNumberFormat="1" applyFont="1" applyFill="1" applyBorder="1" applyAlignment="1">
      <alignment horizontal="center" vertical="center"/>
    </xf>
    <xf numFmtId="0" fontId="201" fillId="0" borderId="0" xfId="688" applyFont="1" applyFill="1" applyBorder="1" applyAlignment="1">
      <alignment horizontal="center" vertical="center"/>
    </xf>
    <xf numFmtId="177" fontId="201" fillId="0" borderId="0" xfId="688" applyNumberFormat="1" applyFont="1" applyFill="1" applyBorder="1" applyAlignment="1">
      <alignment horizontal="center" vertical="center"/>
    </xf>
    <xf numFmtId="1" fontId="201" fillId="0" borderId="0" xfId="688" applyNumberFormat="1" applyFont="1" applyFill="1" applyBorder="1" applyAlignment="1">
      <alignment horizontal="center" vertical="center"/>
    </xf>
    <xf numFmtId="0" fontId="183" fillId="0" borderId="6" xfId="688" applyFont="1" applyFill="1" applyBorder="1" applyAlignment="1">
      <alignment horizontal="center" vertical="center"/>
    </xf>
    <xf numFmtId="0" fontId="183" fillId="7" borderId="6" xfId="688" applyFont="1" applyFill="1" applyBorder="1" applyAlignment="1">
      <alignment horizontal="center" vertical="center"/>
    </xf>
    <xf numFmtId="0" fontId="183" fillId="7" borderId="17" xfId="688" applyFont="1" applyFill="1" applyBorder="1" applyAlignment="1">
      <alignment horizontal="center" vertical="center"/>
    </xf>
    <xf numFmtId="0" fontId="185" fillId="5" borderId="2" xfId="705" applyFont="1" applyFill="1" applyBorder="1" applyAlignment="1">
      <alignment horizontal="center" vertical="center" wrapText="1"/>
    </xf>
    <xf numFmtId="179" fontId="190" fillId="2" borderId="9" xfId="707" applyNumberFormat="1" applyFont="1" applyFill="1" applyBorder="1" applyAlignment="1">
      <alignment horizontal="center" vertical="center"/>
    </xf>
    <xf numFmtId="0" fontId="194" fillId="10" borderId="2" xfId="708" applyFont="1" applyFill="1" applyBorder="1" applyAlignment="1">
      <alignment horizontal="center" vertical="center" wrapText="1"/>
    </xf>
    <xf numFmtId="0" fontId="194" fillId="11" borderId="2" xfId="708" applyFont="1" applyFill="1" applyBorder="1" applyAlignment="1">
      <alignment horizontal="center" vertical="center"/>
    </xf>
    <xf numFmtId="0" fontId="194" fillId="11" borderId="12" xfId="708" applyFont="1" applyFill="1" applyBorder="1" applyAlignment="1">
      <alignment horizontal="center" vertical="center" wrapText="1"/>
    </xf>
    <xf numFmtId="0" fontId="196" fillId="0" borderId="6" xfId="708" applyFont="1" applyFill="1" applyBorder="1" applyAlignment="1">
      <alignment horizontal="center" vertical="center"/>
    </xf>
    <xf numFmtId="177" fontId="196" fillId="0" borderId="2" xfId="708" applyNumberFormat="1" applyFont="1" applyFill="1" applyBorder="1" applyAlignment="1">
      <alignment horizontal="center" vertical="center"/>
    </xf>
    <xf numFmtId="1" fontId="196" fillId="0" borderId="2" xfId="708" applyNumberFormat="1" applyFont="1" applyFill="1" applyBorder="1" applyAlignment="1">
      <alignment horizontal="center" vertical="center"/>
    </xf>
    <xf numFmtId="0" fontId="196" fillId="7" borderId="6" xfId="708" applyFont="1" applyFill="1" applyBorder="1" applyAlignment="1">
      <alignment horizontal="center" vertical="center"/>
    </xf>
    <xf numFmtId="0" fontId="196" fillId="7" borderId="17" xfId="708" applyFont="1" applyFill="1" applyBorder="1" applyAlignment="1">
      <alignment horizontal="center" vertical="center"/>
    </xf>
    <xf numFmtId="177" fontId="196" fillId="0" borderId="9" xfId="708" applyNumberFormat="1" applyFont="1" applyFill="1" applyBorder="1" applyAlignment="1">
      <alignment horizontal="center" vertical="center"/>
    </xf>
    <xf numFmtId="1" fontId="196" fillId="0" borderId="9" xfId="708" applyNumberFormat="1" applyFont="1" applyFill="1" applyBorder="1" applyAlignment="1">
      <alignment horizontal="center" vertical="center"/>
    </xf>
    <xf numFmtId="0" fontId="201" fillId="0" borderId="0" xfId="708" applyFont="1" applyFill="1" applyBorder="1" applyAlignment="1">
      <alignment horizontal="center" vertical="center"/>
    </xf>
    <xf numFmtId="177" fontId="201" fillId="0" borderId="0" xfId="708" applyNumberFormat="1" applyFont="1" applyFill="1" applyBorder="1" applyAlignment="1">
      <alignment horizontal="center" vertical="center"/>
    </xf>
    <xf numFmtId="1" fontId="201" fillId="0" borderId="0" xfId="708" applyNumberFormat="1" applyFont="1" applyFill="1" applyBorder="1" applyAlignment="1">
      <alignment horizontal="center" vertical="center"/>
    </xf>
    <xf numFmtId="0" fontId="183" fillId="0" borderId="6" xfId="708" applyFont="1" applyFill="1" applyBorder="1" applyAlignment="1">
      <alignment horizontal="center" vertical="center"/>
    </xf>
    <xf numFmtId="0" fontId="183" fillId="7" borderId="6" xfId="708" applyFont="1" applyFill="1" applyBorder="1" applyAlignment="1">
      <alignment horizontal="center" vertical="center"/>
    </xf>
    <xf numFmtId="0" fontId="183" fillId="7" borderId="17" xfId="708" applyFont="1" applyFill="1" applyBorder="1" applyAlignment="1">
      <alignment horizontal="center" vertical="center"/>
    </xf>
    <xf numFmtId="0" fontId="183" fillId="0" borderId="2" xfId="12" applyFont="1" applyBorder="1" applyAlignment="1">
      <alignment horizontal="left" vertical="center"/>
    </xf>
    <xf numFmtId="0" fontId="189" fillId="2" borderId="0" xfId="8" applyFont="1" applyFill="1" applyAlignment="1">
      <alignment horizontal="left" vertical="center"/>
    </xf>
    <xf numFmtId="0" fontId="183" fillId="0" borderId="12" xfId="12" applyFont="1" applyBorder="1" applyAlignment="1">
      <alignment horizontal="left" vertical="center"/>
    </xf>
    <xf numFmtId="0" fontId="183" fillId="0" borderId="18" xfId="12" applyFont="1" applyBorder="1" applyAlignment="1">
      <alignment horizontal="left" vertical="center"/>
    </xf>
    <xf numFmtId="0" fontId="183" fillId="0" borderId="13" xfId="12" applyFont="1" applyBorder="1" applyAlignment="1">
      <alignment horizontal="left" vertical="center"/>
    </xf>
    <xf numFmtId="0" fontId="193" fillId="8" borderId="2" xfId="12" applyFont="1" applyFill="1" applyBorder="1" applyAlignment="1">
      <alignment horizontal="center" vertical="center"/>
    </xf>
    <xf numFmtId="0" fontId="194" fillId="5" borderId="2" xfId="12" applyFont="1" applyFill="1" applyBorder="1" applyAlignment="1">
      <alignment horizontal="center" vertical="center" wrapText="1"/>
    </xf>
    <xf numFmtId="0" fontId="194" fillId="5" borderId="2" xfId="12" applyFont="1" applyFill="1" applyBorder="1" applyAlignment="1">
      <alignment horizontal="center" vertical="center"/>
    </xf>
    <xf numFmtId="0" fontId="183" fillId="5" borderId="2" xfId="12" applyFont="1" applyFill="1" applyBorder="1" applyAlignment="1">
      <alignment horizontal="center" vertical="center"/>
    </xf>
    <xf numFmtId="0" fontId="203" fillId="5" borderId="2" xfId="12" applyFont="1" applyFill="1" applyBorder="1" applyAlignment="1">
      <alignment horizontal="center" vertical="center" wrapText="1"/>
    </xf>
    <xf numFmtId="0" fontId="193" fillId="5" borderId="0" xfId="0" applyFont="1" applyFill="1" applyBorder="1" applyAlignment="1">
      <alignment horizontal="left" vertical="center"/>
    </xf>
    <xf numFmtId="0" fontId="189" fillId="2" borderId="0" xfId="0" applyFont="1" applyFill="1" applyBorder="1" applyAlignment="1">
      <alignment horizontal="left" vertical="center"/>
    </xf>
    <xf numFmtId="0" fontId="184" fillId="4" borderId="3" xfId="0" applyFont="1" applyFill="1" applyBorder="1" applyAlignment="1">
      <alignment horizontal="center" vertical="center"/>
    </xf>
    <xf numFmtId="0" fontId="184" fillId="4" borderId="4" xfId="0" applyFont="1" applyFill="1" applyBorder="1" applyAlignment="1">
      <alignment horizontal="center" vertical="center"/>
    </xf>
    <xf numFmtId="0" fontId="184" fillId="4" borderId="5" xfId="0" applyFont="1" applyFill="1" applyBorder="1" applyAlignment="1">
      <alignment horizontal="center" vertical="center"/>
    </xf>
    <xf numFmtId="0" fontId="193" fillId="0" borderId="6" xfId="0" applyFont="1" applyFill="1" applyBorder="1" applyAlignment="1">
      <alignment horizontal="center" vertical="center"/>
    </xf>
    <xf numFmtId="0" fontId="193" fillId="0" borderId="2" xfId="0" applyFont="1" applyFill="1" applyBorder="1" applyAlignment="1">
      <alignment horizontal="center" vertical="center"/>
    </xf>
    <xf numFmtId="0" fontId="193" fillId="0" borderId="7" xfId="0" applyFont="1" applyFill="1" applyBorder="1" applyAlignment="1">
      <alignment horizontal="center" vertical="center"/>
    </xf>
    <xf numFmtId="0" fontId="194" fillId="3" borderId="6" xfId="708" applyFont="1" applyFill="1" applyBorder="1" applyAlignment="1">
      <alignment horizontal="center" vertical="center"/>
    </xf>
    <xf numFmtId="0" fontId="194" fillId="5" borderId="2" xfId="0" applyFont="1" applyFill="1" applyBorder="1" applyAlignment="1">
      <alignment horizontal="center" vertical="center"/>
    </xf>
    <xf numFmtId="0" fontId="194" fillId="5" borderId="7" xfId="0" applyFont="1" applyFill="1" applyBorder="1" applyAlignment="1">
      <alignment horizontal="center" vertical="center"/>
    </xf>
    <xf numFmtId="0" fontId="194" fillId="3" borderId="2" xfId="708" applyFont="1" applyFill="1" applyBorder="1" applyAlignment="1">
      <alignment horizontal="center" vertical="center"/>
    </xf>
    <xf numFmtId="0" fontId="194" fillId="3" borderId="2" xfId="708" applyFont="1" applyFill="1" applyBorder="1" applyAlignment="1">
      <alignment horizontal="center" vertical="center" wrapText="1"/>
    </xf>
    <xf numFmtId="0" fontId="194" fillId="3" borderId="7" xfId="708" applyFont="1" applyFill="1" applyBorder="1" applyAlignment="1">
      <alignment horizontal="center" vertical="center" wrapText="1"/>
    </xf>
    <xf numFmtId="0" fontId="184" fillId="4" borderId="19" xfId="0" applyFont="1" applyFill="1" applyBorder="1" applyAlignment="1">
      <alignment horizontal="center" vertical="center"/>
    </xf>
    <xf numFmtId="0" fontId="194" fillId="5" borderId="2" xfId="8" applyFont="1" applyFill="1" applyBorder="1" applyAlignment="1">
      <alignment horizontal="center" vertical="center"/>
    </xf>
    <xf numFmtId="0" fontId="194" fillId="5" borderId="2" xfId="8" applyFont="1" applyFill="1" applyBorder="1" applyAlignment="1">
      <alignment horizontal="center" vertical="center" wrapText="1"/>
    </xf>
    <xf numFmtId="0" fontId="194" fillId="3" borderId="11" xfId="708" applyFont="1" applyFill="1" applyBorder="1" applyAlignment="1">
      <alignment horizontal="center" vertical="center"/>
    </xf>
    <xf numFmtId="0" fontId="194" fillId="3" borderId="14" xfId="708" applyFont="1" applyFill="1" applyBorder="1" applyAlignment="1">
      <alignment horizontal="center" vertical="center"/>
    </xf>
    <xf numFmtId="0" fontId="194" fillId="3" borderId="15" xfId="708" applyFont="1" applyFill="1" applyBorder="1" applyAlignment="1">
      <alignment horizontal="center" vertical="center"/>
    </xf>
    <xf numFmtId="0" fontId="194" fillId="5" borderId="12" xfId="0" applyFont="1" applyFill="1" applyBorder="1" applyAlignment="1">
      <alignment horizontal="center" vertical="center"/>
    </xf>
    <xf numFmtId="0" fontId="194" fillId="5" borderId="13" xfId="0" applyFont="1" applyFill="1" applyBorder="1" applyAlignment="1">
      <alignment horizontal="center" vertical="center"/>
    </xf>
    <xf numFmtId="0" fontId="194" fillId="8" borderId="2" xfId="0" applyFont="1" applyFill="1" applyBorder="1" applyAlignment="1">
      <alignment horizontal="center" vertical="center"/>
    </xf>
    <xf numFmtId="0" fontId="194" fillId="9" borderId="2" xfId="0" applyFont="1" applyFill="1" applyBorder="1" applyAlignment="1">
      <alignment horizontal="center" vertical="center"/>
    </xf>
    <xf numFmtId="0" fontId="194" fillId="9" borderId="12" xfId="0" applyFont="1" applyFill="1" applyBorder="1" applyAlignment="1">
      <alignment horizontal="center" vertical="center"/>
    </xf>
    <xf numFmtId="0" fontId="194" fillId="3" borderId="1" xfId="708" applyFont="1" applyFill="1" applyBorder="1" applyAlignment="1">
      <alignment horizontal="center" vertical="center"/>
    </xf>
    <xf numFmtId="0" fontId="194" fillId="3" borderId="16" xfId="708" applyFont="1" applyFill="1" applyBorder="1" applyAlignment="1">
      <alignment horizontal="center" vertical="center"/>
    </xf>
    <xf numFmtId="0" fontId="194" fillId="3" borderId="1" xfId="708" applyFont="1" applyFill="1" applyBorder="1" applyAlignment="1">
      <alignment horizontal="center" vertical="center" wrapText="1"/>
    </xf>
    <xf numFmtId="0" fontId="194" fillId="3" borderId="16" xfId="708" applyFont="1" applyFill="1" applyBorder="1" applyAlignment="1">
      <alignment horizontal="center" vertical="center" wrapText="1"/>
    </xf>
    <xf numFmtId="0" fontId="195" fillId="8" borderId="2" xfId="708" applyFont="1" applyFill="1" applyBorder="1" applyAlignment="1">
      <alignment horizontal="center"/>
    </xf>
    <xf numFmtId="0" fontId="195" fillId="9" borderId="12" xfId="708" applyFont="1" applyFill="1" applyBorder="1" applyAlignment="1">
      <alignment horizontal="center"/>
    </xf>
    <xf numFmtId="0" fontId="195" fillId="9" borderId="18" xfId="708" applyFont="1" applyFill="1" applyBorder="1" applyAlignment="1">
      <alignment horizontal="center"/>
    </xf>
    <xf numFmtId="0" fontId="195" fillId="9" borderId="13" xfId="708" applyFont="1" applyFill="1" applyBorder="1" applyAlignment="1">
      <alignment horizontal="center"/>
    </xf>
    <xf numFmtId="0" fontId="195" fillId="9" borderId="2" xfId="708" applyFont="1" applyFill="1" applyBorder="1" applyAlignment="1">
      <alignment horizontal="center"/>
    </xf>
    <xf numFmtId="0" fontId="187" fillId="5" borderId="2" xfId="0" applyFont="1" applyFill="1" applyBorder="1" applyAlignment="1">
      <alignment horizontal="center"/>
    </xf>
    <xf numFmtId="0" fontId="187" fillId="5" borderId="7" xfId="0" applyFont="1" applyFill="1" applyBorder="1" applyAlignment="1">
      <alignment horizontal="center"/>
    </xf>
    <xf numFmtId="178" fontId="189" fillId="6" borderId="17" xfId="705" applyNumberFormat="1" applyFont="1" applyFill="1" applyBorder="1" applyAlignment="1">
      <alignment horizontal="center" vertical="center"/>
    </xf>
    <xf numFmtId="178" fontId="189" fillId="6" borderId="9" xfId="705" applyNumberFormat="1" applyFont="1" applyFill="1" applyBorder="1" applyAlignment="1">
      <alignment horizontal="center" vertical="center"/>
    </xf>
    <xf numFmtId="178" fontId="185" fillId="2" borderId="6" xfId="706" applyNumberFormat="1" applyFont="1" applyFill="1" applyBorder="1" applyAlignment="1">
      <alignment horizontal="center" vertical="center"/>
    </xf>
    <xf numFmtId="178" fontId="185" fillId="2" borderId="2" xfId="706" applyNumberFormat="1" applyFont="1" applyFill="1" applyBorder="1" applyAlignment="1">
      <alignment horizontal="center" vertical="center"/>
    </xf>
    <xf numFmtId="179" fontId="185" fillId="2" borderId="2" xfId="705" applyNumberFormat="1" applyFont="1" applyFill="1" applyBorder="1" applyAlignment="1">
      <alignment horizontal="center" vertical="center"/>
    </xf>
    <xf numFmtId="0" fontId="186" fillId="5" borderId="2" xfId="0" applyFont="1" applyFill="1" applyBorder="1" applyAlignment="1">
      <alignment horizontal="center"/>
    </xf>
    <xf numFmtId="0" fontId="184" fillId="4" borderId="3" xfId="8" applyFont="1" applyFill="1" applyBorder="1" applyAlignment="1">
      <alignment horizontal="center" vertical="center"/>
    </xf>
    <xf numFmtId="0" fontId="184" fillId="4" borderId="4" xfId="8" applyFont="1" applyFill="1" applyBorder="1" applyAlignment="1">
      <alignment horizontal="center" vertical="center"/>
    </xf>
    <xf numFmtId="0" fontId="184" fillId="4" borderId="5" xfId="8" applyFont="1" applyFill="1" applyBorder="1" applyAlignment="1">
      <alignment horizontal="center" vertical="center"/>
    </xf>
    <xf numFmtId="0" fontId="185" fillId="5" borderId="6" xfId="705" applyFont="1" applyFill="1" applyBorder="1" applyAlignment="1">
      <alignment horizontal="center" vertical="center"/>
    </xf>
    <xf numFmtId="0" fontId="185" fillId="5" borderId="2" xfId="705" applyFont="1" applyFill="1" applyBorder="1" applyAlignment="1">
      <alignment horizontal="center" vertical="center"/>
    </xf>
    <xf numFmtId="0" fontId="185" fillId="5" borderId="2" xfId="705" applyFont="1" applyFill="1" applyBorder="1" applyAlignment="1">
      <alignment horizontal="center" vertical="center" wrapText="1"/>
    </xf>
    <xf numFmtId="0" fontId="185" fillId="5" borderId="7" xfId="705" applyFont="1" applyFill="1" applyBorder="1" applyAlignment="1">
      <alignment horizontal="center" vertical="center" wrapText="1"/>
    </xf>
    <xf numFmtId="0" fontId="194" fillId="3" borderId="6" xfId="688" applyFont="1" applyFill="1" applyBorder="1" applyAlignment="1">
      <alignment horizontal="center" vertical="center"/>
    </xf>
    <xf numFmtId="0" fontId="194" fillId="3" borderId="2" xfId="688" applyFont="1" applyFill="1" applyBorder="1" applyAlignment="1">
      <alignment horizontal="center" vertical="center"/>
    </xf>
    <xf numFmtId="0" fontId="194" fillId="3" borderId="2" xfId="688" applyFont="1" applyFill="1" applyBorder="1" applyAlignment="1">
      <alignment horizontal="center" vertical="center" wrapText="1"/>
    </xf>
    <xf numFmtId="0" fontId="194" fillId="3" borderId="7" xfId="688" applyFont="1" applyFill="1" applyBorder="1" applyAlignment="1">
      <alignment horizontal="center" vertical="center" wrapText="1"/>
    </xf>
    <xf numFmtId="0" fontId="194" fillId="3" borderId="11" xfId="688" applyFont="1" applyFill="1" applyBorder="1" applyAlignment="1">
      <alignment horizontal="center" vertical="center"/>
    </xf>
    <xf numFmtId="0" fontId="194" fillId="3" borderId="14" xfId="688" applyFont="1" applyFill="1" applyBorder="1" applyAlignment="1">
      <alignment horizontal="center" vertical="center"/>
    </xf>
    <xf numFmtId="0" fontId="194" fillId="3" borderId="15" xfId="688" applyFont="1" applyFill="1" applyBorder="1" applyAlignment="1">
      <alignment horizontal="center" vertical="center"/>
    </xf>
    <xf numFmtId="0" fontId="194" fillId="3" borderId="1" xfId="688" applyFont="1" applyFill="1" applyBorder="1" applyAlignment="1">
      <alignment horizontal="center" vertical="center"/>
    </xf>
    <xf numFmtId="0" fontId="194" fillId="3" borderId="16" xfId="688" applyFont="1" applyFill="1" applyBorder="1" applyAlignment="1">
      <alignment horizontal="center" vertical="center"/>
    </xf>
    <xf numFmtId="0" fontId="194" fillId="3" borderId="1" xfId="688" applyFont="1" applyFill="1" applyBorder="1" applyAlignment="1">
      <alignment horizontal="center" vertical="center" wrapText="1"/>
    </xf>
    <xf numFmtId="0" fontId="194" fillId="3" borderId="16" xfId="688" applyFont="1" applyFill="1" applyBorder="1" applyAlignment="1">
      <alignment horizontal="center" vertical="center" wrapText="1"/>
    </xf>
    <xf numFmtId="0" fontId="195" fillId="8" borderId="2" xfId="688" applyFont="1" applyFill="1" applyBorder="1" applyAlignment="1">
      <alignment horizontal="center"/>
    </xf>
    <xf numFmtId="0" fontId="195" fillId="9" borderId="12" xfId="688" applyFont="1" applyFill="1" applyBorder="1" applyAlignment="1">
      <alignment horizontal="center"/>
    </xf>
    <xf numFmtId="0" fontId="195" fillId="9" borderId="18" xfId="688" applyFont="1" applyFill="1" applyBorder="1" applyAlignment="1">
      <alignment horizontal="center"/>
    </xf>
    <xf numFmtId="0" fontId="195" fillId="9" borderId="13" xfId="688" applyFont="1" applyFill="1" applyBorder="1" applyAlignment="1">
      <alignment horizontal="center"/>
    </xf>
    <xf numFmtId="0" fontId="195" fillId="9" borderId="2" xfId="688" applyFont="1" applyFill="1" applyBorder="1" applyAlignment="1">
      <alignment horizontal="center"/>
    </xf>
    <xf numFmtId="178" fontId="189" fillId="6" borderId="17" xfId="685" applyNumberFormat="1" applyFont="1" applyFill="1" applyBorder="1" applyAlignment="1">
      <alignment horizontal="center" vertical="center"/>
    </xf>
    <xf numFmtId="178" fontId="189" fillId="6" borderId="9" xfId="685" applyNumberFormat="1" applyFont="1" applyFill="1" applyBorder="1" applyAlignment="1">
      <alignment horizontal="center" vertical="center"/>
    </xf>
    <xf numFmtId="178" fontId="185" fillId="2" borderId="6" xfId="686" applyNumberFormat="1" applyFont="1" applyFill="1" applyBorder="1" applyAlignment="1">
      <alignment horizontal="center" vertical="center"/>
    </xf>
    <xf numFmtId="178" fontId="185" fillId="2" borderId="2" xfId="686" applyNumberFormat="1" applyFont="1" applyFill="1" applyBorder="1" applyAlignment="1">
      <alignment horizontal="center" vertical="center"/>
    </xf>
    <xf numFmtId="179" fontId="185" fillId="2" borderId="2" xfId="685" applyNumberFormat="1" applyFont="1" applyFill="1" applyBorder="1" applyAlignment="1">
      <alignment horizontal="center" vertical="center"/>
    </xf>
    <xf numFmtId="0" fontId="185" fillId="5" borderId="6" xfId="685" applyFont="1" applyFill="1" applyBorder="1" applyAlignment="1">
      <alignment horizontal="center" vertical="center"/>
    </xf>
    <xf numFmtId="0" fontId="185" fillId="5" borderId="2" xfId="685" applyFont="1" applyFill="1" applyBorder="1" applyAlignment="1">
      <alignment horizontal="center" vertical="center"/>
    </xf>
    <xf numFmtId="0" fontId="185" fillId="5" borderId="2" xfId="685" applyFont="1" applyFill="1" applyBorder="1" applyAlignment="1">
      <alignment horizontal="center" vertical="center" wrapText="1"/>
    </xf>
    <xf numFmtId="0" fontId="185" fillId="5" borderId="7" xfId="685" applyFont="1" applyFill="1" applyBorder="1" applyAlignment="1">
      <alignment horizontal="center" vertical="center" wrapText="1"/>
    </xf>
    <xf numFmtId="0" fontId="194" fillId="3" borderId="6" xfId="684" applyFont="1" applyFill="1" applyBorder="1" applyAlignment="1">
      <alignment horizontal="center" vertical="center"/>
    </xf>
    <xf numFmtId="0" fontId="194" fillId="3" borderId="2" xfId="684" applyFont="1" applyFill="1" applyBorder="1" applyAlignment="1">
      <alignment horizontal="center" vertical="center"/>
    </xf>
    <xf numFmtId="0" fontId="194" fillId="3" borderId="2" xfId="684" applyFont="1" applyFill="1" applyBorder="1" applyAlignment="1">
      <alignment horizontal="center" vertical="center" wrapText="1"/>
    </xf>
    <xf numFmtId="0" fontId="194" fillId="3" borderId="7" xfId="684" applyFont="1" applyFill="1" applyBorder="1" applyAlignment="1">
      <alignment horizontal="center" vertical="center" wrapText="1"/>
    </xf>
    <xf numFmtId="0" fontId="194" fillId="3" borderId="11" xfId="684" applyFont="1" applyFill="1" applyBorder="1" applyAlignment="1">
      <alignment horizontal="center" vertical="center"/>
    </xf>
    <xf numFmtId="0" fontId="194" fillId="3" borderId="14" xfId="684" applyFont="1" applyFill="1" applyBorder="1" applyAlignment="1">
      <alignment horizontal="center" vertical="center"/>
    </xf>
    <xf numFmtId="0" fontId="194" fillId="3" borderId="15" xfId="684" applyFont="1" applyFill="1" applyBorder="1" applyAlignment="1">
      <alignment horizontal="center" vertical="center"/>
    </xf>
    <xf numFmtId="0" fontId="194" fillId="3" borderId="1" xfId="684" applyFont="1" applyFill="1" applyBorder="1" applyAlignment="1">
      <alignment horizontal="center" vertical="center"/>
    </xf>
    <xf numFmtId="0" fontId="194" fillId="3" borderId="16" xfId="684" applyFont="1" applyFill="1" applyBorder="1" applyAlignment="1">
      <alignment horizontal="center" vertical="center"/>
    </xf>
    <xf numFmtId="0" fontId="194" fillId="3" borderId="1" xfId="684" applyFont="1" applyFill="1" applyBorder="1" applyAlignment="1">
      <alignment horizontal="center" vertical="center" wrapText="1"/>
    </xf>
    <xf numFmtId="0" fontId="194" fillId="3" borderId="16" xfId="684" applyFont="1" applyFill="1" applyBorder="1" applyAlignment="1">
      <alignment horizontal="center" vertical="center" wrapText="1"/>
    </xf>
    <xf numFmtId="0" fontId="195" fillId="8" borderId="2" xfId="684" applyFont="1" applyFill="1" applyBorder="1" applyAlignment="1">
      <alignment horizontal="center"/>
    </xf>
    <xf numFmtId="0" fontId="195" fillId="9" borderId="12" xfId="684" applyFont="1" applyFill="1" applyBorder="1" applyAlignment="1">
      <alignment horizontal="center"/>
    </xf>
    <xf numFmtId="0" fontId="195" fillId="9" borderId="18" xfId="684" applyFont="1" applyFill="1" applyBorder="1" applyAlignment="1">
      <alignment horizontal="center"/>
    </xf>
    <xf numFmtId="0" fontId="195" fillId="9" borderId="13" xfId="684" applyFont="1" applyFill="1" applyBorder="1" applyAlignment="1">
      <alignment horizontal="center"/>
    </xf>
    <xf numFmtId="0" fontId="195" fillId="9" borderId="2" xfId="684" applyFont="1" applyFill="1" applyBorder="1" applyAlignment="1">
      <alignment horizontal="center"/>
    </xf>
    <xf numFmtId="178" fontId="189" fillId="6" borderId="17" xfId="681" applyNumberFormat="1" applyFont="1" applyFill="1" applyBorder="1" applyAlignment="1">
      <alignment horizontal="center" vertical="center"/>
    </xf>
    <xf numFmtId="178" fontId="189" fillId="6" borderId="9" xfId="681" applyNumberFormat="1" applyFont="1" applyFill="1" applyBorder="1" applyAlignment="1">
      <alignment horizontal="center" vertical="center"/>
    </xf>
    <xf numFmtId="178" fontId="185" fillId="2" borderId="6" xfId="682" applyNumberFormat="1" applyFont="1" applyFill="1" applyBorder="1" applyAlignment="1">
      <alignment horizontal="center" vertical="center"/>
    </xf>
    <xf numFmtId="178" fontId="185" fillId="2" borderId="2" xfId="682" applyNumberFormat="1" applyFont="1" applyFill="1" applyBorder="1" applyAlignment="1">
      <alignment horizontal="center" vertical="center"/>
    </xf>
    <xf numFmtId="179" fontId="185" fillId="2" borderId="2" xfId="681" applyNumberFormat="1" applyFont="1" applyFill="1" applyBorder="1" applyAlignment="1">
      <alignment horizontal="center" vertical="center"/>
    </xf>
    <xf numFmtId="0" fontId="185" fillId="5" borderId="6" xfId="681" applyFont="1" applyFill="1" applyBorder="1" applyAlignment="1">
      <alignment horizontal="center" vertical="center"/>
    </xf>
    <xf numFmtId="0" fontId="185" fillId="5" borderId="2" xfId="681" applyFont="1" applyFill="1" applyBorder="1" applyAlignment="1">
      <alignment horizontal="center" vertical="center"/>
    </xf>
    <xf numFmtId="0" fontId="185" fillId="5" borderId="2" xfId="681" applyFont="1" applyFill="1" applyBorder="1" applyAlignment="1">
      <alignment horizontal="center" vertical="center" wrapText="1"/>
    </xf>
    <xf numFmtId="0" fontId="185" fillId="5" borderId="7" xfId="681" applyFont="1" applyFill="1" applyBorder="1" applyAlignment="1">
      <alignment horizontal="center" vertical="center" wrapText="1"/>
    </xf>
    <xf numFmtId="0" fontId="185" fillId="5" borderId="6" xfId="677" applyFont="1" applyFill="1" applyBorder="1" applyAlignment="1">
      <alignment horizontal="center" vertical="center"/>
    </xf>
    <xf numFmtId="0" fontId="185" fillId="5" borderId="2" xfId="677" applyFont="1" applyFill="1" applyBorder="1" applyAlignment="1">
      <alignment horizontal="center" vertical="center"/>
    </xf>
    <xf numFmtId="0" fontId="185" fillId="5" borderId="2" xfId="677" applyFont="1" applyFill="1" applyBorder="1" applyAlignment="1">
      <alignment horizontal="center" vertical="center" wrapText="1"/>
    </xf>
    <xf numFmtId="0" fontId="185" fillId="5" borderId="7" xfId="677" applyFont="1" applyFill="1" applyBorder="1" applyAlignment="1">
      <alignment horizontal="center" vertical="center" wrapText="1"/>
    </xf>
    <xf numFmtId="178" fontId="189" fillId="6" borderId="17" xfId="677" applyNumberFormat="1" applyFont="1" applyFill="1" applyBorder="1" applyAlignment="1">
      <alignment horizontal="center" vertical="center"/>
    </xf>
    <xf numFmtId="178" fontId="189" fillId="6" borderId="9" xfId="677" applyNumberFormat="1" applyFont="1" applyFill="1" applyBorder="1" applyAlignment="1">
      <alignment horizontal="center" vertical="center"/>
    </xf>
    <xf numFmtId="0" fontId="194" fillId="3" borderId="7" xfId="680" applyFont="1" applyFill="1" applyBorder="1" applyAlignment="1">
      <alignment horizontal="center" vertical="center" wrapText="1"/>
    </xf>
    <xf numFmtId="0" fontId="194" fillId="3" borderId="11" xfId="680" applyFont="1" applyFill="1" applyBorder="1" applyAlignment="1">
      <alignment horizontal="center" vertical="center"/>
    </xf>
    <xf numFmtId="0" fontId="194" fillId="3" borderId="14" xfId="680" applyFont="1" applyFill="1" applyBorder="1" applyAlignment="1">
      <alignment horizontal="center" vertical="center"/>
    </xf>
    <xf numFmtId="0" fontId="194" fillId="3" borderId="15" xfId="680" applyFont="1" applyFill="1" applyBorder="1" applyAlignment="1">
      <alignment horizontal="center" vertical="center"/>
    </xf>
    <xf numFmtId="178" fontId="185" fillId="2" borderId="6" xfId="678" applyNumberFormat="1" applyFont="1" applyFill="1" applyBorder="1" applyAlignment="1">
      <alignment horizontal="center" vertical="center"/>
    </xf>
    <xf numFmtId="178" fontId="185" fillId="2" borderId="2" xfId="678" applyNumberFormat="1" applyFont="1" applyFill="1" applyBorder="1" applyAlignment="1">
      <alignment horizontal="center" vertical="center"/>
    </xf>
    <xf numFmtId="179" fontId="185" fillId="2" borderId="2" xfId="677" applyNumberFormat="1" applyFont="1" applyFill="1" applyBorder="1" applyAlignment="1">
      <alignment horizontal="center" vertical="center"/>
    </xf>
    <xf numFmtId="0" fontId="194" fillId="3" borderId="1" xfId="680" applyFont="1" applyFill="1" applyBorder="1" applyAlignment="1">
      <alignment horizontal="center" vertical="center"/>
    </xf>
    <xf numFmtId="0" fontId="194" fillId="3" borderId="16" xfId="680" applyFont="1" applyFill="1" applyBorder="1" applyAlignment="1">
      <alignment horizontal="center" vertical="center"/>
    </xf>
    <xf numFmtId="0" fontId="194" fillId="3" borderId="1" xfId="680" applyFont="1" applyFill="1" applyBorder="1" applyAlignment="1">
      <alignment horizontal="center" vertical="center" wrapText="1"/>
    </xf>
    <xf numFmtId="0" fontId="194" fillId="3" borderId="16" xfId="680" applyFont="1" applyFill="1" applyBorder="1" applyAlignment="1">
      <alignment horizontal="center" vertical="center" wrapText="1"/>
    </xf>
    <xf numFmtId="0" fontId="195" fillId="8" borderId="2" xfId="680" applyFont="1" applyFill="1" applyBorder="1" applyAlignment="1">
      <alignment horizontal="center"/>
    </xf>
    <xf numFmtId="0" fontId="195" fillId="9" borderId="12" xfId="680" applyFont="1" applyFill="1" applyBorder="1" applyAlignment="1">
      <alignment horizontal="center"/>
    </xf>
    <xf numFmtId="0" fontId="195" fillId="9" borderId="13" xfId="680" applyFont="1" applyFill="1" applyBorder="1" applyAlignment="1">
      <alignment horizontal="center"/>
    </xf>
    <xf numFmtId="0" fontId="195" fillId="9" borderId="2" xfId="680" applyFont="1" applyFill="1" applyBorder="1" applyAlignment="1">
      <alignment horizontal="center"/>
    </xf>
    <xf numFmtId="0" fontId="195" fillId="9" borderId="18" xfId="680" applyFont="1" applyFill="1" applyBorder="1" applyAlignment="1">
      <alignment horizontal="center"/>
    </xf>
    <xf numFmtId="0" fontId="194" fillId="3" borderId="6" xfId="680" applyFont="1" applyFill="1" applyBorder="1" applyAlignment="1">
      <alignment horizontal="center" vertical="center"/>
    </xf>
    <xf numFmtId="0" fontId="194" fillId="3" borderId="2" xfId="680" applyFont="1" applyFill="1" applyBorder="1" applyAlignment="1">
      <alignment horizontal="center" vertical="center"/>
    </xf>
    <xf numFmtId="0" fontId="194" fillId="3" borderId="2" xfId="680" applyFont="1" applyFill="1" applyBorder="1" applyAlignment="1">
      <alignment horizontal="center" vertical="center" wrapText="1"/>
    </xf>
    <xf numFmtId="0" fontId="194" fillId="3" borderId="6" xfId="676" applyFont="1" applyFill="1" applyBorder="1" applyAlignment="1">
      <alignment horizontal="center" vertical="center"/>
    </xf>
    <xf numFmtId="0" fontId="194" fillId="3" borderId="2" xfId="676" applyFont="1" applyFill="1" applyBorder="1" applyAlignment="1">
      <alignment horizontal="center" vertical="center"/>
    </xf>
    <xf numFmtId="0" fontId="194" fillId="3" borderId="2" xfId="676" applyFont="1" applyFill="1" applyBorder="1" applyAlignment="1">
      <alignment horizontal="center" vertical="center" wrapText="1"/>
    </xf>
    <xf numFmtId="0" fontId="194" fillId="3" borderId="7" xfId="676" applyFont="1" applyFill="1" applyBorder="1" applyAlignment="1">
      <alignment horizontal="center" vertical="center" wrapText="1"/>
    </xf>
    <xf numFmtId="0" fontId="194" fillId="3" borderId="11" xfId="676" applyFont="1" applyFill="1" applyBorder="1" applyAlignment="1">
      <alignment horizontal="center" vertical="center"/>
    </xf>
    <xf numFmtId="0" fontId="194" fillId="3" borderId="14" xfId="676" applyFont="1" applyFill="1" applyBorder="1" applyAlignment="1">
      <alignment horizontal="center" vertical="center"/>
    </xf>
    <xf numFmtId="0" fontId="194" fillId="3" borderId="15" xfId="676" applyFont="1" applyFill="1" applyBorder="1" applyAlignment="1">
      <alignment horizontal="center" vertical="center"/>
    </xf>
    <xf numFmtId="0" fontId="194" fillId="3" borderId="1" xfId="676" applyFont="1" applyFill="1" applyBorder="1" applyAlignment="1">
      <alignment horizontal="center" vertical="center"/>
    </xf>
    <xf numFmtId="0" fontId="194" fillId="3" borderId="16" xfId="676" applyFont="1" applyFill="1" applyBorder="1" applyAlignment="1">
      <alignment horizontal="center" vertical="center"/>
    </xf>
    <xf numFmtId="0" fontId="194" fillId="3" borderId="1" xfId="676" applyFont="1" applyFill="1" applyBorder="1" applyAlignment="1">
      <alignment horizontal="center" vertical="center" wrapText="1"/>
    </xf>
    <xf numFmtId="0" fontId="194" fillId="3" borderId="16" xfId="676" applyFont="1" applyFill="1" applyBorder="1" applyAlignment="1">
      <alignment horizontal="center" vertical="center" wrapText="1"/>
    </xf>
    <xf numFmtId="0" fontId="195" fillId="8" borderId="2" xfId="676" applyFont="1" applyFill="1" applyBorder="1" applyAlignment="1">
      <alignment horizontal="center"/>
    </xf>
    <xf numFmtId="0" fontId="195" fillId="9" borderId="12" xfId="676" applyFont="1" applyFill="1" applyBorder="1" applyAlignment="1">
      <alignment horizontal="center"/>
    </xf>
    <xf numFmtId="0" fontId="195" fillId="9" borderId="18" xfId="676" applyFont="1" applyFill="1" applyBorder="1" applyAlignment="1">
      <alignment horizontal="center"/>
    </xf>
    <xf numFmtId="0" fontId="195" fillId="9" borderId="13" xfId="676" applyFont="1" applyFill="1" applyBorder="1" applyAlignment="1">
      <alignment horizontal="center"/>
    </xf>
    <xf numFmtId="0" fontId="195" fillId="9" borderId="2" xfId="676" applyFont="1" applyFill="1" applyBorder="1" applyAlignment="1">
      <alignment horizontal="center"/>
    </xf>
    <xf numFmtId="178" fontId="189" fillId="6" borderId="17" xfId="673" applyNumberFormat="1" applyFont="1" applyFill="1" applyBorder="1" applyAlignment="1">
      <alignment horizontal="center" vertical="center"/>
    </xf>
    <xf numFmtId="178" fontId="189" fillId="6" borderId="9" xfId="673" applyNumberFormat="1" applyFont="1" applyFill="1" applyBorder="1" applyAlignment="1">
      <alignment horizontal="center" vertical="center"/>
    </xf>
    <xf numFmtId="178" fontId="185" fillId="2" borderId="6" xfId="674" applyNumberFormat="1" applyFont="1" applyFill="1" applyBorder="1" applyAlignment="1">
      <alignment horizontal="center" vertical="center"/>
    </xf>
    <xf numFmtId="178" fontId="185" fillId="2" borderId="2" xfId="674" applyNumberFormat="1" applyFont="1" applyFill="1" applyBorder="1" applyAlignment="1">
      <alignment horizontal="center" vertical="center"/>
    </xf>
    <xf numFmtId="179" fontId="185" fillId="2" borderId="2" xfId="673" applyNumberFormat="1" applyFont="1" applyFill="1" applyBorder="1" applyAlignment="1">
      <alignment horizontal="center" vertical="center"/>
    </xf>
    <xf numFmtId="0" fontId="185" fillId="5" borderId="6" xfId="673" applyFont="1" applyFill="1" applyBorder="1" applyAlignment="1">
      <alignment horizontal="center" vertical="center"/>
    </xf>
    <xf numFmtId="0" fontId="185" fillId="5" borderId="2" xfId="673" applyFont="1" applyFill="1" applyBorder="1" applyAlignment="1">
      <alignment horizontal="center" vertical="center"/>
    </xf>
    <xf numFmtId="0" fontId="185" fillId="5" borderId="2" xfId="673" applyFont="1" applyFill="1" applyBorder="1" applyAlignment="1">
      <alignment horizontal="center" vertical="center" wrapText="1"/>
    </xf>
    <xf numFmtId="0" fontId="185" fillId="5" borderId="7" xfId="673" applyFont="1" applyFill="1" applyBorder="1" applyAlignment="1">
      <alignment horizontal="center" vertical="center" wrapText="1"/>
    </xf>
    <xf numFmtId="0" fontId="185" fillId="5" borderId="6" xfId="669" applyFont="1" applyFill="1" applyBorder="1" applyAlignment="1">
      <alignment horizontal="center" vertical="center"/>
    </xf>
    <xf numFmtId="0" fontId="185" fillId="5" borderId="2" xfId="669" applyFont="1" applyFill="1" applyBorder="1" applyAlignment="1">
      <alignment horizontal="center" vertical="center"/>
    </xf>
    <xf numFmtId="0" fontId="185" fillId="5" borderId="2" xfId="669" applyFont="1" applyFill="1" applyBorder="1" applyAlignment="1">
      <alignment horizontal="center" vertical="center" wrapText="1"/>
    </xf>
    <xf numFmtId="0" fontId="185" fillId="5" borderId="7" xfId="669" applyFont="1" applyFill="1" applyBorder="1" applyAlignment="1">
      <alignment horizontal="center" vertical="center" wrapText="1"/>
    </xf>
    <xf numFmtId="178" fontId="189" fillId="6" borderId="17" xfId="669" applyNumberFormat="1" applyFont="1" applyFill="1" applyBorder="1" applyAlignment="1">
      <alignment horizontal="center" vertical="center"/>
    </xf>
    <xf numFmtId="178" fontId="189" fillId="6" borderId="9" xfId="669" applyNumberFormat="1" applyFont="1" applyFill="1" applyBorder="1" applyAlignment="1">
      <alignment horizontal="center" vertical="center"/>
    </xf>
    <xf numFmtId="0" fontId="194" fillId="3" borderId="7" xfId="672" applyFont="1" applyFill="1" applyBorder="1" applyAlignment="1">
      <alignment horizontal="center" vertical="center" wrapText="1"/>
    </xf>
    <xf numFmtId="0" fontId="194" fillId="3" borderId="11" xfId="672" applyFont="1" applyFill="1" applyBorder="1" applyAlignment="1">
      <alignment horizontal="center" vertical="center"/>
    </xf>
    <xf numFmtId="0" fontId="194" fillId="3" borderId="14" xfId="672" applyFont="1" applyFill="1" applyBorder="1" applyAlignment="1">
      <alignment horizontal="center" vertical="center"/>
    </xf>
    <xf numFmtId="0" fontId="194" fillId="3" borderId="15" xfId="672" applyFont="1" applyFill="1" applyBorder="1" applyAlignment="1">
      <alignment horizontal="center" vertical="center"/>
    </xf>
    <xf numFmtId="178" fontId="185" fillId="2" borderId="6" xfId="670" applyNumberFormat="1" applyFont="1" applyFill="1" applyBorder="1" applyAlignment="1">
      <alignment horizontal="center" vertical="center"/>
    </xf>
    <xf numFmtId="178" fontId="185" fillId="2" borderId="2" xfId="670" applyNumberFormat="1" applyFont="1" applyFill="1" applyBorder="1" applyAlignment="1">
      <alignment horizontal="center" vertical="center"/>
    </xf>
    <xf numFmtId="179" fontId="185" fillId="2" borderId="2" xfId="669" applyNumberFormat="1" applyFont="1" applyFill="1" applyBorder="1" applyAlignment="1">
      <alignment horizontal="center" vertical="center"/>
    </xf>
    <xf numFmtId="0" fontId="194" fillId="3" borderId="1" xfId="672" applyFont="1" applyFill="1" applyBorder="1" applyAlignment="1">
      <alignment horizontal="center" vertical="center"/>
    </xf>
    <xf numFmtId="0" fontId="194" fillId="3" borderId="16" xfId="672" applyFont="1" applyFill="1" applyBorder="1" applyAlignment="1">
      <alignment horizontal="center" vertical="center"/>
    </xf>
    <xf numFmtId="0" fontId="194" fillId="3" borderId="1" xfId="672" applyFont="1" applyFill="1" applyBorder="1" applyAlignment="1">
      <alignment horizontal="center" vertical="center" wrapText="1"/>
    </xf>
    <xf numFmtId="0" fontId="194" fillId="3" borderId="16" xfId="672" applyFont="1" applyFill="1" applyBorder="1" applyAlignment="1">
      <alignment horizontal="center" vertical="center" wrapText="1"/>
    </xf>
    <xf numFmtId="0" fontId="195" fillId="8" borderId="2" xfId="672" applyFont="1" applyFill="1" applyBorder="1" applyAlignment="1">
      <alignment horizontal="center"/>
    </xf>
    <xf numFmtId="0" fontId="195" fillId="9" borderId="12" xfId="672" applyFont="1" applyFill="1" applyBorder="1" applyAlignment="1">
      <alignment horizontal="center"/>
    </xf>
    <xf numFmtId="0" fontId="195" fillId="9" borderId="13" xfId="672" applyFont="1" applyFill="1" applyBorder="1" applyAlignment="1">
      <alignment horizontal="center"/>
    </xf>
    <xf numFmtId="0" fontId="195" fillId="9" borderId="2" xfId="672" applyFont="1" applyFill="1" applyBorder="1" applyAlignment="1">
      <alignment horizontal="center"/>
    </xf>
    <xf numFmtId="0" fontId="195" fillId="9" borderId="18" xfId="672" applyFont="1" applyFill="1" applyBorder="1" applyAlignment="1">
      <alignment horizontal="center"/>
    </xf>
    <xf numFmtId="0" fontId="194" fillId="3" borderId="6" xfId="672" applyFont="1" applyFill="1" applyBorder="1" applyAlignment="1">
      <alignment horizontal="center" vertical="center"/>
    </xf>
    <xf numFmtId="0" fontId="194" fillId="3" borderId="2" xfId="672" applyFont="1" applyFill="1" applyBorder="1" applyAlignment="1">
      <alignment horizontal="center" vertical="center"/>
    </xf>
    <xf numFmtId="0" fontId="194" fillId="3" borderId="2" xfId="672" applyFont="1" applyFill="1" applyBorder="1" applyAlignment="1">
      <alignment horizontal="center" vertical="center" wrapText="1"/>
    </xf>
    <xf numFmtId="0" fontId="185" fillId="5" borderId="6" xfId="661" applyFont="1" applyFill="1" applyBorder="1" applyAlignment="1">
      <alignment horizontal="center" vertical="center"/>
    </xf>
    <xf numFmtId="0" fontId="185" fillId="5" borderId="2" xfId="661" applyFont="1" applyFill="1" applyBorder="1" applyAlignment="1">
      <alignment horizontal="center" vertical="center"/>
    </xf>
    <xf numFmtId="0" fontId="185" fillId="5" borderId="2" xfId="661" applyFont="1" applyFill="1" applyBorder="1" applyAlignment="1">
      <alignment horizontal="center" vertical="center" wrapText="1"/>
    </xf>
    <xf numFmtId="0" fontId="185" fillId="5" borderId="7" xfId="661" applyFont="1" applyFill="1" applyBorder="1" applyAlignment="1">
      <alignment horizontal="center" vertical="center" wrapText="1"/>
    </xf>
    <xf numFmtId="178" fontId="189" fillId="6" borderId="17" xfId="661" applyNumberFormat="1" applyFont="1" applyFill="1" applyBorder="1" applyAlignment="1">
      <alignment horizontal="center" vertical="center"/>
    </xf>
    <xf numFmtId="178" fontId="189" fillId="6" borderId="9" xfId="661" applyNumberFormat="1" applyFont="1" applyFill="1" applyBorder="1" applyAlignment="1">
      <alignment horizontal="center" vertical="center"/>
    </xf>
    <xf numFmtId="0" fontId="194" fillId="3" borderId="7" xfId="664" applyFont="1" applyFill="1" applyBorder="1" applyAlignment="1">
      <alignment horizontal="center" vertical="center" wrapText="1"/>
    </xf>
    <xf numFmtId="0" fontId="194" fillId="3" borderId="11" xfId="664" applyFont="1" applyFill="1" applyBorder="1" applyAlignment="1">
      <alignment horizontal="center" vertical="center"/>
    </xf>
    <xf numFmtId="0" fontId="194" fillId="3" borderId="14" xfId="664" applyFont="1" applyFill="1" applyBorder="1" applyAlignment="1">
      <alignment horizontal="center" vertical="center"/>
    </xf>
    <xf numFmtId="0" fontId="194" fillId="3" borderId="15" xfId="664" applyFont="1" applyFill="1" applyBorder="1" applyAlignment="1">
      <alignment horizontal="center" vertical="center"/>
    </xf>
    <xf numFmtId="178" fontId="185" fillId="2" borderId="6" xfId="662" applyNumberFormat="1" applyFont="1" applyFill="1" applyBorder="1" applyAlignment="1">
      <alignment horizontal="center" vertical="center"/>
    </xf>
    <xf numFmtId="178" fontId="185" fillId="2" borderId="2" xfId="662" applyNumberFormat="1" applyFont="1" applyFill="1" applyBorder="1" applyAlignment="1">
      <alignment horizontal="center" vertical="center"/>
    </xf>
    <xf numFmtId="179" fontId="185" fillId="2" borderId="2" xfId="661" applyNumberFormat="1" applyFont="1" applyFill="1" applyBorder="1" applyAlignment="1">
      <alignment horizontal="center" vertical="center"/>
    </xf>
    <xf numFmtId="0" fontId="194" fillId="3" borderId="1" xfId="664" applyFont="1" applyFill="1" applyBorder="1" applyAlignment="1">
      <alignment horizontal="center" vertical="center"/>
    </xf>
    <xf numFmtId="0" fontId="194" fillId="3" borderId="16" xfId="664" applyFont="1" applyFill="1" applyBorder="1" applyAlignment="1">
      <alignment horizontal="center" vertical="center"/>
    </xf>
    <xf numFmtId="0" fontId="194" fillId="3" borderId="1" xfId="664" applyFont="1" applyFill="1" applyBorder="1" applyAlignment="1">
      <alignment horizontal="center" vertical="center" wrapText="1"/>
    </xf>
    <xf numFmtId="0" fontId="194" fillId="3" borderId="16" xfId="664" applyFont="1" applyFill="1" applyBorder="1" applyAlignment="1">
      <alignment horizontal="center" vertical="center" wrapText="1"/>
    </xf>
    <xf numFmtId="0" fontId="195" fillId="8" borderId="2" xfId="664" applyFont="1" applyFill="1" applyBorder="1" applyAlignment="1">
      <alignment horizontal="center"/>
    </xf>
    <xf numFmtId="0" fontId="195" fillId="9" borderId="12" xfId="664" applyFont="1" applyFill="1" applyBorder="1" applyAlignment="1">
      <alignment horizontal="center"/>
    </xf>
    <xf numFmtId="0" fontId="195" fillId="9" borderId="13" xfId="664" applyFont="1" applyFill="1" applyBorder="1" applyAlignment="1">
      <alignment horizontal="center"/>
    </xf>
    <xf numFmtId="0" fontId="195" fillId="9" borderId="2" xfId="664" applyFont="1" applyFill="1" applyBorder="1" applyAlignment="1">
      <alignment horizontal="center"/>
    </xf>
    <xf numFmtId="0" fontId="195" fillId="9" borderId="18" xfId="664" applyFont="1" applyFill="1" applyBorder="1" applyAlignment="1">
      <alignment horizontal="center"/>
    </xf>
    <xf numFmtId="0" fontId="194" fillId="3" borderId="6" xfId="664" applyFont="1" applyFill="1" applyBorder="1" applyAlignment="1">
      <alignment horizontal="center" vertical="center"/>
    </xf>
    <xf numFmtId="0" fontId="194" fillId="3" borderId="2" xfId="664" applyFont="1" applyFill="1" applyBorder="1" applyAlignment="1">
      <alignment horizontal="center" vertical="center"/>
    </xf>
    <xf numFmtId="0" fontId="194" fillId="3" borderId="2" xfId="664" applyFont="1" applyFill="1" applyBorder="1" applyAlignment="1">
      <alignment horizontal="center" vertical="center" wrapText="1"/>
    </xf>
    <xf numFmtId="0" fontId="194" fillId="3" borderId="6" xfId="660" applyFont="1" applyFill="1" applyBorder="1" applyAlignment="1">
      <alignment horizontal="center" vertical="center"/>
    </xf>
    <xf numFmtId="0" fontId="194" fillId="3" borderId="2" xfId="660" applyFont="1" applyFill="1" applyBorder="1" applyAlignment="1">
      <alignment horizontal="center" vertical="center"/>
    </xf>
    <xf numFmtId="0" fontId="194" fillId="3" borderId="2" xfId="660" applyFont="1" applyFill="1" applyBorder="1" applyAlignment="1">
      <alignment horizontal="center" vertical="center" wrapText="1"/>
    </xf>
    <xf numFmtId="0" fontId="194" fillId="3" borderId="7" xfId="660" applyFont="1" applyFill="1" applyBorder="1" applyAlignment="1">
      <alignment horizontal="center" vertical="center" wrapText="1"/>
    </xf>
    <xf numFmtId="0" fontId="194" fillId="3" borderId="11" xfId="660" applyFont="1" applyFill="1" applyBorder="1" applyAlignment="1">
      <alignment horizontal="center" vertical="center"/>
    </xf>
    <xf numFmtId="0" fontId="194" fillId="3" borderId="14" xfId="660" applyFont="1" applyFill="1" applyBorder="1" applyAlignment="1">
      <alignment horizontal="center" vertical="center"/>
    </xf>
    <xf numFmtId="0" fontId="194" fillId="3" borderId="15" xfId="660" applyFont="1" applyFill="1" applyBorder="1" applyAlignment="1">
      <alignment horizontal="center" vertical="center"/>
    </xf>
    <xf numFmtId="0" fontId="194" fillId="3" borderId="1" xfId="660" applyFont="1" applyFill="1" applyBorder="1" applyAlignment="1">
      <alignment horizontal="center" vertical="center"/>
    </xf>
    <xf numFmtId="0" fontId="194" fillId="3" borderId="16" xfId="660" applyFont="1" applyFill="1" applyBorder="1" applyAlignment="1">
      <alignment horizontal="center" vertical="center"/>
    </xf>
    <xf numFmtId="0" fontId="194" fillId="3" borderId="1" xfId="660" applyFont="1" applyFill="1" applyBorder="1" applyAlignment="1">
      <alignment horizontal="center" vertical="center" wrapText="1"/>
    </xf>
    <xf numFmtId="0" fontId="194" fillId="3" borderId="16" xfId="660" applyFont="1" applyFill="1" applyBorder="1" applyAlignment="1">
      <alignment horizontal="center" vertical="center" wrapText="1"/>
    </xf>
    <xf numFmtId="0" fontId="195" fillId="8" borderId="2" xfId="660" applyFont="1" applyFill="1" applyBorder="1" applyAlignment="1">
      <alignment horizontal="center"/>
    </xf>
    <xf numFmtId="0" fontId="195" fillId="9" borderId="12" xfId="660" applyFont="1" applyFill="1" applyBorder="1" applyAlignment="1">
      <alignment horizontal="center"/>
    </xf>
    <xf numFmtId="0" fontId="195" fillId="9" borderId="18" xfId="660" applyFont="1" applyFill="1" applyBorder="1" applyAlignment="1">
      <alignment horizontal="center"/>
    </xf>
    <xf numFmtId="0" fontId="195" fillId="9" borderId="13" xfId="660" applyFont="1" applyFill="1" applyBorder="1" applyAlignment="1">
      <alignment horizontal="center"/>
    </xf>
    <xf numFmtId="0" fontId="195" fillId="9" borderId="2" xfId="660" applyFont="1" applyFill="1" applyBorder="1" applyAlignment="1">
      <alignment horizontal="center"/>
    </xf>
    <xf numFmtId="178" fontId="189" fillId="6" borderId="17" xfId="657" applyNumberFormat="1" applyFont="1" applyFill="1" applyBorder="1" applyAlignment="1">
      <alignment horizontal="center" vertical="center"/>
    </xf>
    <xf numFmtId="178" fontId="189" fillId="6" borderId="9" xfId="657" applyNumberFormat="1" applyFont="1" applyFill="1" applyBorder="1" applyAlignment="1">
      <alignment horizontal="center" vertical="center"/>
    </xf>
    <xf numFmtId="178" fontId="185" fillId="2" borderId="6" xfId="658" applyNumberFormat="1" applyFont="1" applyFill="1" applyBorder="1" applyAlignment="1">
      <alignment horizontal="center" vertical="center"/>
    </xf>
    <xf numFmtId="178" fontId="185" fillId="2" borderId="2" xfId="658" applyNumberFormat="1" applyFont="1" applyFill="1" applyBorder="1" applyAlignment="1">
      <alignment horizontal="center" vertical="center"/>
    </xf>
    <xf numFmtId="179" fontId="185" fillId="2" borderId="2" xfId="657" applyNumberFormat="1" applyFont="1" applyFill="1" applyBorder="1" applyAlignment="1">
      <alignment horizontal="center" vertical="center"/>
    </xf>
    <xf numFmtId="0" fontId="185" fillId="5" borderId="6" xfId="657" applyFont="1" applyFill="1" applyBorder="1" applyAlignment="1">
      <alignment horizontal="center" vertical="center"/>
    </xf>
    <xf numFmtId="0" fontId="185" fillId="5" borderId="2" xfId="657" applyFont="1" applyFill="1" applyBorder="1" applyAlignment="1">
      <alignment horizontal="center" vertical="center"/>
    </xf>
    <xf numFmtId="0" fontId="185" fillId="5" borderId="2" xfId="657" applyFont="1" applyFill="1" applyBorder="1" applyAlignment="1">
      <alignment horizontal="center" vertical="center" wrapText="1"/>
    </xf>
    <xf numFmtId="0" fontId="185" fillId="5" borderId="7" xfId="657" applyFont="1" applyFill="1" applyBorder="1" applyAlignment="1">
      <alignment horizontal="center" vertical="center" wrapText="1"/>
    </xf>
    <xf numFmtId="0" fontId="194" fillId="3" borderId="6" xfId="656" applyFont="1" applyFill="1" applyBorder="1" applyAlignment="1">
      <alignment horizontal="center" vertical="center"/>
    </xf>
    <xf numFmtId="0" fontId="194" fillId="3" borderId="2" xfId="656" applyFont="1" applyFill="1" applyBorder="1" applyAlignment="1">
      <alignment horizontal="center" vertical="center"/>
    </xf>
    <xf numFmtId="0" fontId="194" fillId="3" borderId="2" xfId="656" applyFont="1" applyFill="1" applyBorder="1" applyAlignment="1">
      <alignment horizontal="center" vertical="center" wrapText="1"/>
    </xf>
    <xf numFmtId="0" fontId="194" fillId="3" borderId="7" xfId="656" applyFont="1" applyFill="1" applyBorder="1" applyAlignment="1">
      <alignment horizontal="center" vertical="center" wrapText="1"/>
    </xf>
    <xf numFmtId="0" fontId="194" fillId="3" borderId="11" xfId="656" applyFont="1" applyFill="1" applyBorder="1" applyAlignment="1">
      <alignment horizontal="center" vertical="center"/>
    </xf>
    <xf numFmtId="0" fontId="194" fillId="3" borderId="14" xfId="656" applyFont="1" applyFill="1" applyBorder="1" applyAlignment="1">
      <alignment horizontal="center" vertical="center"/>
    </xf>
    <xf numFmtId="0" fontId="194" fillId="3" borderId="15" xfId="656" applyFont="1" applyFill="1" applyBorder="1" applyAlignment="1">
      <alignment horizontal="center" vertical="center"/>
    </xf>
    <xf numFmtId="0" fontId="194" fillId="3" borderId="1" xfId="656" applyFont="1" applyFill="1" applyBorder="1" applyAlignment="1">
      <alignment horizontal="center" vertical="center"/>
    </xf>
    <xf numFmtId="0" fontId="194" fillId="3" borderId="16" xfId="656" applyFont="1" applyFill="1" applyBorder="1" applyAlignment="1">
      <alignment horizontal="center" vertical="center"/>
    </xf>
    <xf numFmtId="0" fontId="194" fillId="3" borderId="1" xfId="656" applyFont="1" applyFill="1" applyBorder="1" applyAlignment="1">
      <alignment horizontal="center" vertical="center" wrapText="1"/>
    </xf>
    <xf numFmtId="0" fontId="194" fillId="3" borderId="16" xfId="656" applyFont="1" applyFill="1" applyBorder="1" applyAlignment="1">
      <alignment horizontal="center" vertical="center" wrapText="1"/>
    </xf>
    <xf numFmtId="0" fontId="195" fillId="8" borderId="2" xfId="656" applyFont="1" applyFill="1" applyBorder="1" applyAlignment="1">
      <alignment horizontal="center"/>
    </xf>
    <xf numFmtId="0" fontId="195" fillId="9" borderId="12" xfId="656" applyFont="1" applyFill="1" applyBorder="1" applyAlignment="1">
      <alignment horizontal="center"/>
    </xf>
    <xf numFmtId="0" fontId="195" fillId="9" borderId="18" xfId="656" applyFont="1" applyFill="1" applyBorder="1" applyAlignment="1">
      <alignment horizontal="center"/>
    </xf>
    <xf numFmtId="0" fontId="195" fillId="9" borderId="13" xfId="656" applyFont="1" applyFill="1" applyBorder="1" applyAlignment="1">
      <alignment horizontal="center"/>
    </xf>
    <xf numFmtId="0" fontId="195" fillId="9" borderId="2" xfId="656" applyFont="1" applyFill="1" applyBorder="1" applyAlignment="1">
      <alignment horizontal="center"/>
    </xf>
    <xf numFmtId="178" fontId="189" fillId="6" borderId="17" xfId="653" applyNumberFormat="1" applyFont="1" applyFill="1" applyBorder="1" applyAlignment="1">
      <alignment horizontal="center" vertical="center"/>
    </xf>
    <xf numFmtId="178" fontId="189" fillId="6" borderId="9" xfId="653" applyNumberFormat="1" applyFont="1" applyFill="1" applyBorder="1" applyAlignment="1">
      <alignment horizontal="center" vertical="center"/>
    </xf>
    <xf numFmtId="178" fontId="185" fillId="2" borderId="6" xfId="654" applyNumberFormat="1" applyFont="1" applyFill="1" applyBorder="1" applyAlignment="1">
      <alignment horizontal="center" vertical="center"/>
    </xf>
    <xf numFmtId="178" fontId="185" fillId="2" borderId="2" xfId="654" applyNumberFormat="1" applyFont="1" applyFill="1" applyBorder="1" applyAlignment="1">
      <alignment horizontal="center" vertical="center"/>
    </xf>
    <xf numFmtId="179" fontId="185" fillId="2" borderId="2" xfId="653" applyNumberFormat="1" applyFont="1" applyFill="1" applyBorder="1" applyAlignment="1">
      <alignment horizontal="center" vertical="center"/>
    </xf>
    <xf numFmtId="0" fontId="185" fillId="5" borderId="6" xfId="653" applyFont="1" applyFill="1" applyBorder="1" applyAlignment="1">
      <alignment horizontal="center" vertical="center"/>
    </xf>
    <xf numFmtId="0" fontId="185" fillId="5" borderId="2" xfId="653" applyFont="1" applyFill="1" applyBorder="1" applyAlignment="1">
      <alignment horizontal="center" vertical="center"/>
    </xf>
    <xf numFmtId="0" fontId="185" fillId="5" borderId="2" xfId="653" applyFont="1" applyFill="1" applyBorder="1" applyAlignment="1">
      <alignment horizontal="center" vertical="center" wrapText="1"/>
    </xf>
    <xf numFmtId="0" fontId="185" fillId="5" borderId="7" xfId="653" applyFont="1" applyFill="1" applyBorder="1" applyAlignment="1">
      <alignment horizontal="center" vertical="center" wrapText="1"/>
    </xf>
    <xf numFmtId="0" fontId="185" fillId="5" borderId="6" xfId="629" applyFont="1" applyFill="1" applyBorder="1" applyAlignment="1">
      <alignment horizontal="center" vertical="center"/>
    </xf>
    <xf numFmtId="0" fontId="185" fillId="5" borderId="2" xfId="629" applyFont="1" applyFill="1" applyBorder="1" applyAlignment="1">
      <alignment horizontal="center" vertical="center"/>
    </xf>
    <xf numFmtId="0" fontId="185" fillId="5" borderId="2" xfId="629" applyFont="1" applyFill="1" applyBorder="1" applyAlignment="1">
      <alignment horizontal="center" vertical="center" wrapText="1"/>
    </xf>
    <xf numFmtId="0" fontId="185" fillId="5" borderId="7" xfId="629" applyFont="1" applyFill="1" applyBorder="1" applyAlignment="1">
      <alignment horizontal="center" vertical="center" wrapText="1"/>
    </xf>
    <xf numFmtId="178" fontId="189" fillId="6" borderId="17" xfId="629" applyNumberFormat="1" applyFont="1" applyFill="1" applyBorder="1" applyAlignment="1">
      <alignment horizontal="center" vertical="center"/>
    </xf>
    <xf numFmtId="178" fontId="189" fillId="6" borderId="9" xfId="629" applyNumberFormat="1" applyFont="1" applyFill="1" applyBorder="1" applyAlignment="1">
      <alignment horizontal="center" vertical="center"/>
    </xf>
    <xf numFmtId="0" fontId="194" fillId="3" borderId="7" xfId="632" applyFont="1" applyFill="1" applyBorder="1" applyAlignment="1">
      <alignment horizontal="center" vertical="center" wrapText="1"/>
    </xf>
    <xf numFmtId="0" fontId="194" fillId="3" borderId="11" xfId="632" applyFont="1" applyFill="1" applyBorder="1" applyAlignment="1">
      <alignment horizontal="center" vertical="center"/>
    </xf>
    <xf numFmtId="0" fontId="194" fillId="3" borderId="14" xfId="632" applyFont="1" applyFill="1" applyBorder="1" applyAlignment="1">
      <alignment horizontal="center" vertical="center"/>
    </xf>
    <xf numFmtId="0" fontId="194" fillId="3" borderId="15" xfId="632" applyFont="1" applyFill="1" applyBorder="1" applyAlignment="1">
      <alignment horizontal="center" vertical="center"/>
    </xf>
    <xf numFmtId="178" fontId="185" fillId="2" borderId="6" xfId="630" applyNumberFormat="1" applyFont="1" applyFill="1" applyBorder="1" applyAlignment="1">
      <alignment horizontal="center" vertical="center"/>
    </xf>
    <xf numFmtId="178" fontId="185" fillId="2" borderId="2" xfId="630" applyNumberFormat="1" applyFont="1" applyFill="1" applyBorder="1" applyAlignment="1">
      <alignment horizontal="center" vertical="center"/>
    </xf>
    <xf numFmtId="179" fontId="185" fillId="2" borderId="2" xfId="629" applyNumberFormat="1" applyFont="1" applyFill="1" applyBorder="1" applyAlignment="1">
      <alignment horizontal="center" vertical="center"/>
    </xf>
    <xf numFmtId="0" fontId="194" fillId="3" borderId="1" xfId="632" applyFont="1" applyFill="1" applyBorder="1" applyAlignment="1">
      <alignment horizontal="center" vertical="center"/>
    </xf>
    <xf numFmtId="0" fontId="194" fillId="3" borderId="16" xfId="632" applyFont="1" applyFill="1" applyBorder="1" applyAlignment="1">
      <alignment horizontal="center" vertical="center"/>
    </xf>
    <xf numFmtId="0" fontId="194" fillId="3" borderId="1" xfId="632" applyFont="1" applyFill="1" applyBorder="1" applyAlignment="1">
      <alignment horizontal="center" vertical="center" wrapText="1"/>
    </xf>
    <xf numFmtId="0" fontId="194" fillId="3" borderId="16" xfId="632" applyFont="1" applyFill="1" applyBorder="1" applyAlignment="1">
      <alignment horizontal="center" vertical="center" wrapText="1"/>
    </xf>
    <xf numFmtId="0" fontId="195" fillId="8" borderId="2" xfId="632" applyFont="1" applyFill="1" applyBorder="1" applyAlignment="1">
      <alignment horizontal="center"/>
    </xf>
    <xf numFmtId="0" fontId="195" fillId="9" borderId="12" xfId="632" applyFont="1" applyFill="1" applyBorder="1" applyAlignment="1">
      <alignment horizontal="center"/>
    </xf>
    <xf numFmtId="0" fontId="195" fillId="9" borderId="13" xfId="632" applyFont="1" applyFill="1" applyBorder="1" applyAlignment="1">
      <alignment horizontal="center"/>
    </xf>
    <xf numFmtId="0" fontId="195" fillId="9" borderId="2" xfId="632" applyFont="1" applyFill="1" applyBorder="1" applyAlignment="1">
      <alignment horizontal="center"/>
    </xf>
    <xf numFmtId="0" fontId="195" fillId="9" borderId="18" xfId="632" applyFont="1" applyFill="1" applyBorder="1" applyAlignment="1">
      <alignment horizontal="center"/>
    </xf>
    <xf numFmtId="0" fontId="194" fillId="3" borderId="6" xfId="632" applyFont="1" applyFill="1" applyBorder="1" applyAlignment="1">
      <alignment horizontal="center" vertical="center"/>
    </xf>
    <xf numFmtId="0" fontId="194" fillId="3" borderId="2" xfId="632" applyFont="1" applyFill="1" applyBorder="1" applyAlignment="1">
      <alignment horizontal="center" vertical="center"/>
    </xf>
    <xf numFmtId="0" fontId="194" fillId="3" borderId="2" xfId="632" applyFont="1" applyFill="1" applyBorder="1" applyAlignment="1">
      <alignment horizontal="center" vertical="center" wrapText="1"/>
    </xf>
    <xf numFmtId="0" fontId="194" fillId="3" borderId="6" xfId="628" applyFont="1" applyFill="1" applyBorder="1" applyAlignment="1">
      <alignment horizontal="center" vertical="center"/>
    </xf>
    <xf numFmtId="0" fontId="194" fillId="3" borderId="2" xfId="628" applyFont="1" applyFill="1" applyBorder="1" applyAlignment="1">
      <alignment horizontal="center" vertical="center"/>
    </xf>
    <xf numFmtId="0" fontId="194" fillId="3" borderId="2" xfId="628" applyFont="1" applyFill="1" applyBorder="1" applyAlignment="1">
      <alignment horizontal="center" vertical="center" wrapText="1"/>
    </xf>
    <xf numFmtId="0" fontId="194" fillId="3" borderId="7" xfId="628" applyFont="1" applyFill="1" applyBorder="1" applyAlignment="1">
      <alignment horizontal="center" vertical="center" wrapText="1"/>
    </xf>
    <xf numFmtId="0" fontId="194" fillId="3" borderId="11" xfId="628" applyFont="1" applyFill="1" applyBorder="1" applyAlignment="1">
      <alignment horizontal="center" vertical="center"/>
    </xf>
    <xf numFmtId="0" fontId="194" fillId="3" borderId="14" xfId="628" applyFont="1" applyFill="1" applyBorder="1" applyAlignment="1">
      <alignment horizontal="center" vertical="center"/>
    </xf>
    <xf numFmtId="0" fontId="194" fillId="3" borderId="15" xfId="628" applyFont="1" applyFill="1" applyBorder="1" applyAlignment="1">
      <alignment horizontal="center" vertical="center"/>
    </xf>
    <xf numFmtId="0" fontId="194" fillId="3" borderId="1" xfId="628" applyFont="1" applyFill="1" applyBorder="1" applyAlignment="1">
      <alignment horizontal="center" vertical="center"/>
    </xf>
    <xf numFmtId="0" fontId="194" fillId="3" borderId="16" xfId="628" applyFont="1" applyFill="1" applyBorder="1" applyAlignment="1">
      <alignment horizontal="center" vertical="center"/>
    </xf>
    <xf numFmtId="0" fontId="194" fillId="3" borderId="1" xfId="628" applyFont="1" applyFill="1" applyBorder="1" applyAlignment="1">
      <alignment horizontal="center" vertical="center" wrapText="1"/>
    </xf>
    <xf numFmtId="0" fontId="194" fillId="3" borderId="16" xfId="628" applyFont="1" applyFill="1" applyBorder="1" applyAlignment="1">
      <alignment horizontal="center" vertical="center" wrapText="1"/>
    </xf>
    <xf numFmtId="0" fontId="195" fillId="8" borderId="2" xfId="628" applyFont="1" applyFill="1" applyBorder="1" applyAlignment="1">
      <alignment horizontal="center"/>
    </xf>
    <xf numFmtId="0" fontId="195" fillId="9" borderId="12" xfId="628" applyFont="1" applyFill="1" applyBorder="1" applyAlignment="1">
      <alignment horizontal="center"/>
    </xf>
    <xf numFmtId="0" fontId="195" fillId="9" borderId="18" xfId="628" applyFont="1" applyFill="1" applyBorder="1" applyAlignment="1">
      <alignment horizontal="center"/>
    </xf>
    <xf numFmtId="0" fontId="195" fillId="9" borderId="13" xfId="628" applyFont="1" applyFill="1" applyBorder="1" applyAlignment="1">
      <alignment horizontal="center"/>
    </xf>
    <xf numFmtId="0" fontId="195" fillId="9" borderId="2" xfId="628" applyFont="1" applyFill="1" applyBorder="1" applyAlignment="1">
      <alignment horizontal="center"/>
    </xf>
    <xf numFmtId="178" fontId="189" fillId="6" borderId="17" xfId="625" applyNumberFormat="1" applyFont="1" applyFill="1" applyBorder="1" applyAlignment="1">
      <alignment horizontal="center" vertical="center"/>
    </xf>
    <xf numFmtId="178" fontId="189" fillId="6" borderId="9" xfId="625" applyNumberFormat="1" applyFont="1" applyFill="1" applyBorder="1" applyAlignment="1">
      <alignment horizontal="center" vertical="center"/>
    </xf>
    <xf numFmtId="178" fontId="185" fillId="2" borderId="6" xfId="626" applyNumberFormat="1" applyFont="1" applyFill="1" applyBorder="1" applyAlignment="1">
      <alignment horizontal="center" vertical="center"/>
    </xf>
    <xf numFmtId="178" fontId="185" fillId="2" borderId="2" xfId="626" applyNumberFormat="1" applyFont="1" applyFill="1" applyBorder="1" applyAlignment="1">
      <alignment horizontal="center" vertical="center"/>
    </xf>
    <xf numFmtId="179" fontId="185" fillId="2" borderId="2" xfId="625" applyNumberFormat="1" applyFont="1" applyFill="1" applyBorder="1" applyAlignment="1">
      <alignment horizontal="center" vertical="center"/>
    </xf>
    <xf numFmtId="0" fontId="185" fillId="5" borderId="6" xfId="625" applyFont="1" applyFill="1" applyBorder="1" applyAlignment="1">
      <alignment horizontal="center" vertical="center"/>
    </xf>
    <xf numFmtId="0" fontId="185" fillId="5" borderId="2" xfId="625" applyFont="1" applyFill="1" applyBorder="1" applyAlignment="1">
      <alignment horizontal="center" vertical="center"/>
    </xf>
    <xf numFmtId="0" fontId="185" fillId="5" borderId="2" xfId="625" applyFont="1" applyFill="1" applyBorder="1" applyAlignment="1">
      <alignment horizontal="center" vertical="center" wrapText="1"/>
    </xf>
    <xf numFmtId="0" fontId="185" fillId="5" borderId="7" xfId="625" applyFont="1" applyFill="1" applyBorder="1" applyAlignment="1">
      <alignment horizontal="center" vertical="center" wrapText="1"/>
    </xf>
    <xf numFmtId="0" fontId="185" fillId="5" borderId="6" xfId="617" applyFont="1" applyFill="1" applyBorder="1" applyAlignment="1">
      <alignment horizontal="center" vertical="center"/>
    </xf>
    <xf numFmtId="0" fontId="185" fillId="5" borderId="2" xfId="617" applyFont="1" applyFill="1" applyBorder="1" applyAlignment="1">
      <alignment horizontal="center" vertical="center"/>
    </xf>
    <xf numFmtId="0" fontId="185" fillId="5" borderId="2" xfId="617" applyFont="1" applyFill="1" applyBorder="1" applyAlignment="1">
      <alignment horizontal="center" vertical="center" wrapText="1"/>
    </xf>
    <xf numFmtId="0" fontId="185" fillId="5" borderId="7" xfId="617" applyFont="1" applyFill="1" applyBorder="1" applyAlignment="1">
      <alignment horizontal="center" vertical="center" wrapText="1"/>
    </xf>
    <xf numFmtId="178" fontId="189" fillId="6" borderId="17" xfId="617" applyNumberFormat="1" applyFont="1" applyFill="1" applyBorder="1" applyAlignment="1">
      <alignment horizontal="center" vertical="center"/>
    </xf>
    <xf numFmtId="178" fontId="189" fillId="6" borderId="9" xfId="617" applyNumberFormat="1" applyFont="1" applyFill="1" applyBorder="1" applyAlignment="1">
      <alignment horizontal="center" vertical="center"/>
    </xf>
    <xf numFmtId="0" fontId="194" fillId="3" borderId="7" xfId="620" applyFont="1" applyFill="1" applyBorder="1" applyAlignment="1">
      <alignment horizontal="center" vertical="center" wrapText="1"/>
    </xf>
    <xf numFmtId="0" fontId="194" fillId="3" borderId="11" xfId="620" applyFont="1" applyFill="1" applyBorder="1" applyAlignment="1">
      <alignment horizontal="center" vertical="center"/>
    </xf>
    <xf numFmtId="0" fontId="194" fillId="3" borderId="14" xfId="620" applyFont="1" applyFill="1" applyBorder="1" applyAlignment="1">
      <alignment horizontal="center" vertical="center"/>
    </xf>
    <xf numFmtId="0" fontId="194" fillId="3" borderId="15" xfId="620" applyFont="1" applyFill="1" applyBorder="1" applyAlignment="1">
      <alignment horizontal="center" vertical="center"/>
    </xf>
    <xf numFmtId="178" fontId="185" fillId="2" borderId="6" xfId="618" applyNumberFormat="1" applyFont="1" applyFill="1" applyBorder="1" applyAlignment="1">
      <alignment horizontal="center" vertical="center"/>
    </xf>
    <xf numFmtId="178" fontId="185" fillId="2" borderId="2" xfId="618" applyNumberFormat="1" applyFont="1" applyFill="1" applyBorder="1" applyAlignment="1">
      <alignment horizontal="center" vertical="center"/>
    </xf>
    <xf numFmtId="179" fontId="185" fillId="2" borderId="2" xfId="617" applyNumberFormat="1" applyFont="1" applyFill="1" applyBorder="1" applyAlignment="1">
      <alignment horizontal="center" vertical="center"/>
    </xf>
    <xf numFmtId="0" fontId="194" fillId="3" borderId="1" xfId="620" applyFont="1" applyFill="1" applyBorder="1" applyAlignment="1">
      <alignment horizontal="center" vertical="center"/>
    </xf>
    <xf numFmtId="0" fontId="194" fillId="3" borderId="16" xfId="620" applyFont="1" applyFill="1" applyBorder="1" applyAlignment="1">
      <alignment horizontal="center" vertical="center"/>
    </xf>
    <xf numFmtId="0" fontId="194" fillId="3" borderId="1" xfId="620" applyFont="1" applyFill="1" applyBorder="1" applyAlignment="1">
      <alignment horizontal="center" vertical="center" wrapText="1"/>
    </xf>
    <xf numFmtId="0" fontId="194" fillId="3" borderId="16" xfId="620" applyFont="1" applyFill="1" applyBorder="1" applyAlignment="1">
      <alignment horizontal="center" vertical="center" wrapText="1"/>
    </xf>
    <xf numFmtId="0" fontId="195" fillId="8" borderId="2" xfId="620" applyFont="1" applyFill="1" applyBorder="1" applyAlignment="1">
      <alignment horizontal="center"/>
    </xf>
    <xf numFmtId="0" fontId="195" fillId="9" borderId="12" xfId="620" applyFont="1" applyFill="1" applyBorder="1" applyAlignment="1">
      <alignment horizontal="center"/>
    </xf>
    <xf numFmtId="0" fontId="195" fillId="9" borderId="13" xfId="620" applyFont="1" applyFill="1" applyBorder="1" applyAlignment="1">
      <alignment horizontal="center"/>
    </xf>
    <xf numFmtId="0" fontId="195" fillId="9" borderId="2" xfId="620" applyFont="1" applyFill="1" applyBorder="1" applyAlignment="1">
      <alignment horizontal="center"/>
    </xf>
    <xf numFmtId="0" fontId="195" fillId="9" borderId="18" xfId="620" applyFont="1" applyFill="1" applyBorder="1" applyAlignment="1">
      <alignment horizontal="center"/>
    </xf>
    <xf numFmtId="0" fontId="194" fillId="3" borderId="6" xfId="620" applyFont="1" applyFill="1" applyBorder="1" applyAlignment="1">
      <alignment horizontal="center" vertical="center"/>
    </xf>
    <xf numFmtId="0" fontId="194" fillId="3" borderId="2" xfId="620" applyFont="1" applyFill="1" applyBorder="1" applyAlignment="1">
      <alignment horizontal="center" vertical="center"/>
    </xf>
    <xf numFmtId="0" fontId="194" fillId="3" borderId="2" xfId="620" applyFont="1" applyFill="1" applyBorder="1" applyAlignment="1">
      <alignment horizontal="center" vertical="center" wrapText="1"/>
    </xf>
    <xf numFmtId="0" fontId="194" fillId="3" borderId="6" xfId="616" applyFont="1" applyFill="1" applyBorder="1" applyAlignment="1">
      <alignment horizontal="center" vertical="center"/>
    </xf>
    <xf numFmtId="0" fontId="194" fillId="3" borderId="2" xfId="616" applyFont="1" applyFill="1" applyBorder="1" applyAlignment="1">
      <alignment horizontal="center" vertical="center"/>
    </xf>
    <xf numFmtId="0" fontId="194" fillId="3" borderId="2" xfId="616" applyFont="1" applyFill="1" applyBorder="1" applyAlignment="1">
      <alignment horizontal="center" vertical="center" wrapText="1"/>
    </xf>
    <xf numFmtId="0" fontId="194" fillId="3" borderId="7" xfId="616" applyFont="1" applyFill="1" applyBorder="1" applyAlignment="1">
      <alignment horizontal="center" vertical="center" wrapText="1"/>
    </xf>
    <xf numFmtId="0" fontId="194" fillId="3" borderId="11" xfId="616" applyFont="1" applyFill="1" applyBorder="1" applyAlignment="1">
      <alignment horizontal="center" vertical="center"/>
    </xf>
    <xf numFmtId="0" fontId="194" fillId="3" borderId="14" xfId="616" applyFont="1" applyFill="1" applyBorder="1" applyAlignment="1">
      <alignment horizontal="center" vertical="center"/>
    </xf>
    <xf numFmtId="0" fontId="194" fillId="3" borderId="15" xfId="616" applyFont="1" applyFill="1" applyBorder="1" applyAlignment="1">
      <alignment horizontal="center" vertical="center"/>
    </xf>
    <xf numFmtId="0" fontId="194" fillId="3" borderId="1" xfId="616" applyFont="1" applyFill="1" applyBorder="1" applyAlignment="1">
      <alignment horizontal="center" vertical="center"/>
    </xf>
    <xf numFmtId="0" fontId="194" fillId="3" borderId="16" xfId="616" applyFont="1" applyFill="1" applyBorder="1" applyAlignment="1">
      <alignment horizontal="center" vertical="center"/>
    </xf>
    <xf numFmtId="0" fontId="194" fillId="3" borderId="1" xfId="616" applyFont="1" applyFill="1" applyBorder="1" applyAlignment="1">
      <alignment horizontal="center" vertical="center" wrapText="1"/>
    </xf>
    <xf numFmtId="0" fontId="194" fillId="3" borderId="16" xfId="616" applyFont="1" applyFill="1" applyBorder="1" applyAlignment="1">
      <alignment horizontal="center" vertical="center" wrapText="1"/>
    </xf>
    <xf numFmtId="0" fontId="195" fillId="8" borderId="2" xfId="616" applyFont="1" applyFill="1" applyBorder="1" applyAlignment="1">
      <alignment horizontal="center"/>
    </xf>
    <xf numFmtId="0" fontId="195" fillId="9" borderId="12" xfId="616" applyFont="1" applyFill="1" applyBorder="1" applyAlignment="1">
      <alignment horizontal="center"/>
    </xf>
    <xf numFmtId="0" fontId="195" fillId="9" borderId="18" xfId="616" applyFont="1" applyFill="1" applyBorder="1" applyAlignment="1">
      <alignment horizontal="center"/>
    </xf>
    <xf numFmtId="0" fontId="195" fillId="9" borderId="13" xfId="616" applyFont="1" applyFill="1" applyBorder="1" applyAlignment="1">
      <alignment horizontal="center"/>
    </xf>
    <xf numFmtId="0" fontId="195" fillId="9" borderId="2" xfId="616" applyFont="1" applyFill="1" applyBorder="1" applyAlignment="1">
      <alignment horizontal="center"/>
    </xf>
    <xf numFmtId="178" fontId="189" fillId="6" borderId="17" xfId="613" applyNumberFormat="1" applyFont="1" applyFill="1" applyBorder="1" applyAlignment="1">
      <alignment horizontal="center" vertical="center"/>
    </xf>
    <xf numFmtId="178" fontId="189" fillId="6" borderId="9" xfId="613" applyNumberFormat="1" applyFont="1" applyFill="1" applyBorder="1" applyAlignment="1">
      <alignment horizontal="center" vertical="center"/>
    </xf>
    <xf numFmtId="178" fontId="185" fillId="2" borderId="6" xfId="614" applyNumberFormat="1" applyFont="1" applyFill="1" applyBorder="1" applyAlignment="1">
      <alignment horizontal="center" vertical="center"/>
    </xf>
    <xf numFmtId="178" fontId="185" fillId="2" borderId="2" xfId="614" applyNumberFormat="1" applyFont="1" applyFill="1" applyBorder="1" applyAlignment="1">
      <alignment horizontal="center" vertical="center"/>
    </xf>
    <xf numFmtId="179" fontId="185" fillId="2" borderId="2" xfId="613" applyNumberFormat="1" applyFont="1" applyFill="1" applyBorder="1" applyAlignment="1">
      <alignment horizontal="center" vertical="center"/>
    </xf>
    <xf numFmtId="0" fontId="185" fillId="5" borderId="6" xfId="613" applyFont="1" applyFill="1" applyBorder="1" applyAlignment="1">
      <alignment horizontal="center" vertical="center"/>
    </xf>
    <xf numFmtId="0" fontId="185" fillId="5" borderId="2" xfId="613" applyFont="1" applyFill="1" applyBorder="1" applyAlignment="1">
      <alignment horizontal="center" vertical="center"/>
    </xf>
    <xf numFmtId="0" fontId="185" fillId="5" borderId="2" xfId="613" applyFont="1" applyFill="1" applyBorder="1" applyAlignment="1">
      <alignment horizontal="center" vertical="center" wrapText="1"/>
    </xf>
    <xf numFmtId="0" fontId="185" fillId="5" borderId="7" xfId="613" applyFont="1" applyFill="1" applyBorder="1" applyAlignment="1">
      <alignment horizontal="center" vertical="center" wrapText="1"/>
    </xf>
    <xf numFmtId="0" fontId="194" fillId="3" borderId="6" xfId="612" applyFont="1" applyFill="1" applyBorder="1" applyAlignment="1">
      <alignment horizontal="center" vertical="center"/>
    </xf>
    <xf numFmtId="0" fontId="194" fillId="3" borderId="2" xfId="612" applyFont="1" applyFill="1" applyBorder="1" applyAlignment="1">
      <alignment horizontal="center" vertical="center"/>
    </xf>
    <xf numFmtId="0" fontId="194" fillId="3" borderId="2" xfId="612" applyFont="1" applyFill="1" applyBorder="1" applyAlignment="1">
      <alignment horizontal="center" vertical="center" wrapText="1"/>
    </xf>
    <xf numFmtId="0" fontId="194" fillId="3" borderId="7" xfId="612" applyFont="1" applyFill="1" applyBorder="1" applyAlignment="1">
      <alignment horizontal="center" vertical="center" wrapText="1"/>
    </xf>
    <xf numFmtId="0" fontId="194" fillId="3" borderId="11" xfId="612" applyFont="1" applyFill="1" applyBorder="1" applyAlignment="1">
      <alignment horizontal="center" vertical="center"/>
    </xf>
    <xf numFmtId="0" fontId="194" fillId="3" borderId="14" xfId="612" applyFont="1" applyFill="1" applyBorder="1" applyAlignment="1">
      <alignment horizontal="center" vertical="center"/>
    </xf>
    <xf numFmtId="0" fontId="194" fillId="3" borderId="15" xfId="612" applyFont="1" applyFill="1" applyBorder="1" applyAlignment="1">
      <alignment horizontal="center" vertical="center"/>
    </xf>
    <xf numFmtId="0" fontId="194" fillId="3" borderId="1" xfId="612" applyFont="1" applyFill="1" applyBorder="1" applyAlignment="1">
      <alignment horizontal="center" vertical="center"/>
    </xf>
    <xf numFmtId="0" fontId="194" fillId="3" borderId="16" xfId="612" applyFont="1" applyFill="1" applyBorder="1" applyAlignment="1">
      <alignment horizontal="center" vertical="center"/>
    </xf>
    <xf numFmtId="0" fontId="194" fillId="3" borderId="1" xfId="612" applyFont="1" applyFill="1" applyBorder="1" applyAlignment="1">
      <alignment horizontal="center" vertical="center" wrapText="1"/>
    </xf>
    <xf numFmtId="0" fontId="194" fillId="3" borderId="16" xfId="612" applyFont="1" applyFill="1" applyBorder="1" applyAlignment="1">
      <alignment horizontal="center" vertical="center" wrapText="1"/>
    </xf>
    <xf numFmtId="0" fontId="195" fillId="8" borderId="2" xfId="612" applyFont="1" applyFill="1" applyBorder="1" applyAlignment="1">
      <alignment horizontal="center"/>
    </xf>
    <xf numFmtId="0" fontId="195" fillId="9" borderId="12" xfId="612" applyFont="1" applyFill="1" applyBorder="1" applyAlignment="1">
      <alignment horizontal="center"/>
    </xf>
    <xf numFmtId="0" fontId="195" fillId="9" borderId="18" xfId="612" applyFont="1" applyFill="1" applyBorder="1" applyAlignment="1">
      <alignment horizontal="center"/>
    </xf>
    <xf numFmtId="0" fontId="195" fillId="9" borderId="13" xfId="612" applyFont="1" applyFill="1" applyBorder="1" applyAlignment="1">
      <alignment horizontal="center"/>
    </xf>
    <xf numFmtId="0" fontId="195" fillId="9" borderId="2" xfId="612" applyFont="1" applyFill="1" applyBorder="1" applyAlignment="1">
      <alignment horizontal="center"/>
    </xf>
    <xf numFmtId="178" fontId="189" fillId="6" borderId="17" xfId="609" applyNumberFormat="1" applyFont="1" applyFill="1" applyBorder="1" applyAlignment="1">
      <alignment horizontal="center" vertical="center"/>
    </xf>
    <xf numFmtId="178" fontId="189" fillId="6" borderId="9" xfId="609" applyNumberFormat="1" applyFont="1" applyFill="1" applyBorder="1" applyAlignment="1">
      <alignment horizontal="center" vertical="center"/>
    </xf>
    <xf numFmtId="178" fontId="185" fillId="2" borderId="6" xfId="610" applyNumberFormat="1" applyFont="1" applyFill="1" applyBorder="1" applyAlignment="1">
      <alignment horizontal="center" vertical="center"/>
    </xf>
    <xf numFmtId="178" fontId="185" fillId="2" borderId="2" xfId="610" applyNumberFormat="1" applyFont="1" applyFill="1" applyBorder="1" applyAlignment="1">
      <alignment horizontal="center" vertical="center"/>
    </xf>
    <xf numFmtId="179" fontId="185" fillId="2" borderId="2" xfId="609" applyNumberFormat="1" applyFont="1" applyFill="1" applyBorder="1" applyAlignment="1">
      <alignment horizontal="center" vertical="center"/>
    </xf>
    <xf numFmtId="0" fontId="185" fillId="5" borderId="6" xfId="609" applyFont="1" applyFill="1" applyBorder="1" applyAlignment="1">
      <alignment horizontal="center" vertical="center"/>
    </xf>
    <xf numFmtId="0" fontId="185" fillId="5" borderId="2" xfId="609" applyFont="1" applyFill="1" applyBorder="1" applyAlignment="1">
      <alignment horizontal="center" vertical="center"/>
    </xf>
    <xf numFmtId="0" fontId="185" fillId="5" borderId="2" xfId="609" applyFont="1" applyFill="1" applyBorder="1" applyAlignment="1">
      <alignment horizontal="center" vertical="center" wrapText="1"/>
    </xf>
    <xf numFmtId="0" fontId="185" fillId="5" borderId="7" xfId="609" applyFont="1" applyFill="1" applyBorder="1" applyAlignment="1">
      <alignment horizontal="center" vertical="center" wrapText="1"/>
    </xf>
    <xf numFmtId="0" fontId="185" fillId="5" borderId="6" xfId="605" applyFont="1" applyFill="1" applyBorder="1" applyAlignment="1">
      <alignment horizontal="center" vertical="center"/>
    </xf>
    <xf numFmtId="0" fontId="185" fillId="5" borderId="2" xfId="605" applyFont="1" applyFill="1" applyBorder="1" applyAlignment="1">
      <alignment horizontal="center" vertical="center"/>
    </xf>
    <xf numFmtId="0" fontId="185" fillId="5" borderId="2" xfId="605" applyFont="1" applyFill="1" applyBorder="1" applyAlignment="1">
      <alignment horizontal="center" vertical="center" wrapText="1"/>
    </xf>
    <xf numFmtId="0" fontId="185" fillId="5" borderId="7" xfId="605" applyFont="1" applyFill="1" applyBorder="1" applyAlignment="1">
      <alignment horizontal="center" vertical="center" wrapText="1"/>
    </xf>
    <xf numFmtId="178" fontId="189" fillId="6" borderId="17" xfId="605" applyNumberFormat="1" applyFont="1" applyFill="1" applyBorder="1" applyAlignment="1">
      <alignment horizontal="center" vertical="center"/>
    </xf>
    <xf numFmtId="178" fontId="189" fillId="6" borderId="9" xfId="605" applyNumberFormat="1" applyFont="1" applyFill="1" applyBorder="1" applyAlignment="1">
      <alignment horizontal="center" vertical="center"/>
    </xf>
    <xf numFmtId="0" fontId="194" fillId="3" borderId="11" xfId="608" applyFont="1" applyFill="1" applyBorder="1" applyAlignment="1">
      <alignment horizontal="center" vertical="center"/>
    </xf>
    <xf numFmtId="0" fontId="194" fillId="3" borderId="14" xfId="608" applyFont="1" applyFill="1" applyBorder="1" applyAlignment="1">
      <alignment horizontal="center" vertical="center"/>
    </xf>
    <xf numFmtId="0" fontId="194" fillId="3" borderId="15" xfId="608" applyFont="1" applyFill="1" applyBorder="1" applyAlignment="1">
      <alignment horizontal="center" vertical="center"/>
    </xf>
    <xf numFmtId="178" fontId="185" fillId="2" borderId="6" xfId="606" applyNumberFormat="1" applyFont="1" applyFill="1" applyBorder="1" applyAlignment="1">
      <alignment horizontal="center" vertical="center"/>
    </xf>
    <xf numFmtId="178" fontId="185" fillId="2" borderId="2" xfId="606" applyNumberFormat="1" applyFont="1" applyFill="1" applyBorder="1" applyAlignment="1">
      <alignment horizontal="center" vertical="center"/>
    </xf>
    <xf numFmtId="179" fontId="185" fillId="2" borderId="2" xfId="605" applyNumberFormat="1" applyFont="1" applyFill="1" applyBorder="1" applyAlignment="1">
      <alignment horizontal="center" vertical="center"/>
    </xf>
    <xf numFmtId="0" fontId="194" fillId="3" borderId="1" xfId="608" applyFont="1" applyFill="1" applyBorder="1" applyAlignment="1">
      <alignment horizontal="center" vertical="center"/>
    </xf>
    <xf numFmtId="0" fontId="194" fillId="3" borderId="16" xfId="608" applyFont="1" applyFill="1" applyBorder="1" applyAlignment="1">
      <alignment horizontal="center" vertical="center"/>
    </xf>
    <xf numFmtId="0" fontId="194" fillId="3" borderId="1" xfId="608" applyFont="1" applyFill="1" applyBorder="1" applyAlignment="1">
      <alignment horizontal="center" vertical="center" wrapText="1"/>
    </xf>
    <xf numFmtId="0" fontId="194" fillId="3" borderId="16" xfId="608" applyFont="1" applyFill="1" applyBorder="1" applyAlignment="1">
      <alignment horizontal="center" vertical="center" wrapText="1"/>
    </xf>
    <xf numFmtId="0" fontId="195" fillId="8" borderId="2" xfId="608" applyFont="1" applyFill="1" applyBorder="1" applyAlignment="1">
      <alignment horizontal="center"/>
    </xf>
    <xf numFmtId="0" fontId="195" fillId="9" borderId="12" xfId="608" applyFont="1" applyFill="1" applyBorder="1" applyAlignment="1">
      <alignment horizontal="center"/>
    </xf>
    <xf numFmtId="0" fontId="195" fillId="9" borderId="13" xfId="608" applyFont="1" applyFill="1" applyBorder="1" applyAlignment="1">
      <alignment horizontal="center"/>
    </xf>
    <xf numFmtId="0" fontId="195" fillId="9" borderId="2" xfId="608" applyFont="1" applyFill="1" applyBorder="1" applyAlignment="1">
      <alignment horizontal="center"/>
    </xf>
    <xf numFmtId="0" fontId="194" fillId="3" borderId="7" xfId="608" applyFont="1" applyFill="1" applyBorder="1" applyAlignment="1">
      <alignment horizontal="center" vertical="center" wrapText="1"/>
    </xf>
    <xf numFmtId="0" fontId="195" fillId="9" borderId="18" xfId="608" applyFont="1" applyFill="1" applyBorder="1" applyAlignment="1">
      <alignment horizontal="center"/>
    </xf>
    <xf numFmtId="0" fontId="194" fillId="3" borderId="6" xfId="608" applyFont="1" applyFill="1" applyBorder="1" applyAlignment="1">
      <alignment horizontal="center" vertical="center"/>
    </xf>
    <xf numFmtId="0" fontId="194" fillId="3" borderId="2" xfId="608" applyFont="1" applyFill="1" applyBorder="1" applyAlignment="1">
      <alignment horizontal="center" vertical="center"/>
    </xf>
    <xf numFmtId="0" fontId="194" fillId="3" borderId="2" xfId="608" applyFont="1" applyFill="1" applyBorder="1" applyAlignment="1">
      <alignment horizontal="center" vertical="center" wrapText="1"/>
    </xf>
    <xf numFmtId="0" fontId="185" fillId="5" borderId="6" xfId="597" applyFont="1" applyFill="1" applyBorder="1" applyAlignment="1">
      <alignment horizontal="center" vertical="center"/>
    </xf>
    <xf numFmtId="0" fontId="185" fillId="5" borderId="2" xfId="597" applyFont="1" applyFill="1" applyBorder="1" applyAlignment="1">
      <alignment horizontal="center" vertical="center"/>
    </xf>
    <xf numFmtId="0" fontId="185" fillId="5" borderId="2" xfId="597" applyFont="1" applyFill="1" applyBorder="1" applyAlignment="1">
      <alignment horizontal="center" vertical="center" wrapText="1"/>
    </xf>
    <xf numFmtId="0" fontId="185" fillId="5" borderId="7" xfId="597" applyFont="1" applyFill="1" applyBorder="1" applyAlignment="1">
      <alignment horizontal="center" vertical="center" wrapText="1"/>
    </xf>
    <xf numFmtId="178" fontId="189" fillId="6" borderId="17" xfId="597" applyNumberFormat="1" applyFont="1" applyFill="1" applyBorder="1" applyAlignment="1">
      <alignment horizontal="center" vertical="center"/>
    </xf>
    <xf numFmtId="178" fontId="189" fillId="6" borderId="9" xfId="597" applyNumberFormat="1" applyFont="1" applyFill="1" applyBorder="1" applyAlignment="1">
      <alignment horizontal="center" vertical="center"/>
    </xf>
    <xf numFmtId="0" fontId="194" fillId="3" borderId="7" xfId="600" applyFont="1" applyFill="1" applyBorder="1" applyAlignment="1">
      <alignment horizontal="center" vertical="center" wrapText="1"/>
    </xf>
    <xf numFmtId="0" fontId="194" fillId="3" borderId="11" xfId="600" applyFont="1" applyFill="1" applyBorder="1" applyAlignment="1">
      <alignment horizontal="center" vertical="center"/>
    </xf>
    <xf numFmtId="0" fontId="194" fillId="3" borderId="14" xfId="600" applyFont="1" applyFill="1" applyBorder="1" applyAlignment="1">
      <alignment horizontal="center" vertical="center"/>
    </xf>
    <xf numFmtId="0" fontId="194" fillId="3" borderId="15" xfId="600" applyFont="1" applyFill="1" applyBorder="1" applyAlignment="1">
      <alignment horizontal="center" vertical="center"/>
    </xf>
    <xf numFmtId="178" fontId="185" fillId="2" borderId="6" xfId="598" applyNumberFormat="1" applyFont="1" applyFill="1" applyBorder="1" applyAlignment="1">
      <alignment horizontal="center" vertical="center"/>
    </xf>
    <xf numFmtId="178" fontId="185" fillId="2" borderId="2" xfId="598" applyNumberFormat="1" applyFont="1" applyFill="1" applyBorder="1" applyAlignment="1">
      <alignment horizontal="center" vertical="center"/>
    </xf>
    <xf numFmtId="179" fontId="185" fillId="2" borderId="2" xfId="597" applyNumberFormat="1" applyFont="1" applyFill="1" applyBorder="1" applyAlignment="1">
      <alignment horizontal="center" vertical="center"/>
    </xf>
    <xf numFmtId="0" fontId="194" fillId="3" borderId="1" xfId="600" applyFont="1" applyFill="1" applyBorder="1" applyAlignment="1">
      <alignment horizontal="center" vertical="center"/>
    </xf>
    <xf numFmtId="0" fontId="194" fillId="3" borderId="16" xfId="600" applyFont="1" applyFill="1" applyBorder="1" applyAlignment="1">
      <alignment horizontal="center" vertical="center"/>
    </xf>
    <xf numFmtId="0" fontId="194" fillId="3" borderId="1" xfId="600" applyFont="1" applyFill="1" applyBorder="1" applyAlignment="1">
      <alignment horizontal="center" vertical="center" wrapText="1"/>
    </xf>
    <xf numFmtId="0" fontId="194" fillId="3" borderId="16" xfId="600" applyFont="1" applyFill="1" applyBorder="1" applyAlignment="1">
      <alignment horizontal="center" vertical="center" wrapText="1"/>
    </xf>
    <xf numFmtId="0" fontId="195" fillId="8" borderId="2" xfId="600" applyFont="1" applyFill="1" applyBorder="1" applyAlignment="1">
      <alignment horizontal="center"/>
    </xf>
    <xf numFmtId="0" fontId="195" fillId="9" borderId="12" xfId="600" applyFont="1" applyFill="1" applyBorder="1" applyAlignment="1">
      <alignment horizontal="center"/>
    </xf>
    <xf numFmtId="0" fontId="195" fillId="9" borderId="13" xfId="600" applyFont="1" applyFill="1" applyBorder="1" applyAlignment="1">
      <alignment horizontal="center"/>
    </xf>
    <xf numFmtId="0" fontId="195" fillId="9" borderId="2" xfId="600" applyFont="1" applyFill="1" applyBorder="1" applyAlignment="1">
      <alignment horizontal="center"/>
    </xf>
    <xf numFmtId="0" fontId="195" fillId="9" borderId="18" xfId="600" applyFont="1" applyFill="1" applyBorder="1" applyAlignment="1">
      <alignment horizontal="center"/>
    </xf>
    <xf numFmtId="0" fontId="194" fillId="3" borderId="6" xfId="600" applyFont="1" applyFill="1" applyBorder="1" applyAlignment="1">
      <alignment horizontal="center" vertical="center"/>
    </xf>
    <xf numFmtId="0" fontId="194" fillId="3" borderId="2" xfId="600" applyFont="1" applyFill="1" applyBorder="1" applyAlignment="1">
      <alignment horizontal="center" vertical="center"/>
    </xf>
    <xf numFmtId="0" fontId="194" fillId="3" borderId="2" xfId="600" applyFont="1" applyFill="1" applyBorder="1" applyAlignment="1">
      <alignment horizontal="center" vertical="center" wrapText="1"/>
    </xf>
    <xf numFmtId="0" fontId="194" fillId="3" borderId="6" xfId="596" applyFont="1" applyFill="1" applyBorder="1" applyAlignment="1">
      <alignment horizontal="center" vertical="center"/>
    </xf>
    <xf numFmtId="0" fontId="194" fillId="3" borderId="2" xfId="596" applyFont="1" applyFill="1" applyBorder="1" applyAlignment="1">
      <alignment horizontal="center" vertical="center"/>
    </xf>
    <xf numFmtId="0" fontId="194" fillId="3" borderId="2" xfId="596" applyFont="1" applyFill="1" applyBorder="1" applyAlignment="1">
      <alignment horizontal="center" vertical="center" wrapText="1"/>
    </xf>
    <xf numFmtId="0" fontId="194" fillId="3" borderId="7" xfId="596" applyFont="1" applyFill="1" applyBorder="1" applyAlignment="1">
      <alignment horizontal="center" vertical="center" wrapText="1"/>
    </xf>
    <xf numFmtId="0" fontId="194" fillId="3" borderId="11" xfId="596" applyFont="1" applyFill="1" applyBorder="1" applyAlignment="1">
      <alignment horizontal="center" vertical="center"/>
    </xf>
    <xf numFmtId="0" fontId="194" fillId="3" borderId="14" xfId="596" applyFont="1" applyFill="1" applyBorder="1" applyAlignment="1">
      <alignment horizontal="center" vertical="center"/>
    </xf>
    <xf numFmtId="0" fontId="194" fillId="3" borderId="15" xfId="596" applyFont="1" applyFill="1" applyBorder="1" applyAlignment="1">
      <alignment horizontal="center" vertical="center"/>
    </xf>
    <xf numFmtId="0" fontId="194" fillId="3" borderId="1" xfId="596" applyFont="1" applyFill="1" applyBorder="1" applyAlignment="1">
      <alignment horizontal="center" vertical="center"/>
    </xf>
    <xf numFmtId="0" fontId="194" fillId="3" borderId="16" xfId="596" applyFont="1" applyFill="1" applyBorder="1" applyAlignment="1">
      <alignment horizontal="center" vertical="center"/>
    </xf>
    <xf numFmtId="0" fontId="194" fillId="3" borderId="1" xfId="596" applyFont="1" applyFill="1" applyBorder="1" applyAlignment="1">
      <alignment horizontal="center" vertical="center" wrapText="1"/>
    </xf>
    <xf numFmtId="0" fontId="194" fillId="3" borderId="16" xfId="596" applyFont="1" applyFill="1" applyBorder="1" applyAlignment="1">
      <alignment horizontal="center" vertical="center" wrapText="1"/>
    </xf>
    <xf numFmtId="0" fontId="195" fillId="8" borderId="2" xfId="596" applyFont="1" applyFill="1" applyBorder="1" applyAlignment="1">
      <alignment horizontal="center"/>
    </xf>
    <xf numFmtId="0" fontId="195" fillId="9" borderId="12" xfId="596" applyFont="1" applyFill="1" applyBorder="1" applyAlignment="1">
      <alignment horizontal="center"/>
    </xf>
    <xf numFmtId="0" fontId="195" fillId="9" borderId="18" xfId="596" applyFont="1" applyFill="1" applyBorder="1" applyAlignment="1">
      <alignment horizontal="center"/>
    </xf>
    <xf numFmtId="0" fontId="195" fillId="9" borderId="13" xfId="596" applyFont="1" applyFill="1" applyBorder="1" applyAlignment="1">
      <alignment horizontal="center"/>
    </xf>
    <xf numFmtId="0" fontId="195" fillId="9" borderId="2" xfId="596" applyFont="1" applyFill="1" applyBorder="1" applyAlignment="1">
      <alignment horizontal="center"/>
    </xf>
    <xf numFmtId="178" fontId="189" fillId="6" borderId="17" xfId="593" applyNumberFormat="1" applyFont="1" applyFill="1" applyBorder="1" applyAlignment="1">
      <alignment horizontal="center" vertical="center"/>
    </xf>
    <xf numFmtId="178" fontId="189" fillId="6" borderId="9" xfId="593" applyNumberFormat="1" applyFont="1" applyFill="1" applyBorder="1" applyAlignment="1">
      <alignment horizontal="center" vertical="center"/>
    </xf>
    <xf numFmtId="178" fontId="185" fillId="2" borderId="6" xfId="594" applyNumberFormat="1" applyFont="1" applyFill="1" applyBorder="1" applyAlignment="1">
      <alignment horizontal="center" vertical="center"/>
    </xf>
    <xf numFmtId="178" fontId="185" fillId="2" borderId="2" xfId="594" applyNumberFormat="1" applyFont="1" applyFill="1" applyBorder="1" applyAlignment="1">
      <alignment horizontal="center" vertical="center"/>
    </xf>
    <xf numFmtId="179" fontId="185" fillId="2" borderId="2" xfId="593" applyNumberFormat="1" applyFont="1" applyFill="1" applyBorder="1" applyAlignment="1">
      <alignment horizontal="center" vertical="center"/>
    </xf>
    <xf numFmtId="0" fontId="185" fillId="5" borderId="6" xfId="593" applyFont="1" applyFill="1" applyBorder="1" applyAlignment="1">
      <alignment horizontal="center" vertical="center"/>
    </xf>
    <xf numFmtId="0" fontId="185" fillId="5" borderId="2" xfId="593" applyFont="1" applyFill="1" applyBorder="1" applyAlignment="1">
      <alignment horizontal="center" vertical="center"/>
    </xf>
    <xf numFmtId="0" fontId="185" fillId="5" borderId="2" xfId="593" applyFont="1" applyFill="1" applyBorder="1" applyAlignment="1">
      <alignment horizontal="center" vertical="center" wrapText="1"/>
    </xf>
    <xf numFmtId="0" fontId="185" fillId="5" borderId="7" xfId="593" applyFont="1" applyFill="1" applyBorder="1" applyAlignment="1">
      <alignment horizontal="center" vertical="center" wrapText="1"/>
    </xf>
    <xf numFmtId="0" fontId="194" fillId="3" borderId="6" xfId="576" applyFont="1" applyFill="1" applyBorder="1" applyAlignment="1">
      <alignment horizontal="center" vertical="center"/>
    </xf>
    <xf numFmtId="0" fontId="194" fillId="3" borderId="2" xfId="576" applyFont="1" applyFill="1" applyBorder="1" applyAlignment="1">
      <alignment horizontal="center" vertical="center"/>
    </xf>
    <xf numFmtId="0" fontId="194" fillId="3" borderId="2" xfId="576" applyFont="1" applyFill="1" applyBorder="1" applyAlignment="1">
      <alignment horizontal="center" vertical="center" wrapText="1"/>
    </xf>
    <xf numFmtId="0" fontId="194" fillId="3" borderId="7" xfId="576" applyFont="1" applyFill="1" applyBorder="1" applyAlignment="1">
      <alignment horizontal="center" vertical="center" wrapText="1"/>
    </xf>
    <xf numFmtId="0" fontId="194" fillId="3" borderId="11" xfId="576" applyFont="1" applyFill="1" applyBorder="1" applyAlignment="1">
      <alignment horizontal="center" vertical="center"/>
    </xf>
    <xf numFmtId="0" fontId="194" fillId="3" borderId="14" xfId="576" applyFont="1" applyFill="1" applyBorder="1" applyAlignment="1">
      <alignment horizontal="center" vertical="center"/>
    </xf>
    <xf numFmtId="0" fontId="194" fillId="3" borderId="15" xfId="576" applyFont="1" applyFill="1" applyBorder="1" applyAlignment="1">
      <alignment horizontal="center" vertical="center"/>
    </xf>
    <xf numFmtId="0" fontId="194" fillId="3" borderId="1" xfId="576" applyFont="1" applyFill="1" applyBorder="1" applyAlignment="1">
      <alignment horizontal="center" vertical="center"/>
    </xf>
    <xf numFmtId="0" fontId="194" fillId="3" borderId="16" xfId="576" applyFont="1" applyFill="1" applyBorder="1" applyAlignment="1">
      <alignment horizontal="center" vertical="center"/>
    </xf>
    <xf numFmtId="0" fontId="194" fillId="3" borderId="1" xfId="576" applyFont="1" applyFill="1" applyBorder="1" applyAlignment="1">
      <alignment horizontal="center" vertical="center" wrapText="1"/>
    </xf>
    <xf numFmtId="0" fontId="194" fillId="3" borderId="16" xfId="576" applyFont="1" applyFill="1" applyBorder="1" applyAlignment="1">
      <alignment horizontal="center" vertical="center" wrapText="1"/>
    </xf>
    <xf numFmtId="0" fontId="195" fillId="8" borderId="2" xfId="576" applyFont="1" applyFill="1" applyBorder="1" applyAlignment="1">
      <alignment horizontal="center"/>
    </xf>
    <xf numFmtId="0" fontId="195" fillId="9" borderId="12" xfId="576" applyFont="1" applyFill="1" applyBorder="1" applyAlignment="1">
      <alignment horizontal="center"/>
    </xf>
    <xf numFmtId="0" fontId="195" fillId="9" borderId="18" xfId="576" applyFont="1" applyFill="1" applyBorder="1" applyAlignment="1">
      <alignment horizontal="center"/>
    </xf>
    <xf numFmtId="0" fontId="195" fillId="9" borderId="13" xfId="576" applyFont="1" applyFill="1" applyBorder="1" applyAlignment="1">
      <alignment horizontal="center"/>
    </xf>
    <xf numFmtId="0" fontId="195" fillId="9" borderId="2" xfId="576" applyFont="1" applyFill="1" applyBorder="1" applyAlignment="1">
      <alignment horizontal="center"/>
    </xf>
    <xf numFmtId="178" fontId="189" fillId="6" borderId="17" xfId="573" applyNumberFormat="1" applyFont="1" applyFill="1" applyBorder="1" applyAlignment="1">
      <alignment horizontal="center" vertical="center"/>
    </xf>
    <xf numFmtId="178" fontId="189" fillId="6" borderId="9" xfId="573" applyNumberFormat="1" applyFont="1" applyFill="1" applyBorder="1" applyAlignment="1">
      <alignment horizontal="center" vertical="center"/>
    </xf>
    <xf numFmtId="178" fontId="185" fillId="2" borderId="6" xfId="574" applyNumberFormat="1" applyFont="1" applyFill="1" applyBorder="1" applyAlignment="1">
      <alignment horizontal="center" vertical="center"/>
    </xf>
    <xf numFmtId="178" fontId="185" fillId="2" borderId="2" xfId="574" applyNumberFormat="1" applyFont="1" applyFill="1" applyBorder="1" applyAlignment="1">
      <alignment horizontal="center" vertical="center"/>
    </xf>
    <xf numFmtId="179" fontId="185" fillId="2" borderId="2" xfId="573" applyNumberFormat="1" applyFont="1" applyFill="1" applyBorder="1" applyAlignment="1">
      <alignment horizontal="center" vertical="center"/>
    </xf>
    <xf numFmtId="0" fontId="185" fillId="5" borderId="6" xfId="573" applyFont="1" applyFill="1" applyBorder="1" applyAlignment="1">
      <alignment horizontal="center" vertical="center"/>
    </xf>
    <xf numFmtId="0" fontId="185" fillId="5" borderId="2" xfId="573" applyFont="1" applyFill="1" applyBorder="1" applyAlignment="1">
      <alignment horizontal="center" vertical="center"/>
    </xf>
    <xf numFmtId="0" fontId="185" fillId="5" borderId="2" xfId="573" applyFont="1" applyFill="1" applyBorder="1" applyAlignment="1">
      <alignment horizontal="center" vertical="center" wrapText="1"/>
    </xf>
    <xf numFmtId="0" fontId="185" fillId="5" borderId="7" xfId="573" applyFont="1" applyFill="1" applyBorder="1" applyAlignment="1">
      <alignment horizontal="center" vertical="center" wrapText="1"/>
    </xf>
    <xf numFmtId="0" fontId="185" fillId="5" borderId="6" xfId="569" applyFont="1" applyFill="1" applyBorder="1" applyAlignment="1">
      <alignment horizontal="center" vertical="center"/>
    </xf>
    <xf numFmtId="0" fontId="185" fillId="5" borderId="2" xfId="569" applyFont="1" applyFill="1" applyBorder="1" applyAlignment="1">
      <alignment horizontal="center" vertical="center"/>
    </xf>
    <xf numFmtId="0" fontId="185" fillId="5" borderId="2" xfId="569" applyFont="1" applyFill="1" applyBorder="1" applyAlignment="1">
      <alignment horizontal="center" vertical="center" wrapText="1"/>
    </xf>
    <xf numFmtId="0" fontId="185" fillId="5" borderId="7" xfId="569" applyFont="1" applyFill="1" applyBorder="1" applyAlignment="1">
      <alignment horizontal="center" vertical="center" wrapText="1"/>
    </xf>
    <xf numFmtId="178" fontId="189" fillId="6" borderId="17" xfId="569" applyNumberFormat="1" applyFont="1" applyFill="1" applyBorder="1" applyAlignment="1">
      <alignment horizontal="center" vertical="center"/>
    </xf>
    <xf numFmtId="178" fontId="189" fillId="6" borderId="9" xfId="569" applyNumberFormat="1" applyFont="1" applyFill="1" applyBorder="1" applyAlignment="1">
      <alignment horizontal="center" vertical="center"/>
    </xf>
    <xf numFmtId="0" fontId="194" fillId="3" borderId="7" xfId="572" applyFont="1" applyFill="1" applyBorder="1" applyAlignment="1">
      <alignment horizontal="center" vertical="center" wrapText="1"/>
    </xf>
    <xf numFmtId="0" fontId="194" fillId="3" borderId="11" xfId="572" applyFont="1" applyFill="1" applyBorder="1" applyAlignment="1">
      <alignment horizontal="center" vertical="center"/>
    </xf>
    <xf numFmtId="0" fontId="194" fillId="3" borderId="14" xfId="572" applyFont="1" applyFill="1" applyBorder="1" applyAlignment="1">
      <alignment horizontal="center" vertical="center"/>
    </xf>
    <xf numFmtId="0" fontId="194" fillId="3" borderId="15" xfId="572" applyFont="1" applyFill="1" applyBorder="1" applyAlignment="1">
      <alignment horizontal="center" vertical="center"/>
    </xf>
    <xf numFmtId="178" fontId="185" fillId="2" borderId="6" xfId="570" applyNumberFormat="1" applyFont="1" applyFill="1" applyBorder="1" applyAlignment="1">
      <alignment horizontal="center" vertical="center"/>
    </xf>
    <xf numFmtId="178" fontId="185" fillId="2" borderId="2" xfId="570" applyNumberFormat="1" applyFont="1" applyFill="1" applyBorder="1" applyAlignment="1">
      <alignment horizontal="center" vertical="center"/>
    </xf>
    <xf numFmtId="179" fontId="185" fillId="2" borderId="2" xfId="569" applyNumberFormat="1" applyFont="1" applyFill="1" applyBorder="1" applyAlignment="1">
      <alignment horizontal="center" vertical="center"/>
    </xf>
    <xf numFmtId="0" fontId="194" fillId="3" borderId="1" xfId="572" applyFont="1" applyFill="1" applyBorder="1" applyAlignment="1">
      <alignment horizontal="center" vertical="center"/>
    </xf>
    <xf numFmtId="0" fontId="194" fillId="3" borderId="16" xfId="572" applyFont="1" applyFill="1" applyBorder="1" applyAlignment="1">
      <alignment horizontal="center" vertical="center"/>
    </xf>
    <xf numFmtId="0" fontId="194" fillId="3" borderId="1" xfId="572" applyFont="1" applyFill="1" applyBorder="1" applyAlignment="1">
      <alignment horizontal="center" vertical="center" wrapText="1"/>
    </xf>
    <xf numFmtId="0" fontId="194" fillId="3" borderId="16" xfId="572" applyFont="1" applyFill="1" applyBorder="1" applyAlignment="1">
      <alignment horizontal="center" vertical="center" wrapText="1"/>
    </xf>
    <xf numFmtId="0" fontId="195" fillId="8" borderId="2" xfId="572" applyFont="1" applyFill="1" applyBorder="1" applyAlignment="1">
      <alignment horizontal="center"/>
    </xf>
    <xf numFmtId="0" fontId="195" fillId="9" borderId="12" xfId="572" applyFont="1" applyFill="1" applyBorder="1" applyAlignment="1">
      <alignment horizontal="center"/>
    </xf>
    <xf numFmtId="0" fontId="195" fillId="9" borderId="13" xfId="572" applyFont="1" applyFill="1" applyBorder="1" applyAlignment="1">
      <alignment horizontal="center"/>
    </xf>
    <xf numFmtId="0" fontId="195" fillId="9" borderId="2" xfId="572" applyFont="1" applyFill="1" applyBorder="1" applyAlignment="1">
      <alignment horizontal="center"/>
    </xf>
    <xf numFmtId="0" fontId="195" fillId="9" borderId="18" xfId="572" applyFont="1" applyFill="1" applyBorder="1" applyAlignment="1">
      <alignment horizontal="center"/>
    </xf>
    <xf numFmtId="0" fontId="194" fillId="3" borderId="6" xfId="572" applyFont="1" applyFill="1" applyBorder="1" applyAlignment="1">
      <alignment horizontal="center" vertical="center"/>
    </xf>
    <xf numFmtId="0" fontId="194" fillId="3" borderId="2" xfId="572" applyFont="1" applyFill="1" applyBorder="1" applyAlignment="1">
      <alignment horizontal="center" vertical="center"/>
    </xf>
    <xf numFmtId="0" fontId="194" fillId="3" borderId="2" xfId="572" applyFont="1" applyFill="1" applyBorder="1" applyAlignment="1">
      <alignment horizontal="center" vertical="center" wrapText="1"/>
    </xf>
    <xf numFmtId="0" fontId="185" fillId="5" borderId="6" xfId="549" applyFont="1" applyFill="1" applyBorder="1" applyAlignment="1">
      <alignment horizontal="center" vertical="center"/>
    </xf>
    <xf numFmtId="0" fontId="185" fillId="5" borderId="2" xfId="549" applyFont="1" applyFill="1" applyBorder="1" applyAlignment="1">
      <alignment horizontal="center" vertical="center"/>
    </xf>
    <xf numFmtId="0" fontId="185" fillId="5" borderId="2" xfId="549" applyFont="1" applyFill="1" applyBorder="1" applyAlignment="1">
      <alignment horizontal="center" vertical="center" wrapText="1"/>
    </xf>
    <xf numFmtId="0" fontId="185" fillId="5" borderId="7" xfId="549" applyFont="1" applyFill="1" applyBorder="1" applyAlignment="1">
      <alignment horizontal="center" vertical="center" wrapText="1"/>
    </xf>
    <xf numFmtId="178" fontId="189" fillId="6" borderId="17" xfId="549" applyNumberFormat="1" applyFont="1" applyFill="1" applyBorder="1" applyAlignment="1">
      <alignment horizontal="center" vertical="center"/>
    </xf>
    <xf numFmtId="178" fontId="189" fillId="6" borderId="9" xfId="549" applyNumberFormat="1" applyFont="1" applyFill="1" applyBorder="1" applyAlignment="1">
      <alignment horizontal="center" vertical="center"/>
    </xf>
    <xf numFmtId="0" fontId="194" fillId="3" borderId="7" xfId="552" applyFont="1" applyFill="1" applyBorder="1" applyAlignment="1">
      <alignment horizontal="center" vertical="center" wrapText="1"/>
    </xf>
    <xf numFmtId="0" fontId="194" fillId="3" borderId="11" xfId="552" applyFont="1" applyFill="1" applyBorder="1" applyAlignment="1">
      <alignment horizontal="center" vertical="center"/>
    </xf>
    <xf numFmtId="0" fontId="194" fillId="3" borderId="14" xfId="552" applyFont="1" applyFill="1" applyBorder="1" applyAlignment="1">
      <alignment horizontal="center" vertical="center"/>
    </xf>
    <xf numFmtId="0" fontId="194" fillId="3" borderId="15" xfId="552" applyFont="1" applyFill="1" applyBorder="1" applyAlignment="1">
      <alignment horizontal="center" vertical="center"/>
    </xf>
    <xf numFmtId="178" fontId="185" fillId="2" borderId="6" xfId="550" applyNumberFormat="1" applyFont="1" applyFill="1" applyBorder="1" applyAlignment="1">
      <alignment horizontal="center" vertical="center"/>
    </xf>
    <xf numFmtId="178" fontId="185" fillId="2" borderId="2" xfId="550" applyNumberFormat="1" applyFont="1" applyFill="1" applyBorder="1" applyAlignment="1">
      <alignment horizontal="center" vertical="center"/>
    </xf>
    <xf numFmtId="179" fontId="185" fillId="2" borderId="2" xfId="549" applyNumberFormat="1" applyFont="1" applyFill="1" applyBorder="1" applyAlignment="1">
      <alignment horizontal="center" vertical="center"/>
    </xf>
    <xf numFmtId="0" fontId="194" fillId="3" borderId="1" xfId="552" applyFont="1" applyFill="1" applyBorder="1" applyAlignment="1">
      <alignment horizontal="center" vertical="center"/>
    </xf>
    <xf numFmtId="0" fontId="194" fillId="3" borderId="16" xfId="552" applyFont="1" applyFill="1" applyBorder="1" applyAlignment="1">
      <alignment horizontal="center" vertical="center"/>
    </xf>
    <xf numFmtId="0" fontId="194" fillId="3" borderId="1" xfId="552" applyFont="1" applyFill="1" applyBorder="1" applyAlignment="1">
      <alignment horizontal="center" vertical="center" wrapText="1"/>
    </xf>
    <xf numFmtId="0" fontId="194" fillId="3" borderId="16" xfId="552" applyFont="1" applyFill="1" applyBorder="1" applyAlignment="1">
      <alignment horizontal="center" vertical="center" wrapText="1"/>
    </xf>
    <xf numFmtId="0" fontId="195" fillId="8" borderId="2" xfId="552" applyFont="1" applyFill="1" applyBorder="1" applyAlignment="1">
      <alignment horizontal="center"/>
    </xf>
    <xf numFmtId="0" fontId="195" fillId="9" borderId="12" xfId="552" applyFont="1" applyFill="1" applyBorder="1" applyAlignment="1">
      <alignment horizontal="center"/>
    </xf>
    <xf numFmtId="0" fontId="195" fillId="9" borderId="13" xfId="552" applyFont="1" applyFill="1" applyBorder="1" applyAlignment="1">
      <alignment horizontal="center"/>
    </xf>
    <xf numFmtId="0" fontId="195" fillId="9" borderId="2" xfId="552" applyFont="1" applyFill="1" applyBorder="1" applyAlignment="1">
      <alignment horizontal="center"/>
    </xf>
    <xf numFmtId="0" fontId="195" fillId="9" borderId="18" xfId="552" applyFont="1" applyFill="1" applyBorder="1" applyAlignment="1">
      <alignment horizontal="center"/>
    </xf>
    <xf numFmtId="0" fontId="194" fillId="3" borderId="6" xfId="552" applyFont="1" applyFill="1" applyBorder="1" applyAlignment="1">
      <alignment horizontal="center" vertical="center"/>
    </xf>
    <xf numFmtId="0" fontId="194" fillId="3" borderId="2" xfId="552" applyFont="1" applyFill="1" applyBorder="1" applyAlignment="1">
      <alignment horizontal="center" vertical="center"/>
    </xf>
    <xf numFmtId="0" fontId="194" fillId="3" borderId="2" xfId="552" applyFont="1" applyFill="1" applyBorder="1" applyAlignment="1">
      <alignment horizontal="center" vertical="center" wrapText="1"/>
    </xf>
  </cellXfs>
  <cellStyles count="709">
    <cellStyle name="一般" xfId="0" builtinId="0"/>
    <cellStyle name="一般 2" xfId="3"/>
    <cellStyle name="一般 2 2" xfId="7"/>
    <cellStyle name="一般 2 2 2" xfId="5"/>
    <cellStyle name="一般 2 2 30 2 2 30" xfId="11"/>
    <cellStyle name="一般 2 2 30 2 2 30 2" xfId="12"/>
    <cellStyle name="一般 2 2 30 2 2 30 2 10" xfId="54"/>
    <cellStyle name="一般 2 2 30 2 2 30 2 11" xfId="58"/>
    <cellStyle name="一般 2 2 30 2 2 30 2 12" xfId="62"/>
    <cellStyle name="一般 2 2 30 2 2 30 2 13" xfId="66"/>
    <cellStyle name="一般 2 2 30 2 2 30 2 14" xfId="70"/>
    <cellStyle name="一般 2 2 30 2 2 30 2 15" xfId="74"/>
    <cellStyle name="一般 2 2 30 2 2 30 2 16" xfId="78"/>
    <cellStyle name="一般 2 2 30 2 2 30 2 17" xfId="82"/>
    <cellStyle name="一般 2 2 30 2 2 30 2 18" xfId="86"/>
    <cellStyle name="一般 2 2 30 2 2 30 2 19" xfId="90"/>
    <cellStyle name="一般 2 2 30 2 2 30 2 2" xfId="22"/>
    <cellStyle name="一般 2 2 30 2 2 30 2 20" xfId="94"/>
    <cellStyle name="一般 2 2 30 2 2 30 2 21" xfId="98"/>
    <cellStyle name="一般 2 2 30 2 2 30 2 22" xfId="102"/>
    <cellStyle name="一般 2 2 30 2 2 30 2 23" xfId="106"/>
    <cellStyle name="一般 2 2 30 2 2 30 2 24" xfId="110"/>
    <cellStyle name="一般 2 2 30 2 2 30 2 25" xfId="114"/>
    <cellStyle name="一般 2 2 30 2 2 30 2 26" xfId="118"/>
    <cellStyle name="一般 2 2 30 2 2 30 2 27" xfId="122"/>
    <cellStyle name="一般 2 2 30 2 2 30 2 28" xfId="126"/>
    <cellStyle name="一般 2 2 30 2 2 30 2 29" xfId="130"/>
    <cellStyle name="一般 2 2 30 2 2 30 2 3" xfId="26"/>
    <cellStyle name="一般 2 2 30 2 2 30 2 30" xfId="134"/>
    <cellStyle name="一般 2 2 30 2 2 30 2 31" xfId="138"/>
    <cellStyle name="一般 2 2 30 2 2 30 2 32" xfId="142"/>
    <cellStyle name="一般 2 2 30 2 2 30 2 33" xfId="146"/>
    <cellStyle name="一般 2 2 30 2 2 30 2 34" xfId="150"/>
    <cellStyle name="一般 2 2 30 2 2 30 2 35" xfId="154"/>
    <cellStyle name="一般 2 2 30 2 2 30 2 36" xfId="158"/>
    <cellStyle name="一般 2 2 30 2 2 30 2 37" xfId="162"/>
    <cellStyle name="一般 2 2 30 2 2 30 2 38" xfId="166"/>
    <cellStyle name="一般 2 2 30 2 2 30 2 39" xfId="170"/>
    <cellStyle name="一般 2 2 30 2 2 30 2 4" xfId="30"/>
    <cellStyle name="一般 2 2 30 2 2 30 2 40" xfId="174"/>
    <cellStyle name="一般 2 2 30 2 2 30 2 41" xfId="178"/>
    <cellStyle name="一般 2 2 30 2 2 30 2 42" xfId="182"/>
    <cellStyle name="一般 2 2 30 2 2 30 2 43" xfId="186"/>
    <cellStyle name="一般 2 2 30 2 2 30 2 44" xfId="190"/>
    <cellStyle name="一般 2 2 30 2 2 30 2 45" xfId="194"/>
    <cellStyle name="一般 2 2 30 2 2 30 2 46" xfId="198"/>
    <cellStyle name="一般 2 2 30 2 2 30 2 47" xfId="202"/>
    <cellStyle name="一般 2 2 30 2 2 30 2 48" xfId="206"/>
    <cellStyle name="一般 2 2 30 2 2 30 2 49" xfId="210"/>
    <cellStyle name="一般 2 2 30 2 2 30 2 5" xfId="34"/>
    <cellStyle name="一般 2 2 30 2 2 30 2 50" xfId="214"/>
    <cellStyle name="一般 2 2 30 2 2 30 2 51" xfId="218"/>
    <cellStyle name="一般 2 2 30 2 2 30 2 52" xfId="222"/>
    <cellStyle name="一般 2 2 30 2 2 30 2 53" xfId="226"/>
    <cellStyle name="一般 2 2 30 2 2 30 2 54" xfId="230"/>
    <cellStyle name="一般 2 2 30 2 2 30 2 55" xfId="234"/>
    <cellStyle name="一般 2 2 30 2 2 30 2 56" xfId="238"/>
    <cellStyle name="一般 2 2 30 2 2 30 2 57" xfId="242"/>
    <cellStyle name="一般 2 2 30 2 2 30 2 58" xfId="246"/>
    <cellStyle name="一般 2 2 30 2 2 30 2 59" xfId="250"/>
    <cellStyle name="一般 2 2 30 2 2 30 2 6" xfId="38"/>
    <cellStyle name="一般 2 2 30 2 2 30 2 60" xfId="254"/>
    <cellStyle name="一般 2 2 30 2 2 30 2 61" xfId="258"/>
    <cellStyle name="一般 2 2 30 2 2 30 2 62" xfId="259"/>
    <cellStyle name="一般 2 2 30 2 2 30 2 62 10" xfId="298"/>
    <cellStyle name="一般 2 2 30 2 2 30 2 62 11" xfId="302"/>
    <cellStyle name="一般 2 2 30 2 2 30 2 62 12" xfId="306"/>
    <cellStyle name="一般 2 2 30 2 2 30 2 62 13" xfId="310"/>
    <cellStyle name="一般 2 2 30 2 2 30 2 62 14" xfId="314"/>
    <cellStyle name="一般 2 2 30 2 2 30 2 62 15" xfId="318"/>
    <cellStyle name="一般 2 2 30 2 2 30 2 62 16" xfId="322"/>
    <cellStyle name="一般 2 2 30 2 2 30 2 62 17" xfId="326"/>
    <cellStyle name="一般 2 2 30 2 2 30 2 62 18" xfId="330"/>
    <cellStyle name="一般 2 2 30 2 2 30 2 62 19" xfId="334"/>
    <cellStyle name="一般 2 2 30 2 2 30 2 62 2" xfId="266"/>
    <cellStyle name="一般 2 2 30 2 2 30 2 62 2 10" xfId="376"/>
    <cellStyle name="一般 2 2 30 2 2 30 2 62 2 11" xfId="380"/>
    <cellStyle name="一般 2 2 30 2 2 30 2 62 2 12" xfId="384"/>
    <cellStyle name="一般 2 2 30 2 2 30 2 62 2 13" xfId="388"/>
    <cellStyle name="一般 2 2 30 2 2 30 2 62 2 14" xfId="392"/>
    <cellStyle name="一般 2 2 30 2 2 30 2 62 2 15" xfId="396"/>
    <cellStyle name="一般 2 2 30 2 2 30 2 62 2 16" xfId="400"/>
    <cellStyle name="一般 2 2 30 2 2 30 2 62 2 17" xfId="404"/>
    <cellStyle name="一般 2 2 30 2 2 30 2 62 2 18" xfId="408"/>
    <cellStyle name="一般 2 2 30 2 2 30 2 62 2 19" xfId="412"/>
    <cellStyle name="一般 2 2 30 2 2 30 2 62 2 2" xfId="342"/>
    <cellStyle name="一般 2 2 30 2 2 30 2 62 2 20" xfId="416"/>
    <cellStyle name="一般 2 2 30 2 2 30 2 62 2 21" xfId="420"/>
    <cellStyle name="一般 2 2 30 2 2 30 2 62 2 22" xfId="424"/>
    <cellStyle name="一般 2 2 30 2 2 30 2 62 2 22 2" xfId="428"/>
    <cellStyle name="一般 2 2 30 2 2 30 2 62 2 22 3" xfId="432"/>
    <cellStyle name="一般 2 2 30 2 2 30 2 62 2 22 4" xfId="436"/>
    <cellStyle name="一般 2 2 30 2 2 30 2 62 2 22 5" xfId="437"/>
    <cellStyle name="一般 2 2 30 2 2 30 2 62 2 23" xfId="444"/>
    <cellStyle name="一般 2 2 30 2 2 30 2 62 2 24" xfId="448"/>
    <cellStyle name="一般 2 2 30 2 2 30 2 62 2 25" xfId="452"/>
    <cellStyle name="一般 2 2 30 2 2 30 2 62 2 26" xfId="456"/>
    <cellStyle name="一般 2 2 30 2 2 30 2 62 2 27" xfId="460"/>
    <cellStyle name="一般 2 2 30 2 2 30 2 62 2 28" xfId="461"/>
    <cellStyle name="一般 2 2 30 2 2 30 2 62 2 28 2" xfId="468"/>
    <cellStyle name="一般 2 2 30 2 2 30 2 62 2 28 3" xfId="472"/>
    <cellStyle name="一般 2 2 30 2 2 30 2 62 2 28 4" xfId="476"/>
    <cellStyle name="一般 2 2 30 2 2 30 2 62 2 29" xfId="480"/>
    <cellStyle name="一般 2 2 30 2 2 30 2 62 2 3" xfId="346"/>
    <cellStyle name="一般 2 2 30 2 2 30 2 62 2 30" xfId="484"/>
    <cellStyle name="一般 2 2 30 2 2 30 2 62 2 31" xfId="488"/>
    <cellStyle name="一般 2 2 30 2 2 30 2 62 2 32" xfId="492"/>
    <cellStyle name="一般 2 2 30 2 2 30 2 62 2 33" xfId="496"/>
    <cellStyle name="一般 2 2 30 2 2 30 2 62 2 34" xfId="497"/>
    <cellStyle name="一般 2 2 30 2 2 30 2 62 2 35" xfId="504"/>
    <cellStyle name="一般 2 2 30 2 2 30 2 62 2 36" xfId="508"/>
    <cellStyle name="一般 2 2 30 2 2 30 2 62 2 37" xfId="512"/>
    <cellStyle name="一般 2 2 30 2 2 30 2 62 2 38" xfId="513"/>
    <cellStyle name="一般 2 2 30 2 2 30 2 62 2 39" xfId="520"/>
    <cellStyle name="一般 2 2 30 2 2 30 2 62 2 4" xfId="350"/>
    <cellStyle name="一般 2 2 30 2 2 30 2 62 2 40" xfId="524"/>
    <cellStyle name="一般 2 2 30 2 2 30 2 62 2 41" xfId="528"/>
    <cellStyle name="一般 2 2 30 2 2 30 2 62 2 42" xfId="532"/>
    <cellStyle name="一般 2 2 30 2 2 30 2 62 2 43" xfId="536"/>
    <cellStyle name="一般 2 2 30 2 2 30 2 62 2 44" xfId="540"/>
    <cellStyle name="一般 2 2 30 2 2 30 2 62 2 45" xfId="544"/>
    <cellStyle name="一般 2 2 30 2 2 30 2 62 2 46" xfId="548"/>
    <cellStyle name="一般 2 2 30 2 2 30 2 62 2 47" xfId="552"/>
    <cellStyle name="一般 2 2 30 2 2 30 2 62 2 48" xfId="556"/>
    <cellStyle name="一般 2 2 30 2 2 30 2 62 2 49" xfId="560"/>
    <cellStyle name="一般 2 2 30 2 2 30 2 62 2 5" xfId="354"/>
    <cellStyle name="一般 2 2 30 2 2 30 2 62 2 50" xfId="564"/>
    <cellStyle name="一般 2 2 30 2 2 30 2 62 2 51" xfId="568"/>
    <cellStyle name="一般 2 2 30 2 2 30 2 62 2 52" xfId="572"/>
    <cellStyle name="一般 2 2 30 2 2 30 2 62 2 53" xfId="576"/>
    <cellStyle name="一般 2 2 30 2 2 30 2 62 2 54" xfId="580"/>
    <cellStyle name="一般 2 2 30 2 2 30 2 62 2 55" xfId="584"/>
    <cellStyle name="一般 2 2 30 2 2 30 2 62 2 56" xfId="585"/>
    <cellStyle name="一般 2 2 30 2 2 30 2 62 2 56 10" xfId="636"/>
    <cellStyle name="一般 2 2 30 2 2 30 2 62 2 56 11" xfId="640"/>
    <cellStyle name="一般 2 2 30 2 2 30 2 62 2 56 12" xfId="644"/>
    <cellStyle name="一般 2 2 30 2 2 30 2 62 2 56 13" xfId="648"/>
    <cellStyle name="一般 2 2 30 2 2 30 2 62 2 56 14" xfId="652"/>
    <cellStyle name="一般 2 2 30 2 2 30 2 62 2 56 15" xfId="656"/>
    <cellStyle name="一般 2 2 30 2 2 30 2 62 2 56 16" xfId="660"/>
    <cellStyle name="一般 2 2 30 2 2 30 2 62 2 56 17" xfId="664"/>
    <cellStyle name="一般 2 2 30 2 2 30 2 62 2 56 18" xfId="668"/>
    <cellStyle name="一般 2 2 30 2 2 30 2 62 2 56 19" xfId="672"/>
    <cellStyle name="一般 2 2 30 2 2 30 2 62 2 56 2" xfId="604"/>
    <cellStyle name="一般 2 2 30 2 2 30 2 62 2 56 20" xfId="676"/>
    <cellStyle name="一般 2 2 30 2 2 30 2 62 2 56 21" xfId="680"/>
    <cellStyle name="一般 2 2 30 2 2 30 2 62 2 56 22" xfId="684"/>
    <cellStyle name="一般 2 2 30 2 2 30 2 62 2 56 23" xfId="688"/>
    <cellStyle name="一般 2 2 30 2 2 30 2 62 2 56 24" xfId="692"/>
    <cellStyle name="一般 2 2 30 2 2 30 2 62 2 56 25" xfId="696"/>
    <cellStyle name="一般 2 2 30 2 2 30 2 62 2 56 26" xfId="700"/>
    <cellStyle name="一般 2 2 30 2 2 30 2 62 2 56 27" xfId="704"/>
    <cellStyle name="一般 2 2 30 2 2 30 2 62 2 56 28" xfId="708"/>
    <cellStyle name="一般 2 2 30 2 2 30 2 62 2 56 3" xfId="608"/>
    <cellStyle name="一般 2 2 30 2 2 30 2 62 2 56 4" xfId="612"/>
    <cellStyle name="一般 2 2 30 2 2 30 2 62 2 56 5" xfId="616"/>
    <cellStyle name="一般 2 2 30 2 2 30 2 62 2 56 6" xfId="620"/>
    <cellStyle name="一般 2 2 30 2 2 30 2 62 2 56 7" xfId="624"/>
    <cellStyle name="一般 2 2 30 2 2 30 2 62 2 56 8" xfId="628"/>
    <cellStyle name="一般 2 2 30 2 2 30 2 62 2 56 9" xfId="632"/>
    <cellStyle name="一般 2 2 30 2 2 30 2 62 2 57" xfId="592"/>
    <cellStyle name="一般 2 2 30 2 2 30 2 62 2 58" xfId="596"/>
    <cellStyle name="一般 2 2 30 2 2 30 2 62 2 59" xfId="600"/>
    <cellStyle name="一般 2 2 30 2 2 30 2 62 2 6" xfId="358"/>
    <cellStyle name="一般 2 2 30 2 2 30 2 62 2 7" xfId="362"/>
    <cellStyle name="一般 2 2 30 2 2 30 2 62 2 8" xfId="366"/>
    <cellStyle name="一般 2 2 30 2 2 30 2 62 2 9" xfId="370"/>
    <cellStyle name="一般 2 2 30 2 2 30 2 62 20" xfId="338"/>
    <cellStyle name="一般 2 2 30 2 2 30 2 62 3" xfId="270"/>
    <cellStyle name="一般 2 2 30 2 2 30 2 62 4" xfId="274"/>
    <cellStyle name="一般 2 2 30 2 2 30 2 62 5" xfId="278"/>
    <cellStyle name="一般 2 2 30 2 2 30 2 62 6" xfId="282"/>
    <cellStyle name="一般 2 2 30 2 2 30 2 62 7" xfId="286"/>
    <cellStyle name="一般 2 2 30 2 2 30 2 62 8" xfId="290"/>
    <cellStyle name="一般 2 2 30 2 2 30 2 62 9" xfId="294"/>
    <cellStyle name="一般 2 2 30 2 2 30 2 7" xfId="42"/>
    <cellStyle name="一般 2 2 30 2 2 30 2 8" xfId="50"/>
    <cellStyle name="一般 2 2 30 2 2 30 2 9" xfId="46"/>
    <cellStyle name="一般 2 2 30 2 2 30 3" xfId="15"/>
    <cellStyle name="一般 2 2 30 2 2 30 4 10" xfId="16"/>
    <cellStyle name="一般 2 2 30 2 3 2" xfId="13"/>
    <cellStyle name="一般 2 2 30 3 30" xfId="9"/>
    <cellStyle name="一般 2 2 30 3 30 2" xfId="14"/>
    <cellStyle name="一般 2 2 30 3 30 2 10" xfId="51"/>
    <cellStyle name="一般 2 2 30 3 30 2 11" xfId="55"/>
    <cellStyle name="一般 2 2 30 3 30 2 12" xfId="59"/>
    <cellStyle name="一般 2 2 30 3 30 2 13" xfId="63"/>
    <cellStyle name="一般 2 2 30 3 30 2 14" xfId="67"/>
    <cellStyle name="一般 2 2 30 3 30 2 15" xfId="71"/>
    <cellStyle name="一般 2 2 30 3 30 2 16" xfId="75"/>
    <cellStyle name="一般 2 2 30 3 30 2 17" xfId="79"/>
    <cellStyle name="一般 2 2 30 3 30 2 18" xfId="83"/>
    <cellStyle name="一般 2 2 30 3 30 2 19" xfId="87"/>
    <cellStyle name="一般 2 2 30 3 30 2 2" xfId="19"/>
    <cellStyle name="一般 2 2 30 3 30 2 20" xfId="91"/>
    <cellStyle name="一般 2 2 30 3 30 2 21" xfId="95"/>
    <cellStyle name="一般 2 2 30 3 30 2 22" xfId="99"/>
    <cellStyle name="一般 2 2 30 3 30 2 23" xfId="103"/>
    <cellStyle name="一般 2 2 30 3 30 2 24" xfId="107"/>
    <cellStyle name="一般 2 2 30 3 30 2 25" xfId="111"/>
    <cellStyle name="一般 2 2 30 3 30 2 26" xfId="115"/>
    <cellStyle name="一般 2 2 30 3 30 2 27" xfId="119"/>
    <cellStyle name="一般 2 2 30 3 30 2 28" xfId="123"/>
    <cellStyle name="一般 2 2 30 3 30 2 29" xfId="127"/>
    <cellStyle name="一般 2 2 30 3 30 2 3" xfId="23"/>
    <cellStyle name="一般 2 2 30 3 30 2 30" xfId="131"/>
    <cellStyle name="一般 2 2 30 3 30 2 31" xfId="135"/>
    <cellStyle name="一般 2 2 30 3 30 2 32" xfId="139"/>
    <cellStyle name="一般 2 2 30 3 30 2 33" xfId="143"/>
    <cellStyle name="一般 2 2 30 3 30 2 34" xfId="147"/>
    <cellStyle name="一般 2 2 30 3 30 2 35" xfId="151"/>
    <cellStyle name="一般 2 2 30 3 30 2 36" xfId="155"/>
    <cellStyle name="一般 2 2 30 3 30 2 37" xfId="159"/>
    <cellStyle name="一般 2 2 30 3 30 2 38" xfId="163"/>
    <cellStyle name="一般 2 2 30 3 30 2 39" xfId="167"/>
    <cellStyle name="一般 2 2 30 3 30 2 4" xfId="27"/>
    <cellStyle name="一般 2 2 30 3 30 2 40" xfId="171"/>
    <cellStyle name="一般 2 2 30 3 30 2 41" xfId="175"/>
    <cellStyle name="一般 2 2 30 3 30 2 42" xfId="179"/>
    <cellStyle name="一般 2 2 30 3 30 2 43" xfId="183"/>
    <cellStyle name="一般 2 2 30 3 30 2 44" xfId="187"/>
    <cellStyle name="一般 2 2 30 3 30 2 45" xfId="191"/>
    <cellStyle name="一般 2 2 30 3 30 2 46" xfId="195"/>
    <cellStyle name="一般 2 2 30 3 30 2 47" xfId="199"/>
    <cellStyle name="一般 2 2 30 3 30 2 48" xfId="203"/>
    <cellStyle name="一般 2 2 30 3 30 2 49" xfId="207"/>
    <cellStyle name="一般 2 2 30 3 30 2 5" xfId="31"/>
    <cellStyle name="一般 2 2 30 3 30 2 50" xfId="211"/>
    <cellStyle name="一般 2 2 30 3 30 2 51" xfId="215"/>
    <cellStyle name="一般 2 2 30 3 30 2 52" xfId="219"/>
    <cellStyle name="一般 2 2 30 3 30 2 53" xfId="223"/>
    <cellStyle name="一般 2 2 30 3 30 2 54" xfId="227"/>
    <cellStyle name="一般 2 2 30 3 30 2 55" xfId="231"/>
    <cellStyle name="一般 2 2 30 3 30 2 56" xfId="235"/>
    <cellStyle name="一般 2 2 30 3 30 2 57" xfId="239"/>
    <cellStyle name="一般 2 2 30 3 30 2 58" xfId="243"/>
    <cellStyle name="一般 2 2 30 3 30 2 59" xfId="247"/>
    <cellStyle name="一般 2 2 30 3 30 2 6" xfId="35"/>
    <cellStyle name="一般 2 2 30 3 30 2 60" xfId="251"/>
    <cellStyle name="一般 2 2 30 3 30 2 61" xfId="255"/>
    <cellStyle name="一般 2 2 30 3 30 2 62" xfId="261"/>
    <cellStyle name="一般 2 2 30 3 30 2 62 10" xfId="295"/>
    <cellStyle name="一般 2 2 30 3 30 2 62 11" xfId="299"/>
    <cellStyle name="一般 2 2 30 3 30 2 62 12" xfId="303"/>
    <cellStyle name="一般 2 2 30 3 30 2 62 13" xfId="307"/>
    <cellStyle name="一般 2 2 30 3 30 2 62 14" xfId="311"/>
    <cellStyle name="一般 2 2 30 3 30 2 62 15" xfId="315"/>
    <cellStyle name="一般 2 2 30 3 30 2 62 16" xfId="319"/>
    <cellStyle name="一般 2 2 30 3 30 2 62 17" xfId="323"/>
    <cellStyle name="一般 2 2 30 3 30 2 62 18" xfId="327"/>
    <cellStyle name="一般 2 2 30 3 30 2 62 19" xfId="331"/>
    <cellStyle name="一般 2 2 30 3 30 2 62 2" xfId="263"/>
    <cellStyle name="一般 2 2 30 3 30 2 62 2 10" xfId="373"/>
    <cellStyle name="一般 2 2 30 3 30 2 62 2 11" xfId="377"/>
    <cellStyle name="一般 2 2 30 3 30 2 62 2 12" xfId="381"/>
    <cellStyle name="一般 2 2 30 3 30 2 62 2 13" xfId="385"/>
    <cellStyle name="一般 2 2 30 3 30 2 62 2 14" xfId="389"/>
    <cellStyle name="一般 2 2 30 3 30 2 62 2 15" xfId="393"/>
    <cellStyle name="一般 2 2 30 3 30 2 62 2 16" xfId="397"/>
    <cellStyle name="一般 2 2 30 3 30 2 62 2 17" xfId="401"/>
    <cellStyle name="一般 2 2 30 3 30 2 62 2 18" xfId="405"/>
    <cellStyle name="一般 2 2 30 3 30 2 62 2 19" xfId="409"/>
    <cellStyle name="一般 2 2 30 3 30 2 62 2 2" xfId="339"/>
    <cellStyle name="一般 2 2 30 3 30 2 62 2 20" xfId="413"/>
    <cellStyle name="一般 2 2 30 3 30 2 62 2 21" xfId="417"/>
    <cellStyle name="一般 2 2 30 3 30 2 62 2 22" xfId="421"/>
    <cellStyle name="一般 2 2 30 3 30 2 62 2 22 2" xfId="425"/>
    <cellStyle name="一般 2 2 30 3 30 2 62 2 22 3" xfId="429"/>
    <cellStyle name="一般 2 2 30 3 30 2 62 2 22 4" xfId="433"/>
    <cellStyle name="一般 2 2 30 3 30 2 62 2 22 5" xfId="439"/>
    <cellStyle name="一般 2 2 30 3 30 2 62 2 23" xfId="441"/>
    <cellStyle name="一般 2 2 30 3 30 2 62 2 24" xfId="445"/>
    <cellStyle name="一般 2 2 30 3 30 2 62 2 25" xfId="449"/>
    <cellStyle name="一般 2 2 30 3 30 2 62 2 26" xfId="453"/>
    <cellStyle name="一般 2 2 30 3 30 2 62 2 27" xfId="457"/>
    <cellStyle name="一般 2 2 30 3 30 2 62 2 28" xfId="463"/>
    <cellStyle name="一般 2 2 30 3 30 2 62 2 28 2" xfId="465"/>
    <cellStyle name="一般 2 2 30 3 30 2 62 2 28 3" xfId="469"/>
    <cellStyle name="一般 2 2 30 3 30 2 62 2 28 4" xfId="473"/>
    <cellStyle name="一般 2 2 30 3 30 2 62 2 29" xfId="477"/>
    <cellStyle name="一般 2 2 30 3 30 2 62 2 3" xfId="343"/>
    <cellStyle name="一般 2 2 30 3 30 2 62 2 30" xfId="481"/>
    <cellStyle name="一般 2 2 30 3 30 2 62 2 31" xfId="485"/>
    <cellStyle name="一般 2 2 30 3 30 2 62 2 32" xfId="489"/>
    <cellStyle name="一般 2 2 30 3 30 2 62 2 33" xfId="493"/>
    <cellStyle name="一般 2 2 30 3 30 2 62 2 34" xfId="499"/>
    <cellStyle name="一般 2 2 30 3 30 2 62 2 35" xfId="501"/>
    <cellStyle name="一般 2 2 30 3 30 2 62 2 36" xfId="505"/>
    <cellStyle name="一般 2 2 30 3 30 2 62 2 37" xfId="509"/>
    <cellStyle name="一般 2 2 30 3 30 2 62 2 38" xfId="515"/>
    <cellStyle name="一般 2 2 30 3 30 2 62 2 39" xfId="517"/>
    <cellStyle name="一般 2 2 30 3 30 2 62 2 4" xfId="347"/>
    <cellStyle name="一般 2 2 30 3 30 2 62 2 40" xfId="521"/>
    <cellStyle name="一般 2 2 30 3 30 2 62 2 41" xfId="525"/>
    <cellStyle name="一般 2 2 30 3 30 2 62 2 42" xfId="529"/>
    <cellStyle name="一般 2 2 30 3 30 2 62 2 43" xfId="533"/>
    <cellStyle name="一般 2 2 30 3 30 2 62 2 44" xfId="537"/>
    <cellStyle name="一般 2 2 30 3 30 2 62 2 45" xfId="541"/>
    <cellStyle name="一般 2 2 30 3 30 2 62 2 46" xfId="545"/>
    <cellStyle name="一般 2 2 30 3 30 2 62 2 47" xfId="549"/>
    <cellStyle name="一般 2 2 30 3 30 2 62 2 48" xfId="553"/>
    <cellStyle name="一般 2 2 30 3 30 2 62 2 49" xfId="557"/>
    <cellStyle name="一般 2 2 30 3 30 2 62 2 5" xfId="351"/>
    <cellStyle name="一般 2 2 30 3 30 2 62 2 50" xfId="561"/>
    <cellStyle name="一般 2 2 30 3 30 2 62 2 51" xfId="565"/>
    <cellStyle name="一般 2 2 30 3 30 2 62 2 52" xfId="569"/>
    <cellStyle name="一般 2 2 30 3 30 2 62 2 53" xfId="573"/>
    <cellStyle name="一般 2 2 30 3 30 2 62 2 54" xfId="577"/>
    <cellStyle name="一般 2 2 30 3 30 2 62 2 55" xfId="581"/>
    <cellStyle name="一般 2 2 30 3 30 2 62 2 56" xfId="587"/>
    <cellStyle name="一般 2 2 30 3 30 2 62 2 56 10" xfId="633"/>
    <cellStyle name="一般 2 2 30 3 30 2 62 2 56 11" xfId="637"/>
    <cellStyle name="一般 2 2 30 3 30 2 62 2 56 12" xfId="641"/>
    <cellStyle name="一般 2 2 30 3 30 2 62 2 56 13" xfId="645"/>
    <cellStyle name="一般 2 2 30 3 30 2 62 2 56 14" xfId="649"/>
    <cellStyle name="一般 2 2 30 3 30 2 62 2 56 15" xfId="653"/>
    <cellStyle name="一般 2 2 30 3 30 2 62 2 56 16" xfId="657"/>
    <cellStyle name="一般 2 2 30 3 30 2 62 2 56 17" xfId="661"/>
    <cellStyle name="一般 2 2 30 3 30 2 62 2 56 18" xfId="665"/>
    <cellStyle name="一般 2 2 30 3 30 2 62 2 56 19" xfId="669"/>
    <cellStyle name="一般 2 2 30 3 30 2 62 2 56 2" xfId="601"/>
    <cellStyle name="一般 2 2 30 3 30 2 62 2 56 20" xfId="673"/>
    <cellStyle name="一般 2 2 30 3 30 2 62 2 56 21" xfId="677"/>
    <cellStyle name="一般 2 2 30 3 30 2 62 2 56 22" xfId="681"/>
    <cellStyle name="一般 2 2 30 3 30 2 62 2 56 23" xfId="685"/>
    <cellStyle name="一般 2 2 30 3 30 2 62 2 56 24" xfId="689"/>
    <cellStyle name="一般 2 2 30 3 30 2 62 2 56 25" xfId="693"/>
    <cellStyle name="一般 2 2 30 3 30 2 62 2 56 26" xfId="697"/>
    <cellStyle name="一般 2 2 30 3 30 2 62 2 56 27" xfId="701"/>
    <cellStyle name="一般 2 2 30 3 30 2 62 2 56 28" xfId="705"/>
    <cellStyle name="一般 2 2 30 3 30 2 62 2 56 3" xfId="605"/>
    <cellStyle name="一般 2 2 30 3 30 2 62 2 56 4" xfId="609"/>
    <cellStyle name="一般 2 2 30 3 30 2 62 2 56 5" xfId="613"/>
    <cellStyle name="一般 2 2 30 3 30 2 62 2 56 6" xfId="617"/>
    <cellStyle name="一般 2 2 30 3 30 2 62 2 56 7" xfId="621"/>
    <cellStyle name="一般 2 2 30 3 30 2 62 2 56 8" xfId="625"/>
    <cellStyle name="一般 2 2 30 3 30 2 62 2 56 9" xfId="629"/>
    <cellStyle name="一般 2 2 30 3 30 2 62 2 57" xfId="589"/>
    <cellStyle name="一般 2 2 30 3 30 2 62 2 58" xfId="593"/>
    <cellStyle name="一般 2 2 30 3 30 2 62 2 59" xfId="597"/>
    <cellStyle name="一般 2 2 30 3 30 2 62 2 6" xfId="355"/>
    <cellStyle name="一般 2 2 30 3 30 2 62 2 7" xfId="359"/>
    <cellStyle name="一般 2 2 30 3 30 2 62 2 8" xfId="363"/>
    <cellStyle name="一般 2 2 30 3 30 2 62 2 9" xfId="367"/>
    <cellStyle name="一般 2 2 30 3 30 2 62 20" xfId="335"/>
    <cellStyle name="一般 2 2 30 3 30 2 62 3" xfId="267"/>
    <cellStyle name="一般 2 2 30 3 30 2 62 4" xfId="271"/>
    <cellStyle name="一般 2 2 30 3 30 2 62 5" xfId="275"/>
    <cellStyle name="一般 2 2 30 3 30 2 62 6" xfId="279"/>
    <cellStyle name="一般 2 2 30 3 30 2 62 7" xfId="283"/>
    <cellStyle name="一般 2 2 30 3 30 2 62 8" xfId="287"/>
    <cellStyle name="一般 2 2 30 3 30 2 62 9" xfId="291"/>
    <cellStyle name="一般 2 2 30 3 30 2 7" xfId="39"/>
    <cellStyle name="一般 2 2 30 3 30 2 8" xfId="47"/>
    <cellStyle name="一般 2 2 30 3 30 2 9" xfId="43"/>
    <cellStyle name="一般 2 2 30 3 30 4 29" xfId="17"/>
    <cellStyle name="一般 2 2 30 3 30 4 29 10" xfId="52"/>
    <cellStyle name="一般 2 2 30 3 30 4 29 11" xfId="56"/>
    <cellStyle name="一般 2 2 30 3 30 4 29 12" xfId="60"/>
    <cellStyle name="一般 2 2 30 3 30 4 29 13" xfId="64"/>
    <cellStyle name="一般 2 2 30 3 30 4 29 14" xfId="68"/>
    <cellStyle name="一般 2 2 30 3 30 4 29 15" xfId="72"/>
    <cellStyle name="一般 2 2 30 3 30 4 29 16" xfId="76"/>
    <cellStyle name="一般 2 2 30 3 30 4 29 17" xfId="80"/>
    <cellStyle name="一般 2 2 30 3 30 4 29 18" xfId="84"/>
    <cellStyle name="一般 2 2 30 3 30 4 29 19" xfId="88"/>
    <cellStyle name="一般 2 2 30 3 30 4 29 2" xfId="20"/>
    <cellStyle name="一般 2 2 30 3 30 4 29 20" xfId="92"/>
    <cellStyle name="一般 2 2 30 3 30 4 29 21" xfId="96"/>
    <cellStyle name="一般 2 2 30 3 30 4 29 22" xfId="100"/>
    <cellStyle name="一般 2 2 30 3 30 4 29 23" xfId="104"/>
    <cellStyle name="一般 2 2 30 3 30 4 29 24" xfId="108"/>
    <cellStyle name="一般 2 2 30 3 30 4 29 25" xfId="112"/>
    <cellStyle name="一般 2 2 30 3 30 4 29 26" xfId="116"/>
    <cellStyle name="一般 2 2 30 3 30 4 29 27" xfId="120"/>
    <cellStyle name="一般 2 2 30 3 30 4 29 28" xfId="124"/>
    <cellStyle name="一般 2 2 30 3 30 4 29 29" xfId="128"/>
    <cellStyle name="一般 2 2 30 3 30 4 29 3" xfId="24"/>
    <cellStyle name="一般 2 2 30 3 30 4 29 30" xfId="132"/>
    <cellStyle name="一般 2 2 30 3 30 4 29 31" xfId="136"/>
    <cellStyle name="一般 2 2 30 3 30 4 29 32" xfId="140"/>
    <cellStyle name="一般 2 2 30 3 30 4 29 33" xfId="144"/>
    <cellStyle name="一般 2 2 30 3 30 4 29 34" xfId="148"/>
    <cellStyle name="一般 2 2 30 3 30 4 29 35" xfId="152"/>
    <cellStyle name="一般 2 2 30 3 30 4 29 36" xfId="156"/>
    <cellStyle name="一般 2 2 30 3 30 4 29 37" xfId="160"/>
    <cellStyle name="一般 2 2 30 3 30 4 29 38" xfId="164"/>
    <cellStyle name="一般 2 2 30 3 30 4 29 39" xfId="168"/>
    <cellStyle name="一般 2 2 30 3 30 4 29 4" xfId="28"/>
    <cellStyle name="一般 2 2 30 3 30 4 29 40" xfId="172"/>
    <cellStyle name="一般 2 2 30 3 30 4 29 41" xfId="176"/>
    <cellStyle name="一般 2 2 30 3 30 4 29 42" xfId="180"/>
    <cellStyle name="一般 2 2 30 3 30 4 29 43" xfId="184"/>
    <cellStyle name="一般 2 2 30 3 30 4 29 44" xfId="188"/>
    <cellStyle name="一般 2 2 30 3 30 4 29 45" xfId="192"/>
    <cellStyle name="一般 2 2 30 3 30 4 29 46" xfId="196"/>
    <cellStyle name="一般 2 2 30 3 30 4 29 47" xfId="200"/>
    <cellStyle name="一般 2 2 30 3 30 4 29 48" xfId="204"/>
    <cellStyle name="一般 2 2 30 3 30 4 29 49" xfId="208"/>
    <cellStyle name="一般 2 2 30 3 30 4 29 5" xfId="32"/>
    <cellStyle name="一般 2 2 30 3 30 4 29 50" xfId="212"/>
    <cellStyle name="一般 2 2 30 3 30 4 29 51" xfId="216"/>
    <cellStyle name="一般 2 2 30 3 30 4 29 52" xfId="220"/>
    <cellStyle name="一般 2 2 30 3 30 4 29 53" xfId="224"/>
    <cellStyle name="一般 2 2 30 3 30 4 29 54" xfId="228"/>
    <cellStyle name="一般 2 2 30 3 30 4 29 55" xfId="232"/>
    <cellStyle name="一般 2 2 30 3 30 4 29 56" xfId="236"/>
    <cellStyle name="一般 2 2 30 3 30 4 29 57" xfId="240"/>
    <cellStyle name="一般 2 2 30 3 30 4 29 58" xfId="244"/>
    <cellStyle name="一般 2 2 30 3 30 4 29 59" xfId="248"/>
    <cellStyle name="一般 2 2 30 3 30 4 29 6" xfId="36"/>
    <cellStyle name="一般 2 2 30 3 30 4 29 60" xfId="252"/>
    <cellStyle name="一般 2 2 30 3 30 4 29 61" xfId="256"/>
    <cellStyle name="一般 2 2 30 3 30 4 29 62" xfId="262"/>
    <cellStyle name="一般 2 2 30 3 30 4 29 62 10" xfId="296"/>
    <cellStyle name="一般 2 2 30 3 30 4 29 62 11" xfId="300"/>
    <cellStyle name="一般 2 2 30 3 30 4 29 62 12" xfId="304"/>
    <cellStyle name="一般 2 2 30 3 30 4 29 62 13" xfId="308"/>
    <cellStyle name="一般 2 2 30 3 30 4 29 62 14" xfId="312"/>
    <cellStyle name="一般 2 2 30 3 30 4 29 62 15" xfId="316"/>
    <cellStyle name="一般 2 2 30 3 30 4 29 62 16" xfId="320"/>
    <cellStyle name="一般 2 2 30 3 30 4 29 62 17" xfId="324"/>
    <cellStyle name="一般 2 2 30 3 30 4 29 62 18" xfId="328"/>
    <cellStyle name="一般 2 2 30 3 30 4 29 62 19" xfId="332"/>
    <cellStyle name="一般 2 2 30 3 30 4 29 62 2" xfId="264"/>
    <cellStyle name="一般 2 2 30 3 30 4 29 62 2 10" xfId="374"/>
    <cellStyle name="一般 2 2 30 3 30 4 29 62 2 11" xfId="378"/>
    <cellStyle name="一般 2 2 30 3 30 4 29 62 2 12" xfId="382"/>
    <cellStyle name="一般 2 2 30 3 30 4 29 62 2 13" xfId="386"/>
    <cellStyle name="一般 2 2 30 3 30 4 29 62 2 14" xfId="390"/>
    <cellStyle name="一般 2 2 30 3 30 4 29 62 2 15" xfId="394"/>
    <cellStyle name="一般 2 2 30 3 30 4 29 62 2 16" xfId="398"/>
    <cellStyle name="一般 2 2 30 3 30 4 29 62 2 17" xfId="402"/>
    <cellStyle name="一般 2 2 30 3 30 4 29 62 2 18" xfId="406"/>
    <cellStyle name="一般 2 2 30 3 30 4 29 62 2 19" xfId="410"/>
    <cellStyle name="一般 2 2 30 3 30 4 29 62 2 2" xfId="340"/>
    <cellStyle name="一般 2 2 30 3 30 4 29 62 2 20" xfId="414"/>
    <cellStyle name="一般 2 2 30 3 30 4 29 62 2 21" xfId="418"/>
    <cellStyle name="一般 2 2 30 3 30 4 29 62 2 22" xfId="422"/>
    <cellStyle name="一般 2 2 30 3 30 4 29 62 2 22 2" xfId="426"/>
    <cellStyle name="一般 2 2 30 3 30 4 29 62 2 22 3" xfId="430"/>
    <cellStyle name="一般 2 2 30 3 30 4 29 62 2 22 4" xfId="434"/>
    <cellStyle name="一般 2 2 30 3 30 4 29 62 2 22 5" xfId="440"/>
    <cellStyle name="一般 2 2 30 3 30 4 29 62 2 23" xfId="442"/>
    <cellStyle name="一般 2 2 30 3 30 4 29 62 2 24" xfId="446"/>
    <cellStyle name="一般 2 2 30 3 30 4 29 62 2 25" xfId="450"/>
    <cellStyle name="一般 2 2 30 3 30 4 29 62 2 26" xfId="454"/>
    <cellStyle name="一般 2 2 30 3 30 4 29 62 2 27" xfId="458"/>
    <cellStyle name="一般 2 2 30 3 30 4 29 62 2 28" xfId="464"/>
    <cellStyle name="一般 2 2 30 3 30 4 29 62 2 28 2" xfId="466"/>
    <cellStyle name="一般 2 2 30 3 30 4 29 62 2 28 3" xfId="470"/>
    <cellStyle name="一般 2 2 30 3 30 4 29 62 2 28 4" xfId="474"/>
    <cellStyle name="一般 2 2 30 3 30 4 29 62 2 29" xfId="478"/>
    <cellStyle name="一般 2 2 30 3 30 4 29 62 2 3" xfId="344"/>
    <cellStyle name="一般 2 2 30 3 30 4 29 62 2 30" xfId="482"/>
    <cellStyle name="一般 2 2 30 3 30 4 29 62 2 31" xfId="486"/>
    <cellStyle name="一般 2 2 30 3 30 4 29 62 2 32" xfId="490"/>
    <cellStyle name="一般 2 2 30 3 30 4 29 62 2 33" xfId="494"/>
    <cellStyle name="一般 2 2 30 3 30 4 29 62 2 34" xfId="500"/>
    <cellStyle name="一般 2 2 30 3 30 4 29 62 2 35" xfId="502"/>
    <cellStyle name="一般 2 2 30 3 30 4 29 62 2 36" xfId="506"/>
    <cellStyle name="一般 2 2 30 3 30 4 29 62 2 37" xfId="510"/>
    <cellStyle name="一般 2 2 30 3 30 4 29 62 2 38" xfId="516"/>
    <cellStyle name="一般 2 2 30 3 30 4 29 62 2 39" xfId="518"/>
    <cellStyle name="一般 2 2 30 3 30 4 29 62 2 4" xfId="348"/>
    <cellStyle name="一般 2 2 30 3 30 4 29 62 2 40" xfId="522"/>
    <cellStyle name="一般 2 2 30 3 30 4 29 62 2 41" xfId="526"/>
    <cellStyle name="一般 2 2 30 3 30 4 29 62 2 42" xfId="530"/>
    <cellStyle name="一般 2 2 30 3 30 4 29 62 2 43" xfId="534"/>
    <cellStyle name="一般 2 2 30 3 30 4 29 62 2 44" xfId="538"/>
    <cellStyle name="一般 2 2 30 3 30 4 29 62 2 45" xfId="542"/>
    <cellStyle name="一般 2 2 30 3 30 4 29 62 2 46" xfId="546"/>
    <cellStyle name="一般 2 2 30 3 30 4 29 62 2 47" xfId="550"/>
    <cellStyle name="一般 2 2 30 3 30 4 29 62 2 48" xfId="554"/>
    <cellStyle name="一般 2 2 30 3 30 4 29 62 2 49" xfId="558"/>
    <cellStyle name="一般 2 2 30 3 30 4 29 62 2 5" xfId="352"/>
    <cellStyle name="一般 2 2 30 3 30 4 29 62 2 50" xfId="562"/>
    <cellStyle name="一般 2 2 30 3 30 4 29 62 2 51" xfId="566"/>
    <cellStyle name="一般 2 2 30 3 30 4 29 62 2 52" xfId="570"/>
    <cellStyle name="一般 2 2 30 3 30 4 29 62 2 53" xfId="574"/>
    <cellStyle name="一般 2 2 30 3 30 4 29 62 2 54" xfId="578"/>
    <cellStyle name="一般 2 2 30 3 30 4 29 62 2 55" xfId="582"/>
    <cellStyle name="一般 2 2 30 3 30 4 29 62 2 56" xfId="588"/>
    <cellStyle name="一般 2 2 30 3 30 4 29 62 2 56 10" xfId="634"/>
    <cellStyle name="一般 2 2 30 3 30 4 29 62 2 56 11" xfId="638"/>
    <cellStyle name="一般 2 2 30 3 30 4 29 62 2 56 12" xfId="642"/>
    <cellStyle name="一般 2 2 30 3 30 4 29 62 2 56 13" xfId="646"/>
    <cellStyle name="一般 2 2 30 3 30 4 29 62 2 56 14" xfId="650"/>
    <cellStyle name="一般 2 2 30 3 30 4 29 62 2 56 15" xfId="654"/>
    <cellStyle name="一般 2 2 30 3 30 4 29 62 2 56 16" xfId="658"/>
    <cellStyle name="一般 2 2 30 3 30 4 29 62 2 56 17" xfId="662"/>
    <cellStyle name="一般 2 2 30 3 30 4 29 62 2 56 18" xfId="666"/>
    <cellStyle name="一般 2 2 30 3 30 4 29 62 2 56 19" xfId="670"/>
    <cellStyle name="一般 2 2 30 3 30 4 29 62 2 56 2" xfId="602"/>
    <cellStyle name="一般 2 2 30 3 30 4 29 62 2 56 20" xfId="674"/>
    <cellStyle name="一般 2 2 30 3 30 4 29 62 2 56 21" xfId="678"/>
    <cellStyle name="一般 2 2 30 3 30 4 29 62 2 56 22" xfId="682"/>
    <cellStyle name="一般 2 2 30 3 30 4 29 62 2 56 23" xfId="686"/>
    <cellStyle name="一般 2 2 30 3 30 4 29 62 2 56 24" xfId="690"/>
    <cellStyle name="一般 2 2 30 3 30 4 29 62 2 56 25" xfId="694"/>
    <cellStyle name="一般 2 2 30 3 30 4 29 62 2 56 26" xfId="698"/>
    <cellStyle name="一般 2 2 30 3 30 4 29 62 2 56 27" xfId="702"/>
    <cellStyle name="一般 2 2 30 3 30 4 29 62 2 56 28" xfId="706"/>
    <cellStyle name="一般 2 2 30 3 30 4 29 62 2 56 3" xfId="606"/>
    <cellStyle name="一般 2 2 30 3 30 4 29 62 2 56 4" xfId="610"/>
    <cellStyle name="一般 2 2 30 3 30 4 29 62 2 56 5" xfId="614"/>
    <cellStyle name="一般 2 2 30 3 30 4 29 62 2 56 6" xfId="618"/>
    <cellStyle name="一般 2 2 30 3 30 4 29 62 2 56 7" xfId="622"/>
    <cellStyle name="一般 2 2 30 3 30 4 29 62 2 56 8" xfId="626"/>
    <cellStyle name="一般 2 2 30 3 30 4 29 62 2 56 9" xfId="630"/>
    <cellStyle name="一般 2 2 30 3 30 4 29 62 2 57" xfId="590"/>
    <cellStyle name="一般 2 2 30 3 30 4 29 62 2 58" xfId="594"/>
    <cellStyle name="一般 2 2 30 3 30 4 29 62 2 59" xfId="598"/>
    <cellStyle name="一般 2 2 30 3 30 4 29 62 2 6" xfId="356"/>
    <cellStyle name="一般 2 2 30 3 30 4 29 62 2 7" xfId="360"/>
    <cellStyle name="一般 2 2 30 3 30 4 29 62 2 8" xfId="364"/>
    <cellStyle name="一般 2 2 30 3 30 4 29 62 2 9" xfId="368"/>
    <cellStyle name="一般 2 2 30 3 30 4 29 62 20" xfId="336"/>
    <cellStyle name="一般 2 2 30 3 30 4 29 62 3" xfId="268"/>
    <cellStyle name="一般 2 2 30 3 30 4 29 62 4" xfId="272"/>
    <cellStyle name="一般 2 2 30 3 30 4 29 62 5" xfId="276"/>
    <cellStyle name="一般 2 2 30 3 30 4 29 62 6" xfId="280"/>
    <cellStyle name="一般 2 2 30 3 30 4 29 62 7" xfId="284"/>
    <cellStyle name="一般 2 2 30 3 30 4 29 62 8" xfId="288"/>
    <cellStyle name="一般 2 2 30 3 30 4 29 62 9" xfId="292"/>
    <cellStyle name="一般 2 2 30 3 30 4 29 7" xfId="40"/>
    <cellStyle name="一般 2 2 30 3 30 4 29 8" xfId="48"/>
    <cellStyle name="一般 2 2 30 3 30 4 29 9" xfId="44"/>
    <cellStyle name="一般 2 2 30 3 30 4 9 21" xfId="18"/>
    <cellStyle name="一般 2 2 30 3 30 4 9 21 10" xfId="53"/>
    <cellStyle name="一般 2 2 30 3 30 4 9 21 11" xfId="57"/>
    <cellStyle name="一般 2 2 30 3 30 4 9 21 12" xfId="61"/>
    <cellStyle name="一般 2 2 30 3 30 4 9 21 13" xfId="65"/>
    <cellStyle name="一般 2 2 30 3 30 4 9 21 14" xfId="69"/>
    <cellStyle name="一般 2 2 30 3 30 4 9 21 15" xfId="73"/>
    <cellStyle name="一般 2 2 30 3 30 4 9 21 16" xfId="77"/>
    <cellStyle name="一般 2 2 30 3 30 4 9 21 17" xfId="81"/>
    <cellStyle name="一般 2 2 30 3 30 4 9 21 18" xfId="85"/>
    <cellStyle name="一般 2 2 30 3 30 4 9 21 19" xfId="89"/>
    <cellStyle name="一般 2 2 30 3 30 4 9 21 2" xfId="21"/>
    <cellStyle name="一般 2 2 30 3 30 4 9 21 20" xfId="93"/>
    <cellStyle name="一般 2 2 30 3 30 4 9 21 21" xfId="97"/>
    <cellStyle name="一般 2 2 30 3 30 4 9 21 22" xfId="101"/>
    <cellStyle name="一般 2 2 30 3 30 4 9 21 23" xfId="105"/>
    <cellStyle name="一般 2 2 30 3 30 4 9 21 24" xfId="109"/>
    <cellStyle name="一般 2 2 30 3 30 4 9 21 25" xfId="113"/>
    <cellStyle name="一般 2 2 30 3 30 4 9 21 26" xfId="117"/>
    <cellStyle name="一般 2 2 30 3 30 4 9 21 27" xfId="121"/>
    <cellStyle name="一般 2 2 30 3 30 4 9 21 28" xfId="125"/>
    <cellStyle name="一般 2 2 30 3 30 4 9 21 29" xfId="129"/>
    <cellStyle name="一般 2 2 30 3 30 4 9 21 3" xfId="25"/>
    <cellStyle name="一般 2 2 30 3 30 4 9 21 30" xfId="133"/>
    <cellStyle name="一般 2 2 30 3 30 4 9 21 31" xfId="137"/>
    <cellStyle name="一般 2 2 30 3 30 4 9 21 32" xfId="141"/>
    <cellStyle name="一般 2 2 30 3 30 4 9 21 33" xfId="145"/>
    <cellStyle name="一般 2 2 30 3 30 4 9 21 34" xfId="149"/>
    <cellStyle name="一般 2 2 30 3 30 4 9 21 35" xfId="153"/>
    <cellStyle name="一般 2 2 30 3 30 4 9 21 36" xfId="157"/>
    <cellStyle name="一般 2 2 30 3 30 4 9 21 37" xfId="161"/>
    <cellStyle name="一般 2 2 30 3 30 4 9 21 38" xfId="165"/>
    <cellStyle name="一般 2 2 30 3 30 4 9 21 39" xfId="169"/>
    <cellStyle name="一般 2 2 30 3 30 4 9 21 4" xfId="29"/>
    <cellStyle name="一般 2 2 30 3 30 4 9 21 40" xfId="173"/>
    <cellStyle name="一般 2 2 30 3 30 4 9 21 41" xfId="177"/>
    <cellStyle name="一般 2 2 30 3 30 4 9 21 42" xfId="181"/>
    <cellStyle name="一般 2 2 30 3 30 4 9 21 43" xfId="185"/>
    <cellStyle name="一般 2 2 30 3 30 4 9 21 44" xfId="189"/>
    <cellStyle name="一般 2 2 30 3 30 4 9 21 45" xfId="193"/>
    <cellStyle name="一般 2 2 30 3 30 4 9 21 46" xfId="197"/>
    <cellStyle name="一般 2 2 30 3 30 4 9 21 47" xfId="201"/>
    <cellStyle name="一般 2 2 30 3 30 4 9 21 48" xfId="205"/>
    <cellStyle name="一般 2 2 30 3 30 4 9 21 49" xfId="209"/>
    <cellStyle name="一般 2 2 30 3 30 4 9 21 5" xfId="33"/>
    <cellStyle name="一般 2 2 30 3 30 4 9 21 50" xfId="213"/>
    <cellStyle name="一般 2 2 30 3 30 4 9 21 51" xfId="217"/>
    <cellStyle name="一般 2 2 30 3 30 4 9 21 52" xfId="221"/>
    <cellStyle name="一般 2 2 30 3 30 4 9 21 53" xfId="225"/>
    <cellStyle name="一般 2 2 30 3 30 4 9 21 54" xfId="229"/>
    <cellStyle name="一般 2 2 30 3 30 4 9 21 55" xfId="233"/>
    <cellStyle name="一般 2 2 30 3 30 4 9 21 56" xfId="237"/>
    <cellStyle name="一般 2 2 30 3 30 4 9 21 57" xfId="241"/>
    <cellStyle name="一般 2 2 30 3 30 4 9 21 58" xfId="245"/>
    <cellStyle name="一般 2 2 30 3 30 4 9 21 59" xfId="249"/>
    <cellStyle name="一般 2 2 30 3 30 4 9 21 6" xfId="37"/>
    <cellStyle name="一般 2 2 30 3 30 4 9 21 60" xfId="253"/>
    <cellStyle name="一般 2 2 30 3 30 4 9 21 61" xfId="257"/>
    <cellStyle name="一般 2 2 30 3 30 4 9 21 62" xfId="260"/>
    <cellStyle name="一般 2 2 30 3 30 4 9 21 62 10" xfId="297"/>
    <cellStyle name="一般 2 2 30 3 30 4 9 21 62 11" xfId="301"/>
    <cellStyle name="一般 2 2 30 3 30 4 9 21 62 12" xfId="305"/>
    <cellStyle name="一般 2 2 30 3 30 4 9 21 62 13" xfId="309"/>
    <cellStyle name="一般 2 2 30 3 30 4 9 21 62 14" xfId="313"/>
    <cellStyle name="一般 2 2 30 3 30 4 9 21 62 15" xfId="317"/>
    <cellStyle name="一般 2 2 30 3 30 4 9 21 62 16" xfId="321"/>
    <cellStyle name="一般 2 2 30 3 30 4 9 21 62 17" xfId="325"/>
    <cellStyle name="一般 2 2 30 3 30 4 9 21 62 18" xfId="329"/>
    <cellStyle name="一般 2 2 30 3 30 4 9 21 62 19" xfId="333"/>
    <cellStyle name="一般 2 2 30 3 30 4 9 21 62 2" xfId="265"/>
    <cellStyle name="一般 2 2 30 3 30 4 9 21 62 2 10" xfId="375"/>
    <cellStyle name="一般 2 2 30 3 30 4 9 21 62 2 11" xfId="379"/>
    <cellStyle name="一般 2 2 30 3 30 4 9 21 62 2 12" xfId="383"/>
    <cellStyle name="一般 2 2 30 3 30 4 9 21 62 2 13" xfId="387"/>
    <cellStyle name="一般 2 2 30 3 30 4 9 21 62 2 14" xfId="391"/>
    <cellStyle name="一般 2 2 30 3 30 4 9 21 62 2 15" xfId="395"/>
    <cellStyle name="一般 2 2 30 3 30 4 9 21 62 2 16" xfId="399"/>
    <cellStyle name="一般 2 2 30 3 30 4 9 21 62 2 17" xfId="403"/>
    <cellStyle name="一般 2 2 30 3 30 4 9 21 62 2 18" xfId="407"/>
    <cellStyle name="一般 2 2 30 3 30 4 9 21 62 2 19" xfId="411"/>
    <cellStyle name="一般 2 2 30 3 30 4 9 21 62 2 2" xfId="341"/>
    <cellStyle name="一般 2 2 30 3 30 4 9 21 62 2 20" xfId="415"/>
    <cellStyle name="一般 2 2 30 3 30 4 9 21 62 2 21" xfId="419"/>
    <cellStyle name="一般 2 2 30 3 30 4 9 21 62 2 22" xfId="423"/>
    <cellStyle name="一般 2 2 30 3 30 4 9 21 62 2 22 2" xfId="427"/>
    <cellStyle name="一般 2 2 30 3 30 4 9 21 62 2 22 3" xfId="431"/>
    <cellStyle name="一般 2 2 30 3 30 4 9 21 62 2 22 4" xfId="435"/>
    <cellStyle name="一般 2 2 30 3 30 4 9 21 62 2 22 5" xfId="438"/>
    <cellStyle name="一般 2 2 30 3 30 4 9 21 62 2 23" xfId="443"/>
    <cellStyle name="一般 2 2 30 3 30 4 9 21 62 2 24" xfId="447"/>
    <cellStyle name="一般 2 2 30 3 30 4 9 21 62 2 25" xfId="451"/>
    <cellStyle name="一般 2 2 30 3 30 4 9 21 62 2 26" xfId="455"/>
    <cellStyle name="一般 2 2 30 3 30 4 9 21 62 2 27" xfId="459"/>
    <cellStyle name="一般 2 2 30 3 30 4 9 21 62 2 28" xfId="462"/>
    <cellStyle name="一般 2 2 30 3 30 4 9 21 62 2 28 2" xfId="467"/>
    <cellStyle name="一般 2 2 30 3 30 4 9 21 62 2 28 3" xfId="471"/>
    <cellStyle name="一般 2 2 30 3 30 4 9 21 62 2 28 4" xfId="475"/>
    <cellStyle name="一般 2 2 30 3 30 4 9 21 62 2 29" xfId="479"/>
    <cellStyle name="一般 2 2 30 3 30 4 9 21 62 2 3" xfId="345"/>
    <cellStyle name="一般 2 2 30 3 30 4 9 21 62 2 30" xfId="483"/>
    <cellStyle name="一般 2 2 30 3 30 4 9 21 62 2 31" xfId="487"/>
    <cellStyle name="一般 2 2 30 3 30 4 9 21 62 2 32" xfId="491"/>
    <cellStyle name="一般 2 2 30 3 30 4 9 21 62 2 33" xfId="495"/>
    <cellStyle name="一般 2 2 30 3 30 4 9 21 62 2 34" xfId="498"/>
    <cellStyle name="一般 2 2 30 3 30 4 9 21 62 2 35" xfId="503"/>
    <cellStyle name="一般 2 2 30 3 30 4 9 21 62 2 36" xfId="507"/>
    <cellStyle name="一般 2 2 30 3 30 4 9 21 62 2 37" xfId="511"/>
    <cellStyle name="一般 2 2 30 3 30 4 9 21 62 2 38" xfId="514"/>
    <cellStyle name="一般 2 2 30 3 30 4 9 21 62 2 39" xfId="519"/>
    <cellStyle name="一般 2 2 30 3 30 4 9 21 62 2 4" xfId="349"/>
    <cellStyle name="一般 2 2 30 3 30 4 9 21 62 2 40" xfId="523"/>
    <cellStyle name="一般 2 2 30 3 30 4 9 21 62 2 41" xfId="527"/>
    <cellStyle name="一般 2 2 30 3 30 4 9 21 62 2 42" xfId="531"/>
    <cellStyle name="一般 2 2 30 3 30 4 9 21 62 2 43" xfId="535"/>
    <cellStyle name="一般 2 2 30 3 30 4 9 21 62 2 44" xfId="539"/>
    <cellStyle name="一般 2 2 30 3 30 4 9 21 62 2 45" xfId="543"/>
    <cellStyle name="一般 2 2 30 3 30 4 9 21 62 2 46" xfId="547"/>
    <cellStyle name="一般 2 2 30 3 30 4 9 21 62 2 47" xfId="551"/>
    <cellStyle name="一般 2 2 30 3 30 4 9 21 62 2 48" xfId="555"/>
    <cellStyle name="一般 2 2 30 3 30 4 9 21 62 2 49" xfId="559"/>
    <cellStyle name="一般 2 2 30 3 30 4 9 21 62 2 5" xfId="353"/>
    <cellStyle name="一般 2 2 30 3 30 4 9 21 62 2 50" xfId="563"/>
    <cellStyle name="一般 2 2 30 3 30 4 9 21 62 2 51" xfId="567"/>
    <cellStyle name="一般 2 2 30 3 30 4 9 21 62 2 52" xfId="571"/>
    <cellStyle name="一般 2 2 30 3 30 4 9 21 62 2 53" xfId="575"/>
    <cellStyle name="一般 2 2 30 3 30 4 9 21 62 2 54" xfId="579"/>
    <cellStyle name="一般 2 2 30 3 30 4 9 21 62 2 55" xfId="583"/>
    <cellStyle name="一般 2 2 30 3 30 4 9 21 62 2 56" xfId="586"/>
    <cellStyle name="一般 2 2 30 3 30 4 9 21 62 2 56 10" xfId="635"/>
    <cellStyle name="一般 2 2 30 3 30 4 9 21 62 2 56 11" xfId="639"/>
    <cellStyle name="一般 2 2 30 3 30 4 9 21 62 2 56 12" xfId="643"/>
    <cellStyle name="一般 2 2 30 3 30 4 9 21 62 2 56 13" xfId="647"/>
    <cellStyle name="一般 2 2 30 3 30 4 9 21 62 2 56 14" xfId="651"/>
    <cellStyle name="一般 2 2 30 3 30 4 9 21 62 2 56 15" xfId="655"/>
    <cellStyle name="一般 2 2 30 3 30 4 9 21 62 2 56 16" xfId="659"/>
    <cellStyle name="一般 2 2 30 3 30 4 9 21 62 2 56 17" xfId="663"/>
    <cellStyle name="一般 2 2 30 3 30 4 9 21 62 2 56 18" xfId="667"/>
    <cellStyle name="一般 2 2 30 3 30 4 9 21 62 2 56 19" xfId="671"/>
    <cellStyle name="一般 2 2 30 3 30 4 9 21 62 2 56 2" xfId="603"/>
    <cellStyle name="一般 2 2 30 3 30 4 9 21 62 2 56 20" xfId="675"/>
    <cellStyle name="一般 2 2 30 3 30 4 9 21 62 2 56 21" xfId="679"/>
    <cellStyle name="一般 2 2 30 3 30 4 9 21 62 2 56 22" xfId="683"/>
    <cellStyle name="一般 2 2 30 3 30 4 9 21 62 2 56 23" xfId="687"/>
    <cellStyle name="一般 2 2 30 3 30 4 9 21 62 2 56 24" xfId="691"/>
    <cellStyle name="一般 2 2 30 3 30 4 9 21 62 2 56 25" xfId="695"/>
    <cellStyle name="一般 2 2 30 3 30 4 9 21 62 2 56 26" xfId="699"/>
    <cellStyle name="一般 2 2 30 3 30 4 9 21 62 2 56 27" xfId="703"/>
    <cellStyle name="一般 2 2 30 3 30 4 9 21 62 2 56 28" xfId="707"/>
    <cellStyle name="一般 2 2 30 3 30 4 9 21 62 2 56 3" xfId="607"/>
    <cellStyle name="一般 2 2 30 3 30 4 9 21 62 2 56 4" xfId="611"/>
    <cellStyle name="一般 2 2 30 3 30 4 9 21 62 2 56 5" xfId="615"/>
    <cellStyle name="一般 2 2 30 3 30 4 9 21 62 2 56 6" xfId="619"/>
    <cellStyle name="一般 2 2 30 3 30 4 9 21 62 2 56 7" xfId="623"/>
    <cellStyle name="一般 2 2 30 3 30 4 9 21 62 2 56 8" xfId="627"/>
    <cellStyle name="一般 2 2 30 3 30 4 9 21 62 2 56 9" xfId="631"/>
    <cellStyle name="一般 2 2 30 3 30 4 9 21 62 2 57" xfId="591"/>
    <cellStyle name="一般 2 2 30 3 30 4 9 21 62 2 58" xfId="595"/>
    <cellStyle name="一般 2 2 30 3 30 4 9 21 62 2 59" xfId="599"/>
    <cellStyle name="一般 2 2 30 3 30 4 9 21 62 2 6" xfId="357"/>
    <cellStyle name="一般 2 2 30 3 30 4 9 21 62 2 7" xfId="361"/>
    <cellStyle name="一般 2 2 30 3 30 4 9 21 62 2 8" xfId="365"/>
    <cellStyle name="一般 2 2 30 3 30 4 9 21 62 2 9" xfId="369"/>
    <cellStyle name="一般 2 2 30 3 30 4 9 21 62 20" xfId="337"/>
    <cellStyle name="一般 2 2 30 3 30 4 9 21 62 3" xfId="269"/>
    <cellStyle name="一般 2 2 30 3 30 4 9 21 62 4" xfId="273"/>
    <cellStyle name="一般 2 2 30 3 30 4 9 21 62 5" xfId="277"/>
    <cellStyle name="一般 2 2 30 3 30 4 9 21 62 6" xfId="281"/>
    <cellStyle name="一般 2 2 30 3 30 4 9 21 62 7" xfId="285"/>
    <cellStyle name="一般 2 2 30 3 30 4 9 21 62 8" xfId="289"/>
    <cellStyle name="一般 2 2 30 3 30 4 9 21 62 9" xfId="293"/>
    <cellStyle name="一般 2 2 30 3 30 4 9 21 7" xfId="41"/>
    <cellStyle name="一般 2 2 30 3 30 4 9 21 8" xfId="49"/>
    <cellStyle name="一般 2 2 30 3 30 4 9 21 9" xfId="45"/>
    <cellStyle name="一般 3 3" xfId="4"/>
    <cellStyle name="一般 4" xfId="8"/>
    <cellStyle name="千分位" xfId="1" builtinId="3"/>
    <cellStyle name="百分比" xfId="2" builtinId="5"/>
    <cellStyle name="百分比 2" xfId="10"/>
    <cellStyle name="百分比 2 2" xfId="372"/>
    <cellStyle name="百分比 3" xfId="371"/>
    <cellStyle name="百分比 6" xfId="6"/>
  </cellStyles>
  <dxfs count="118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A65"/>
  <sheetViews>
    <sheetView tabSelected="1" zoomScale="70" zoomScaleNormal="70" workbookViewId="0">
      <pane ySplit="3" topLeftCell="A4" activePane="bottomLeft" state="frozen"/>
      <selection activeCell="A3" sqref="A3:B4"/>
      <selection pane="bottomLeft" activeCell="K38" sqref="K38"/>
    </sheetView>
  </sheetViews>
  <sheetFormatPr defaultColWidth="9.140625" defaultRowHeight="16.5" x14ac:dyDescent="0.25"/>
  <cols>
    <col min="1" max="1" width="20.28515625" style="37" customWidth="1"/>
    <col min="2" max="2" width="18.28515625" style="37" bestFit="1" customWidth="1"/>
    <col min="3" max="6" width="15.7109375" style="37" customWidth="1"/>
    <col min="7" max="10" width="20.28515625" style="37" customWidth="1"/>
    <col min="11" max="11" width="18.85546875" style="37" customWidth="1"/>
    <col min="12" max="12" width="17.5703125" style="37" customWidth="1"/>
    <col min="13" max="13" width="9.140625" style="37" customWidth="1"/>
    <col min="14" max="20" width="9.140625" style="37"/>
    <col min="21" max="21" width="81.5703125" style="37" customWidth="1"/>
    <col min="22" max="22" width="19.5703125" style="37" bestFit="1" customWidth="1"/>
    <col min="23" max="16384" width="9.140625" style="37"/>
  </cols>
  <sheetData>
    <row r="1" spans="1:27" ht="27" x14ac:dyDescent="0.25">
      <c r="A1" s="436" t="s">
        <v>64</v>
      </c>
      <c r="B1" s="436"/>
      <c r="C1" s="436"/>
      <c r="D1" s="436"/>
      <c r="E1" s="436"/>
      <c r="F1" s="436"/>
      <c r="G1" s="436"/>
      <c r="H1" s="436"/>
      <c r="I1" s="436"/>
      <c r="J1" s="436"/>
      <c r="K1" s="436"/>
      <c r="L1" s="436"/>
      <c r="M1" s="437" t="s">
        <v>0</v>
      </c>
      <c r="N1" s="438"/>
      <c r="O1" s="438"/>
      <c r="P1" s="438"/>
      <c r="Q1" s="438"/>
      <c r="R1" s="438"/>
      <c r="S1" s="438"/>
      <c r="T1" s="438"/>
      <c r="U1" s="438"/>
      <c r="V1" s="439" t="s">
        <v>1</v>
      </c>
    </row>
    <row r="2" spans="1:27" ht="16.5" customHeight="1" x14ac:dyDescent="0.25">
      <c r="A2" s="440" t="s">
        <v>2</v>
      </c>
      <c r="B2" s="440" t="s">
        <v>3</v>
      </c>
      <c r="C2" s="440" t="s">
        <v>4</v>
      </c>
      <c r="D2" s="440" t="s">
        <v>5</v>
      </c>
      <c r="E2" s="440" t="s">
        <v>6</v>
      </c>
      <c r="F2" s="440" t="s">
        <v>7</v>
      </c>
      <c r="G2" s="440" t="s">
        <v>8</v>
      </c>
      <c r="H2" s="440"/>
      <c r="I2" s="440" t="s">
        <v>16</v>
      </c>
      <c r="J2" s="440"/>
      <c r="K2" s="440" t="s">
        <v>9</v>
      </c>
      <c r="L2" s="440"/>
      <c r="M2" s="438"/>
      <c r="N2" s="438"/>
      <c r="O2" s="438"/>
      <c r="P2" s="438"/>
      <c r="Q2" s="438"/>
      <c r="R2" s="438"/>
      <c r="S2" s="438"/>
      <c r="T2" s="438"/>
      <c r="U2" s="438"/>
      <c r="V2" s="439"/>
    </row>
    <row r="3" spans="1:27" ht="37.5" customHeight="1" x14ac:dyDescent="0.25">
      <c r="A3" s="440"/>
      <c r="B3" s="440"/>
      <c r="C3" s="440"/>
      <c r="D3" s="440"/>
      <c r="E3" s="440"/>
      <c r="F3" s="440"/>
      <c r="G3" s="45" t="s">
        <v>10</v>
      </c>
      <c r="H3" s="45" t="s">
        <v>11</v>
      </c>
      <c r="I3" s="45" t="s">
        <v>10</v>
      </c>
      <c r="J3" s="45" t="s">
        <v>11</v>
      </c>
      <c r="K3" s="45" t="s">
        <v>12</v>
      </c>
      <c r="L3" s="45" t="s">
        <v>13</v>
      </c>
      <c r="M3" s="438"/>
      <c r="N3" s="438"/>
      <c r="O3" s="438"/>
      <c r="P3" s="438"/>
      <c r="Q3" s="438"/>
      <c r="R3" s="438"/>
      <c r="S3" s="438"/>
      <c r="T3" s="438"/>
      <c r="U3" s="438"/>
      <c r="V3" s="439"/>
    </row>
    <row r="4" spans="1:27" ht="18.75" x14ac:dyDescent="0.25">
      <c r="A4" s="38">
        <v>45870</v>
      </c>
      <c r="B4" s="47">
        <f>'0801分析標準表 '!$C$3:$C$3</f>
        <v>4376902.38</v>
      </c>
      <c r="C4" s="48">
        <f>'0801分析標準表 '!$D$5</f>
        <v>10523.369999999997</v>
      </c>
      <c r="D4" s="67">
        <f t="shared" ref="D4" si="0">C4/B4</f>
        <v>2.4042962548321669E-3</v>
      </c>
      <c r="E4" s="47">
        <f>'0801分析標準表 '!$F$5</f>
        <v>37623.409999999996</v>
      </c>
      <c r="F4" s="39">
        <f t="shared" ref="F4" si="1">E4/B4</f>
        <v>8.5958988192009894E-3</v>
      </c>
      <c r="G4" s="47">
        <f>'0801分析標準表 '!$H$5</f>
        <v>4611.9999999999991</v>
      </c>
      <c r="H4" s="39">
        <f t="shared" ref="H4:J4" si="2">G4/C4</f>
        <v>0.43826264780198743</v>
      </c>
      <c r="I4" s="49">
        <f>'0801分析標準表 '!$J$5</f>
        <v>24597.24</v>
      </c>
      <c r="J4" s="39">
        <f t="shared" si="2"/>
        <v>0.65377487048622129</v>
      </c>
      <c r="K4" s="47">
        <f>'0801分析標準表 '!$L$5</f>
        <v>3500.18</v>
      </c>
      <c r="L4" s="68">
        <f t="shared" ref="L4" si="3">K4/C4</f>
        <v>0.33261018095914147</v>
      </c>
      <c r="M4" s="431" t="s">
        <v>177</v>
      </c>
      <c r="N4" s="431"/>
      <c r="O4" s="431"/>
      <c r="P4" s="431"/>
      <c r="Q4" s="431"/>
      <c r="R4" s="431"/>
      <c r="S4" s="431"/>
      <c r="T4" s="431"/>
      <c r="U4" s="431"/>
      <c r="V4" s="50">
        <v>187</v>
      </c>
    </row>
    <row r="5" spans="1:27" ht="18.75" x14ac:dyDescent="0.25">
      <c r="A5" s="38">
        <f>A4+1</f>
        <v>45871</v>
      </c>
      <c r="B5" s="47">
        <f>'0802分析標準表 '!$C$3:$C$3</f>
        <v>4635761.7400000012</v>
      </c>
      <c r="C5" s="48">
        <f>'0802分析標準表 '!$D$5</f>
        <v>11154.769999999997</v>
      </c>
      <c r="D5" s="67">
        <f t="shared" ref="D5:D7" si="4">C5/B5</f>
        <v>2.4062431646886136E-3</v>
      </c>
      <c r="E5" s="47">
        <f>'0802分析標準表 '!$F$5</f>
        <v>39836.479999999996</v>
      </c>
      <c r="F5" s="39">
        <f t="shared" ref="F5:F7" si="5">E5/B5</f>
        <v>8.5932975494120174E-3</v>
      </c>
      <c r="G5" s="47">
        <f>'0802分析標準表 '!$H$5</f>
        <v>5425.18</v>
      </c>
      <c r="H5" s="39">
        <f t="shared" ref="H5:H7" si="6">G5/C5</f>
        <v>0.48635516465153489</v>
      </c>
      <c r="I5" s="49">
        <f>'0802分析標準表 '!$J$5</f>
        <v>22087.899999999998</v>
      </c>
      <c r="J5" s="39">
        <f t="shared" ref="J5:J7" si="7">I5/E5</f>
        <v>0.55446414944292266</v>
      </c>
      <c r="K5" s="47">
        <f>'0802分析標準表 '!$L$5</f>
        <v>3858.11</v>
      </c>
      <c r="L5" s="68">
        <f t="shared" ref="L5:L7" si="8">K5/C5</f>
        <v>0.34587086959211183</v>
      </c>
      <c r="M5" s="431" t="s">
        <v>440</v>
      </c>
      <c r="N5" s="431"/>
      <c r="O5" s="431"/>
      <c r="P5" s="431"/>
      <c r="Q5" s="431"/>
      <c r="R5" s="431"/>
      <c r="S5" s="431"/>
      <c r="T5" s="431"/>
      <c r="U5" s="431"/>
      <c r="V5" s="50">
        <v>187</v>
      </c>
    </row>
    <row r="6" spans="1:27" ht="18.75" x14ac:dyDescent="0.25">
      <c r="A6" s="38">
        <f t="shared" ref="A6:A34" si="9">A5+1</f>
        <v>45872</v>
      </c>
      <c r="B6" s="47">
        <f>'0803分析標準表 '!$C$3:$C$3</f>
        <v>5941913.1299999999</v>
      </c>
      <c r="C6" s="48">
        <f>'0803分析標準表 '!$D$5</f>
        <v>14483.439999999999</v>
      </c>
      <c r="D6" s="67">
        <f t="shared" si="4"/>
        <v>2.4375045011807502E-3</v>
      </c>
      <c r="E6" s="47">
        <f>'0803分析標準表 '!$F$5</f>
        <v>50877.050000000017</v>
      </c>
      <c r="F6" s="39">
        <f t="shared" si="5"/>
        <v>8.5624021904877664E-3</v>
      </c>
      <c r="G6" s="47">
        <f>'0803分析標準表 '!$H$5</f>
        <v>7244.99</v>
      </c>
      <c r="H6" s="39">
        <f t="shared" si="6"/>
        <v>0.5002257750921052</v>
      </c>
      <c r="I6" s="49">
        <f>'0803分析標準表 '!$J$5</f>
        <v>30134.399999999998</v>
      </c>
      <c r="J6" s="39">
        <f t="shared" si="7"/>
        <v>0.59229849214921049</v>
      </c>
      <c r="K6" s="47">
        <f>'0803分析標準表 '!$L$5</f>
        <v>5115.8999999999996</v>
      </c>
      <c r="L6" s="68">
        <f t="shared" si="8"/>
        <v>0.35322409593301041</v>
      </c>
      <c r="M6" s="431" t="s">
        <v>441</v>
      </c>
      <c r="N6" s="431"/>
      <c r="O6" s="431"/>
      <c r="P6" s="431"/>
      <c r="Q6" s="431"/>
      <c r="R6" s="431"/>
      <c r="S6" s="431"/>
      <c r="T6" s="431"/>
      <c r="U6" s="431"/>
      <c r="V6" s="50">
        <v>187</v>
      </c>
    </row>
    <row r="7" spans="1:27" ht="18.75" x14ac:dyDescent="0.25">
      <c r="A7" s="38">
        <f t="shared" si="9"/>
        <v>45873</v>
      </c>
      <c r="B7" s="47">
        <f>'0804分析標準表 '!$C$3:$C$3</f>
        <v>5873416.1200000001</v>
      </c>
      <c r="C7" s="48">
        <f>'0804分析標準表 '!$D$5</f>
        <v>14310.170000000009</v>
      </c>
      <c r="D7" s="67">
        <f t="shared" si="4"/>
        <v>2.4364304703818618E-3</v>
      </c>
      <c r="E7" s="47">
        <f>'0804分析標準表 '!$F$5</f>
        <v>50296.24000000002</v>
      </c>
      <c r="F7" s="39">
        <f t="shared" si="5"/>
        <v>8.5633707832708465E-3</v>
      </c>
      <c r="G7" s="47">
        <f>'0804分析標準表 '!$H$5</f>
        <v>6706.8</v>
      </c>
      <c r="H7" s="39">
        <f t="shared" si="6"/>
        <v>0.46867367753143363</v>
      </c>
      <c r="I7" s="49">
        <f>'0804分析標準表 '!$J$5</f>
        <v>21071.86</v>
      </c>
      <c r="J7" s="39">
        <f t="shared" si="7"/>
        <v>0.41895497556079725</v>
      </c>
      <c r="K7" s="47">
        <f>'0804分析標準表 '!$L$5</f>
        <v>6101.4</v>
      </c>
      <c r="L7" s="68">
        <f t="shared" si="8"/>
        <v>0.42636810044884133</v>
      </c>
      <c r="M7" s="431" t="s">
        <v>442</v>
      </c>
      <c r="N7" s="431"/>
      <c r="O7" s="431"/>
      <c r="P7" s="431"/>
      <c r="Q7" s="431"/>
      <c r="R7" s="431"/>
      <c r="S7" s="431"/>
      <c r="T7" s="431"/>
      <c r="U7" s="431"/>
      <c r="V7" s="50">
        <v>187</v>
      </c>
    </row>
    <row r="8" spans="1:27" ht="18.75" x14ac:dyDescent="0.25">
      <c r="A8" s="38">
        <f t="shared" si="9"/>
        <v>45874</v>
      </c>
      <c r="B8" s="47">
        <f>'0805分析標準表 '!$C$3:$C$3</f>
        <v>6182700.1500000004</v>
      </c>
      <c r="C8" s="48">
        <f>'0805分析標準表 '!$D$5</f>
        <v>15148.469999999996</v>
      </c>
      <c r="D8" s="67">
        <f t="shared" ref="D8" si="10">C8/B8</f>
        <v>2.4501382296535914E-3</v>
      </c>
      <c r="E8" s="47">
        <f>'0805分析標準表 '!$F$5</f>
        <v>52860.810000000005</v>
      </c>
      <c r="F8" s="39">
        <f t="shared" ref="F8" si="11">E8/B8</f>
        <v>8.5497935719881235E-3</v>
      </c>
      <c r="G8" s="47">
        <f>'0805分析標準表 '!$H$5</f>
        <v>6868.119999999999</v>
      </c>
      <c r="H8" s="39">
        <f t="shared" ref="H8" si="12">G8/C8</f>
        <v>0.45338704172764649</v>
      </c>
      <c r="I8" s="49">
        <f>'0805分析標準表 '!$J$5</f>
        <v>32989.229999999996</v>
      </c>
      <c r="J8" s="39">
        <f t="shared" ref="J8" si="13">I8/E8</f>
        <v>0.62407727009858516</v>
      </c>
      <c r="K8" s="47">
        <f>'0805分析標準表 '!$L$5</f>
        <v>7031.6699999999992</v>
      </c>
      <c r="L8" s="68">
        <f t="shared" ref="L8" si="14">K8/C8</f>
        <v>0.46418351160216187</v>
      </c>
      <c r="M8" s="431" t="s">
        <v>443</v>
      </c>
      <c r="N8" s="431"/>
      <c r="O8" s="431"/>
      <c r="P8" s="431"/>
      <c r="Q8" s="431"/>
      <c r="R8" s="431"/>
      <c r="S8" s="431"/>
      <c r="T8" s="431"/>
      <c r="U8" s="431"/>
      <c r="V8" s="50">
        <v>188</v>
      </c>
      <c r="Y8" s="40"/>
      <c r="Z8" s="40"/>
    </row>
    <row r="9" spans="1:27" ht="18.75" x14ac:dyDescent="0.25">
      <c r="A9" s="38">
        <f t="shared" si="9"/>
        <v>45875</v>
      </c>
      <c r="B9" s="47">
        <f>'0806分析標準表 '!$C$3:$C$3</f>
        <v>6008483.6100000003</v>
      </c>
      <c r="C9" s="48">
        <f>'0806分析標準表 '!$D$5</f>
        <v>14657.259999999998</v>
      </c>
      <c r="D9" s="67">
        <f t="shared" ref="D9:D10" si="15">C9/B9</f>
        <v>2.4394274747801129E-3</v>
      </c>
      <c r="E9" s="47">
        <f>'0806分析標準表 '!$F$5</f>
        <v>51434.520000000004</v>
      </c>
      <c r="F9" s="39">
        <f t="shared" ref="F9:F10" si="16">E9/B9</f>
        <v>8.5603162692158858E-3</v>
      </c>
      <c r="G9" s="47">
        <f>'0806分析標準表 '!$H$5</f>
        <v>5758.7100000000009</v>
      </c>
      <c r="H9" s="39">
        <f t="shared" ref="H9:H10" si="17">G9/C9</f>
        <v>0.39289130437748948</v>
      </c>
      <c r="I9" s="49">
        <f>'0806分析標準表 '!$J$5</f>
        <v>34249.94</v>
      </c>
      <c r="J9" s="39">
        <f t="shared" ref="J9:J10" si="18">I9/E9</f>
        <v>0.66589403381231127</v>
      </c>
      <c r="K9" s="47">
        <f>'0806分析標準表 '!$L$5</f>
        <v>6660.99</v>
      </c>
      <c r="L9" s="68">
        <f t="shared" ref="L9:L10" si="19">K9/C9</f>
        <v>0.45444987671638493</v>
      </c>
      <c r="M9" s="431" t="s">
        <v>444</v>
      </c>
      <c r="N9" s="431"/>
      <c r="O9" s="431"/>
      <c r="P9" s="431"/>
      <c r="Q9" s="431"/>
      <c r="R9" s="431"/>
      <c r="S9" s="431"/>
      <c r="T9" s="431"/>
      <c r="U9" s="431"/>
      <c r="V9" s="50">
        <v>187</v>
      </c>
    </row>
    <row r="10" spans="1:27" ht="18.75" x14ac:dyDescent="0.25">
      <c r="A10" s="38">
        <f t="shared" si="9"/>
        <v>45876</v>
      </c>
      <c r="B10" s="47">
        <f>'0807分析標準表 '!$C$3:$C$3</f>
        <v>5578775.71</v>
      </c>
      <c r="C10" s="48">
        <f>'0807分析標準表 '!$D$5</f>
        <v>13552.550000000005</v>
      </c>
      <c r="D10" s="67">
        <f t="shared" si="15"/>
        <v>2.4293054075837732E-3</v>
      </c>
      <c r="E10" s="47">
        <f>'0807分析標準表 '!$F$5</f>
        <v>47813.479999999981</v>
      </c>
      <c r="F10" s="39">
        <f t="shared" si="16"/>
        <v>8.570604463322291E-3</v>
      </c>
      <c r="G10" s="47">
        <f>'0807分析標準表 '!$H$5</f>
        <v>6153.9400000000005</v>
      </c>
      <c r="H10" s="39">
        <f t="shared" si="17"/>
        <v>0.45407985950983382</v>
      </c>
      <c r="I10" s="49">
        <f>'0807分析標準表 '!$J$5</f>
        <v>23508.46</v>
      </c>
      <c r="J10" s="39">
        <f t="shared" si="18"/>
        <v>0.49167013151939598</v>
      </c>
      <c r="K10" s="47">
        <f>'0807分析標準表 '!$L$5</f>
        <v>5911.59</v>
      </c>
      <c r="L10" s="68">
        <f t="shared" si="19"/>
        <v>0.43619761594681428</v>
      </c>
      <c r="M10" s="433" t="s">
        <v>445</v>
      </c>
      <c r="N10" s="434"/>
      <c r="O10" s="434"/>
      <c r="P10" s="434"/>
      <c r="Q10" s="434"/>
      <c r="R10" s="434"/>
      <c r="S10" s="434"/>
      <c r="T10" s="434"/>
      <c r="U10" s="435"/>
      <c r="V10" s="50">
        <v>187</v>
      </c>
    </row>
    <row r="11" spans="1:27" ht="18.75" x14ac:dyDescent="0.25">
      <c r="A11" s="38">
        <f t="shared" si="9"/>
        <v>45877</v>
      </c>
      <c r="B11" s="47">
        <f>'0808分析標準表 '!$C$3:$C$3</f>
        <v>4540704.45</v>
      </c>
      <c r="C11" s="48">
        <f>'0808分析標準表 '!$D$5</f>
        <v>10914.96</v>
      </c>
      <c r="D11" s="67">
        <f t="shared" ref="D11:D13" si="20">C11/B11</f>
        <v>2.4038032248498353E-3</v>
      </c>
      <c r="E11" s="47">
        <f>'0808分析標準表 '!$F$5</f>
        <v>39033.469999999994</v>
      </c>
      <c r="F11" s="39">
        <f t="shared" ref="F11:F13" si="21">E11/B11</f>
        <v>8.5963467628905003E-3</v>
      </c>
      <c r="G11" s="47">
        <f>'0808分析標準表 '!$H$5</f>
        <v>5153.95</v>
      </c>
      <c r="H11" s="39">
        <f t="shared" ref="H11:H13" si="22">G11/C11</f>
        <v>0.47219137770546116</v>
      </c>
      <c r="I11" s="49">
        <f>'0808分析標準表 '!$J$5</f>
        <v>22698.010000000002</v>
      </c>
      <c r="J11" s="39">
        <f t="shared" ref="J11:J13" si="23">I11/E11</f>
        <v>0.58150120909055758</v>
      </c>
      <c r="K11" s="47">
        <f>'0808分析標準表 '!$L$5</f>
        <v>6163.6900000000005</v>
      </c>
      <c r="L11" s="68">
        <f t="shared" ref="L11:L13" si="24">K11/C11</f>
        <v>0.56470110747084745</v>
      </c>
      <c r="M11" s="431" t="s">
        <v>596</v>
      </c>
      <c r="N11" s="431"/>
      <c r="O11" s="431"/>
      <c r="P11" s="431"/>
      <c r="Q11" s="431"/>
      <c r="R11" s="431"/>
      <c r="S11" s="431"/>
      <c r="T11" s="431"/>
      <c r="U11" s="431"/>
      <c r="V11" s="50">
        <v>187</v>
      </c>
    </row>
    <row r="12" spans="1:27" ht="18.75" x14ac:dyDescent="0.25">
      <c r="A12" s="38">
        <f t="shared" si="9"/>
        <v>45878</v>
      </c>
      <c r="B12" s="47">
        <f>'0809分析標準表 '!$C$3:$C$3</f>
        <v>4698362.95</v>
      </c>
      <c r="C12" s="48">
        <f>'0809分析標準表 '!$D$5</f>
        <v>11309.070000000009</v>
      </c>
      <c r="D12" s="67">
        <f t="shared" si="20"/>
        <v>2.4070234931509514E-3</v>
      </c>
      <c r="E12" s="47">
        <f>'0809分析標準表 '!$F$5</f>
        <v>40372.560000000005</v>
      </c>
      <c r="F12" s="39">
        <f t="shared" si="21"/>
        <v>8.5928993629579009E-3</v>
      </c>
      <c r="G12" s="47">
        <f>'0809分析標準表 '!$H$5</f>
        <v>5527.1</v>
      </c>
      <c r="H12" s="39">
        <f t="shared" si="22"/>
        <v>0.4887316109989589</v>
      </c>
      <c r="I12" s="49">
        <f>'0809分析標準表 '!$J$5</f>
        <v>25619.47</v>
      </c>
      <c r="J12" s="39">
        <f t="shared" si="23"/>
        <v>0.63457630628327755</v>
      </c>
      <c r="K12" s="47">
        <f>'0809分析標準表 '!$L$5</f>
        <v>2388.0399999999995</v>
      </c>
      <c r="L12" s="68">
        <f t="shared" si="24"/>
        <v>0.21116148365869145</v>
      </c>
      <c r="M12" s="431" t="s">
        <v>597</v>
      </c>
      <c r="N12" s="431"/>
      <c r="O12" s="431"/>
      <c r="P12" s="431"/>
      <c r="Q12" s="431"/>
      <c r="R12" s="431"/>
      <c r="S12" s="431"/>
      <c r="T12" s="431"/>
      <c r="U12" s="431"/>
      <c r="V12" s="50">
        <v>187</v>
      </c>
    </row>
    <row r="13" spans="1:27" ht="18.75" x14ac:dyDescent="0.25">
      <c r="A13" s="38">
        <f t="shared" si="9"/>
        <v>45879</v>
      </c>
      <c r="B13" s="47">
        <f>'0810分析標準表 '!$C$3:$C$3</f>
        <v>6020434.0999999996</v>
      </c>
      <c r="C13" s="48">
        <f>'0810分析標準表 '!$D$5</f>
        <v>14686.580000000002</v>
      </c>
      <c r="D13" s="67">
        <f t="shared" si="20"/>
        <v>2.4394553210041786E-3</v>
      </c>
      <c r="E13" s="47">
        <f>'0810分析標準表 '!$F$5</f>
        <v>51535.799999999988</v>
      </c>
      <c r="F13" s="39">
        <f t="shared" si="21"/>
        <v>8.5601468505402279E-3</v>
      </c>
      <c r="G13" s="47">
        <f>'0810分析標準表 '!$H$5</f>
        <v>5452.3399999999992</v>
      </c>
      <c r="H13" s="39">
        <f t="shared" si="22"/>
        <v>0.37124640317895646</v>
      </c>
      <c r="I13" s="49">
        <f>'0810分析標準表 '!$J$5</f>
        <v>30066.079999999994</v>
      </c>
      <c r="J13" s="39">
        <f t="shared" si="23"/>
        <v>0.58340182940790675</v>
      </c>
      <c r="K13" s="47">
        <f>'0810分析標準表 '!$L$5</f>
        <v>6411.2800000000007</v>
      </c>
      <c r="L13" s="68">
        <f t="shared" si="24"/>
        <v>0.43654002497518141</v>
      </c>
      <c r="M13" s="431" t="s">
        <v>598</v>
      </c>
      <c r="N13" s="431"/>
      <c r="O13" s="431"/>
      <c r="P13" s="431"/>
      <c r="Q13" s="431"/>
      <c r="R13" s="431"/>
      <c r="S13" s="431"/>
      <c r="T13" s="431"/>
      <c r="U13" s="431"/>
      <c r="V13" s="50">
        <v>186</v>
      </c>
    </row>
    <row r="14" spans="1:27" ht="18.75" x14ac:dyDescent="0.25">
      <c r="A14" s="38">
        <f t="shared" si="9"/>
        <v>45880</v>
      </c>
      <c r="B14" s="47">
        <f>'0811分析標準表 '!$C$3:$C$3</f>
        <v>5944516.0099999998</v>
      </c>
      <c r="C14" s="48">
        <f>'0811分析標準表 '!$D$5</f>
        <v>14564.22</v>
      </c>
      <c r="D14" s="67">
        <f t="shared" ref="D14" si="25">C14/B14</f>
        <v>2.4500262049088166E-3</v>
      </c>
      <c r="E14" s="47">
        <f>'0811分析標準表 '!$F$5</f>
        <v>50823.560000000005</v>
      </c>
      <c r="F14" s="39">
        <f t="shared" ref="F14" si="26">E14/B14</f>
        <v>8.5496548271555596E-3</v>
      </c>
      <c r="G14" s="47">
        <f>'0811分析標準表 '!$H$5</f>
        <v>5918.3200000000006</v>
      </c>
      <c r="H14" s="39">
        <f t="shared" ref="H14" si="27">G14/C14</f>
        <v>0.40636024448957797</v>
      </c>
      <c r="I14" s="49">
        <f>'0811分析標準表 '!$J$5</f>
        <v>32770.51</v>
      </c>
      <c r="J14" s="39">
        <f t="shared" ref="J14" si="28">I14/E14</f>
        <v>0.64478973924691618</v>
      </c>
      <c r="K14" s="47">
        <f>'0811分析標準表 '!$L$5</f>
        <v>5762.81</v>
      </c>
      <c r="L14" s="68">
        <f t="shared" ref="L14" si="29">K14/C14</f>
        <v>0.39568270734718375</v>
      </c>
      <c r="M14" s="431" t="s">
        <v>599</v>
      </c>
      <c r="N14" s="431"/>
      <c r="O14" s="431"/>
      <c r="P14" s="431"/>
      <c r="Q14" s="431"/>
      <c r="R14" s="431"/>
      <c r="S14" s="431"/>
      <c r="T14" s="431"/>
      <c r="U14" s="431"/>
      <c r="V14" s="50">
        <v>187</v>
      </c>
    </row>
    <row r="15" spans="1:27" ht="18.75" x14ac:dyDescent="0.25">
      <c r="A15" s="38">
        <f t="shared" si="9"/>
        <v>45881</v>
      </c>
      <c r="B15" s="47">
        <f>'0812分析標準表 '!$C$3:$C$3</f>
        <v>5571059.96</v>
      </c>
      <c r="C15" s="48">
        <f>'0812分析標準表 '!$D$5</f>
        <v>13534.119999999995</v>
      </c>
      <c r="D15" s="67">
        <f t="shared" ref="D15:D16" si="30">C15/B15</f>
        <v>2.4293617547063691E-3</v>
      </c>
      <c r="E15" s="47">
        <f>'0812分析標準表 '!$F$5</f>
        <v>47748.029999999992</v>
      </c>
      <c r="F15" s="39">
        <f t="shared" ref="F15:F16" si="31">E15/B15</f>
        <v>8.5707262788103245E-3</v>
      </c>
      <c r="G15" s="47">
        <f>'0812分析標準表 '!$H$5</f>
        <v>6650.97</v>
      </c>
      <c r="H15" s="39">
        <f t="shared" ref="H15:H16" si="32">G15/C15</f>
        <v>0.49142241978052525</v>
      </c>
      <c r="I15" s="49">
        <f>'0812分析標準表 '!$J$5</f>
        <v>26859.179999999997</v>
      </c>
      <c r="J15" s="39">
        <f t="shared" ref="J15:J16" si="33">I15/E15</f>
        <v>0.56251912382563218</v>
      </c>
      <c r="K15" s="47">
        <f>'0812分析標準表 '!$L$5</f>
        <v>4519.4499999999989</v>
      </c>
      <c r="L15" s="68">
        <f t="shared" ref="L15:L16" si="34">K15/C15</f>
        <v>0.3339300966741835</v>
      </c>
      <c r="M15" s="431" t="s">
        <v>680</v>
      </c>
      <c r="N15" s="431"/>
      <c r="O15" s="431"/>
      <c r="P15" s="431"/>
      <c r="Q15" s="431"/>
      <c r="R15" s="431"/>
      <c r="S15" s="431"/>
      <c r="T15" s="431"/>
      <c r="U15" s="431"/>
      <c r="V15" s="50">
        <v>186</v>
      </c>
      <c r="Y15" s="41"/>
      <c r="Z15" s="41"/>
      <c r="AA15" s="41"/>
    </row>
    <row r="16" spans="1:27" ht="18.75" x14ac:dyDescent="0.25">
      <c r="A16" s="38">
        <f t="shared" si="9"/>
        <v>45882</v>
      </c>
      <c r="B16" s="47">
        <f>'0813分析標準表 '!$C$3:$C$3</f>
        <v>5601894.2999999998</v>
      </c>
      <c r="C16" s="48">
        <f>'0813分析標準表 '!$D$5</f>
        <v>13442.580000000002</v>
      </c>
      <c r="D16" s="67">
        <f t="shared" si="30"/>
        <v>2.3996489901639169E-3</v>
      </c>
      <c r="E16" s="47">
        <f>'0813分析標準表 '!$F$5</f>
        <v>48178.07</v>
      </c>
      <c r="F16" s="39">
        <f t="shared" si="31"/>
        <v>8.6003175747175389E-3</v>
      </c>
      <c r="G16" s="47">
        <f>'0813分析標準表 '!$H$5</f>
        <v>5323.9699999999993</v>
      </c>
      <c r="H16" s="39">
        <f t="shared" si="32"/>
        <v>0.3960526922659191</v>
      </c>
      <c r="I16" s="49">
        <f>'0813分析標準表 '!$J$5</f>
        <v>26653.8</v>
      </c>
      <c r="J16" s="39">
        <f t="shared" si="33"/>
        <v>0.55323511298812922</v>
      </c>
      <c r="K16" s="47">
        <f>'0813分析標準表 '!$L$5</f>
        <v>4897.1400000000003</v>
      </c>
      <c r="L16" s="68">
        <f t="shared" si="34"/>
        <v>0.36430060300924372</v>
      </c>
      <c r="M16" s="431" t="s">
        <v>681</v>
      </c>
      <c r="N16" s="431"/>
      <c r="O16" s="431"/>
      <c r="P16" s="431"/>
      <c r="Q16" s="431"/>
      <c r="R16" s="431"/>
      <c r="S16" s="431"/>
      <c r="T16" s="431"/>
      <c r="U16" s="431"/>
      <c r="V16" s="50">
        <v>181</v>
      </c>
    </row>
    <row r="17" spans="1:26" ht="18.75" x14ac:dyDescent="0.25">
      <c r="A17" s="38">
        <f t="shared" si="9"/>
        <v>45883</v>
      </c>
      <c r="B17" s="47">
        <f>'0814分析標準表 '!$C$3:$C$3</f>
        <v>5220507.6900000004</v>
      </c>
      <c r="C17" s="48">
        <f>'0814分析標準表 '!$D$5</f>
        <v>12531.16</v>
      </c>
      <c r="D17" s="67">
        <f t="shared" ref="D17:D20" si="35">C17/B17</f>
        <v>2.4003719071238449E-3</v>
      </c>
      <c r="E17" s="47">
        <f>'0814分析標準表 '!$F$5</f>
        <v>44895.03</v>
      </c>
      <c r="F17" s="39">
        <f t="shared" ref="F17:F20" si="36">E17/B17</f>
        <v>8.5997440605245033E-3</v>
      </c>
      <c r="G17" s="47">
        <f>'0814分析標準表 '!$H$5</f>
        <v>5238.95</v>
      </c>
      <c r="H17" s="39">
        <f t="shared" ref="H17:H20" si="37">G17/C17</f>
        <v>0.41807382556762501</v>
      </c>
      <c r="I17" s="49">
        <f>'0814分析標準表 '!$J$5</f>
        <v>26429.35</v>
      </c>
      <c r="J17" s="39">
        <f t="shared" ref="J17:J20" si="38">I17/E17</f>
        <v>0.58869211135397392</v>
      </c>
      <c r="K17" s="47">
        <f>'0814分析標準表 '!$L$5</f>
        <v>4639.55</v>
      </c>
      <c r="L17" s="68">
        <f t="shared" ref="L17:L20" si="39">K17/C17</f>
        <v>0.37024106307795929</v>
      </c>
      <c r="M17" s="431" t="s">
        <v>744</v>
      </c>
      <c r="N17" s="431"/>
      <c r="O17" s="431"/>
      <c r="P17" s="431"/>
      <c r="Q17" s="431"/>
      <c r="R17" s="431"/>
      <c r="S17" s="431"/>
      <c r="T17" s="431"/>
      <c r="U17" s="431"/>
      <c r="V17" s="50">
        <v>181</v>
      </c>
      <c r="Y17" s="42"/>
      <c r="Z17" s="42"/>
    </row>
    <row r="18" spans="1:26" ht="18.75" x14ac:dyDescent="0.25">
      <c r="A18" s="38">
        <f t="shared" si="9"/>
        <v>45884</v>
      </c>
      <c r="B18" s="47">
        <f>'0815分析標準表 '!$C$3:$C$3</f>
        <v>4456648.04</v>
      </c>
      <c r="C18" s="48">
        <f>'0815分析標準表 '!$D$5</f>
        <v>10695.080000000004</v>
      </c>
      <c r="D18" s="67">
        <f t="shared" si="35"/>
        <v>2.3998035976832499E-3</v>
      </c>
      <c r="E18" s="47">
        <f>'0815分析標準表 '!$F$5</f>
        <v>38326.700000000012</v>
      </c>
      <c r="F18" s="39">
        <f t="shared" si="36"/>
        <v>8.5998938341112548E-3</v>
      </c>
      <c r="G18" s="47">
        <f>'0815分析標準表 '!$H$5</f>
        <v>4755.1000000000004</v>
      </c>
      <c r="H18" s="39">
        <f t="shared" si="37"/>
        <v>0.44460630495517556</v>
      </c>
      <c r="I18" s="49">
        <f>'0815分析標準表 '!$J$5</f>
        <v>23717.950000000004</v>
      </c>
      <c r="J18" s="39">
        <f t="shared" si="38"/>
        <v>0.61883621600607397</v>
      </c>
      <c r="K18" s="47">
        <f>'0815分析標準表 '!$L$5</f>
        <v>5570.3899999999994</v>
      </c>
      <c r="L18" s="68">
        <f t="shared" si="39"/>
        <v>0.52083668378357129</v>
      </c>
      <c r="M18" s="433" t="s">
        <v>744</v>
      </c>
      <c r="N18" s="434"/>
      <c r="O18" s="434"/>
      <c r="P18" s="434"/>
      <c r="Q18" s="434"/>
      <c r="R18" s="434"/>
      <c r="S18" s="434"/>
      <c r="T18" s="434"/>
      <c r="U18" s="435"/>
      <c r="V18" s="50">
        <v>181</v>
      </c>
    </row>
    <row r="19" spans="1:26" ht="18.75" x14ac:dyDescent="0.25">
      <c r="A19" s="38">
        <f t="shared" si="9"/>
        <v>45885</v>
      </c>
      <c r="B19" s="47">
        <f>'0816分析標準表 '!$C$3:$C$3</f>
        <v>4483117.49</v>
      </c>
      <c r="C19" s="48">
        <f>'0816分析標準表 '!$D$5</f>
        <v>10769.009999999997</v>
      </c>
      <c r="D19" s="67">
        <f t="shared" si="35"/>
        <v>2.4021253121340783E-3</v>
      </c>
      <c r="E19" s="47">
        <f>'0816分析標準表 '!$F$5</f>
        <v>38544.860000000008</v>
      </c>
      <c r="F19" s="39">
        <f t="shared" si="36"/>
        <v>8.5977804699470424E-3</v>
      </c>
      <c r="G19" s="47">
        <f>'0816分析標準表 '!$H$5</f>
        <v>5301.32</v>
      </c>
      <c r="H19" s="39">
        <f t="shared" si="37"/>
        <v>0.4922755202195932</v>
      </c>
      <c r="I19" s="49">
        <f>'0816分析標準表 '!$J$5</f>
        <v>26226.560000000001</v>
      </c>
      <c r="J19" s="39">
        <f t="shared" si="38"/>
        <v>0.68041653283991677</v>
      </c>
      <c r="K19" s="47">
        <f>'0816分析標準表 '!$L$5</f>
        <v>2679.56</v>
      </c>
      <c r="L19" s="68">
        <f t="shared" si="39"/>
        <v>0.24882138655271011</v>
      </c>
      <c r="M19" s="431" t="s">
        <v>748</v>
      </c>
      <c r="N19" s="431"/>
      <c r="O19" s="431"/>
      <c r="P19" s="431"/>
      <c r="Q19" s="431"/>
      <c r="R19" s="431"/>
      <c r="S19" s="431"/>
      <c r="T19" s="431"/>
      <c r="U19" s="431"/>
      <c r="V19" s="50">
        <v>175</v>
      </c>
    </row>
    <row r="20" spans="1:26" ht="18.75" x14ac:dyDescent="0.25">
      <c r="A20" s="38">
        <f t="shared" si="9"/>
        <v>45886</v>
      </c>
      <c r="B20" s="47">
        <f>'0817分析標準表 '!$C$3:$C$3</f>
        <v>5735188.2800000003</v>
      </c>
      <c r="C20" s="48">
        <f>'0817分析標準表 '!$D$5</f>
        <v>13950.530000000002</v>
      </c>
      <c r="D20" s="67">
        <f t="shared" si="35"/>
        <v>2.4324449902802495E-3</v>
      </c>
      <c r="E20" s="47">
        <f>'0817分析標準表 '!$F$5</f>
        <v>49138.100000000006</v>
      </c>
      <c r="F20" s="39">
        <f t="shared" si="36"/>
        <v>8.567826826428095E-3</v>
      </c>
      <c r="G20" s="47">
        <f>'0817分析標準表 '!$H$5</f>
        <v>5915.6</v>
      </c>
      <c r="H20" s="39">
        <f t="shared" si="37"/>
        <v>0.42404123714296155</v>
      </c>
      <c r="I20" s="49">
        <f>'0817分析標準表 '!$J$5</f>
        <v>37558.520000000004</v>
      </c>
      <c r="J20" s="39">
        <f t="shared" si="38"/>
        <v>0.76434619979201479</v>
      </c>
      <c r="K20" s="47">
        <f>'0817分析標準表 '!$L$5</f>
        <v>5576.0099999999993</v>
      </c>
      <c r="L20" s="68">
        <f t="shared" si="39"/>
        <v>0.39969879280572124</v>
      </c>
      <c r="M20" s="431" t="s">
        <v>749</v>
      </c>
      <c r="N20" s="431"/>
      <c r="O20" s="431"/>
      <c r="P20" s="431"/>
      <c r="Q20" s="431"/>
      <c r="R20" s="431"/>
      <c r="S20" s="431"/>
      <c r="T20" s="431"/>
      <c r="U20" s="431"/>
      <c r="V20" s="50">
        <v>169</v>
      </c>
    </row>
    <row r="21" spans="1:26" ht="18.75" x14ac:dyDescent="0.25">
      <c r="A21" s="38">
        <f t="shared" si="9"/>
        <v>45887</v>
      </c>
      <c r="B21" s="47">
        <f>'0818分析標準表 '!$C$3:$C$3</f>
        <v>5701317.8200000003</v>
      </c>
      <c r="C21" s="48">
        <f>'0818分析標準表 '!$D$5</f>
        <v>13867.019999999999</v>
      </c>
      <c r="D21" s="67">
        <f t="shared" ref="D21" si="40">C21/B21</f>
        <v>2.432248199066369E-3</v>
      </c>
      <c r="E21" s="47">
        <f>'0818分析標準表 '!$F$5</f>
        <v>48846.099999999984</v>
      </c>
      <c r="F21" s="39">
        <f t="shared" ref="F21" si="41">E21/B21</f>
        <v>8.5675104497156384E-3</v>
      </c>
      <c r="G21" s="47">
        <f>'0818分析標準表 '!$H$5</f>
        <v>4742.4500000000007</v>
      </c>
      <c r="H21" s="39">
        <f t="shared" ref="H21" si="42">G21/C21</f>
        <v>0.34199489147632306</v>
      </c>
      <c r="I21" s="49">
        <f>'0818分析標準表 '!$J$5</f>
        <v>32506.149999999998</v>
      </c>
      <c r="J21" s="39">
        <f t="shared" ref="J21" si="43">I21/E21</f>
        <v>0.6654809698215417</v>
      </c>
      <c r="K21" s="47">
        <f>'0818分析標準表 '!$L$5</f>
        <v>2450.88</v>
      </c>
      <c r="L21" s="68">
        <f t="shared" ref="L21" si="44">K21/C21</f>
        <v>0.17674165033294828</v>
      </c>
      <c r="M21" s="431" t="s">
        <v>783</v>
      </c>
      <c r="N21" s="431"/>
      <c r="O21" s="431"/>
      <c r="P21" s="431"/>
      <c r="Q21" s="431"/>
      <c r="R21" s="431"/>
      <c r="S21" s="431"/>
      <c r="T21" s="431"/>
      <c r="U21" s="431"/>
      <c r="V21" s="50">
        <v>169</v>
      </c>
    </row>
    <row r="22" spans="1:26" ht="18.75" x14ac:dyDescent="0.25">
      <c r="A22" s="38">
        <f t="shared" si="9"/>
        <v>45888</v>
      </c>
      <c r="B22" s="47">
        <f>'0819分析標準表 '!$C$3:$C$3</f>
        <v>6939236.5499999998</v>
      </c>
      <c r="C22" s="48">
        <f>'0819分析標準表 '!$D$5</f>
        <v>17003.490000000002</v>
      </c>
      <c r="D22" s="67">
        <f t="shared" ref="D22:D24" si="45">C22/B22</f>
        <v>2.4503401602586961E-3</v>
      </c>
      <c r="E22" s="47">
        <f>'0819分析標準表 '!$F$5</f>
        <v>59330.150000000009</v>
      </c>
      <c r="F22" s="39">
        <f t="shared" ref="F22:F24" si="46">E22/B22</f>
        <v>8.5499535247865292E-3</v>
      </c>
      <c r="G22" s="47">
        <f>'0819分析標準表 '!$H$5</f>
        <v>7155.3000000000011</v>
      </c>
      <c r="H22" s="39">
        <f t="shared" ref="H22:H24" si="47">G22/C22</f>
        <v>0.42081360944135587</v>
      </c>
      <c r="I22" s="49">
        <f>'0819分析標準表 '!$J$5</f>
        <v>16978.46</v>
      </c>
      <c r="J22" s="39">
        <f t="shared" ref="J22:J24" si="48">I22/E22</f>
        <v>0.28616917368319472</v>
      </c>
      <c r="K22" s="47">
        <f>'0819分析標準表 '!$L$5</f>
        <v>8190.55</v>
      </c>
      <c r="L22" s="68">
        <f t="shared" ref="L22:L24" si="49">K22/C22</f>
        <v>0.4816981690229476</v>
      </c>
      <c r="M22" s="431" t="s">
        <v>976</v>
      </c>
      <c r="N22" s="431"/>
      <c r="O22" s="431"/>
      <c r="P22" s="431"/>
      <c r="Q22" s="431"/>
      <c r="R22" s="431"/>
      <c r="S22" s="431"/>
      <c r="T22" s="431"/>
      <c r="U22" s="431"/>
      <c r="V22" s="50">
        <v>174</v>
      </c>
    </row>
    <row r="23" spans="1:26" ht="18.75" x14ac:dyDescent="0.25">
      <c r="A23" s="38">
        <f t="shared" si="9"/>
        <v>45889</v>
      </c>
      <c r="B23" s="47">
        <f>'0820分析標準表 '!$C$3:$C$3</f>
        <v>6333786.3600000003</v>
      </c>
      <c r="C23" s="48">
        <f>'0820分析標準表 '!$D$5</f>
        <v>15433.27</v>
      </c>
      <c r="D23" s="67">
        <f t="shared" si="45"/>
        <v>2.436657809847568E-3</v>
      </c>
      <c r="E23" s="47">
        <f>'0820分析標準表 '!$F$5</f>
        <v>54238.009999999995</v>
      </c>
      <c r="F23" s="39">
        <f t="shared" si="46"/>
        <v>8.563283779593726E-3</v>
      </c>
      <c r="G23" s="47">
        <f>'0820分析標準表 '!$H$5</f>
        <v>4575.1135000000013</v>
      </c>
      <c r="H23" s="39">
        <f t="shared" si="47"/>
        <v>0.29644485582122265</v>
      </c>
      <c r="I23" s="49">
        <f>'0820分析標準表 '!$J$5</f>
        <v>14483.2145</v>
      </c>
      <c r="J23" s="39">
        <f t="shared" si="48"/>
        <v>0.2670307133318498</v>
      </c>
      <c r="K23" s="47">
        <f>'0820分析標準表 '!$L$5</f>
        <v>7981.86</v>
      </c>
      <c r="L23" s="68">
        <f t="shared" si="49"/>
        <v>0.51718527570631501</v>
      </c>
      <c r="M23" s="433" t="s">
        <v>977</v>
      </c>
      <c r="N23" s="434"/>
      <c r="O23" s="434"/>
      <c r="P23" s="434"/>
      <c r="Q23" s="434"/>
      <c r="R23" s="434"/>
      <c r="S23" s="434"/>
      <c r="T23" s="434"/>
      <c r="U23" s="435"/>
      <c r="V23" s="50">
        <v>174</v>
      </c>
    </row>
    <row r="24" spans="1:26" ht="18.75" x14ac:dyDescent="0.25">
      <c r="A24" s="38">
        <f t="shared" si="9"/>
        <v>45890</v>
      </c>
      <c r="B24" s="47">
        <f>'0821分析標準表 '!$C$3:$C$3</f>
        <v>5963895.6600000001</v>
      </c>
      <c r="C24" s="48">
        <f>'0821分析標準表 '!$D$5</f>
        <v>14483.700000000004</v>
      </c>
      <c r="D24" s="67">
        <f t="shared" si="45"/>
        <v>2.4285636144077013E-3</v>
      </c>
      <c r="E24" s="47">
        <f>'0821分析標準表 '!$F$5</f>
        <v>51116.98</v>
      </c>
      <c r="F24" s="39">
        <f t="shared" si="46"/>
        <v>8.5710721505144506E-3</v>
      </c>
      <c r="G24" s="47">
        <f>'0821分析標準表 '!$H$5</f>
        <v>4221.63</v>
      </c>
      <c r="H24" s="39">
        <f t="shared" si="47"/>
        <v>0.29147455415397994</v>
      </c>
      <c r="I24" s="49">
        <f>'0821分析標準表 '!$J$5</f>
        <v>11496.08</v>
      </c>
      <c r="J24" s="39">
        <f t="shared" si="48"/>
        <v>0.22489748025020256</v>
      </c>
      <c r="K24" s="47">
        <f>'0821分析標準表 '!$L$5</f>
        <v>6589.5400000000018</v>
      </c>
      <c r="L24" s="68">
        <f t="shared" si="49"/>
        <v>0.45496247505816884</v>
      </c>
      <c r="M24" s="431" t="s">
        <v>978</v>
      </c>
      <c r="N24" s="431"/>
      <c r="O24" s="431"/>
      <c r="P24" s="431"/>
      <c r="Q24" s="431"/>
      <c r="R24" s="431"/>
      <c r="S24" s="431"/>
      <c r="T24" s="431"/>
      <c r="U24" s="431"/>
      <c r="V24" s="50">
        <v>174</v>
      </c>
    </row>
    <row r="25" spans="1:26" ht="18.75" x14ac:dyDescent="0.25">
      <c r="A25" s="38">
        <f t="shared" si="9"/>
        <v>45891</v>
      </c>
      <c r="B25" s="47">
        <f>'0822分析標準表 '!$C$3:$C$3</f>
        <v>4909450.9800000004</v>
      </c>
      <c r="C25" s="48">
        <f>'0822分析標準表 '!$D$5</f>
        <v>11842.700000000004</v>
      </c>
      <c r="D25" s="67">
        <f t="shared" ref="D25" si="50">C25/B25</f>
        <v>2.4122249205144326E-3</v>
      </c>
      <c r="E25" s="47">
        <f>'0822分析標準表 '!$F$5</f>
        <v>42159.590000000004</v>
      </c>
      <c r="F25" s="39">
        <f t="shared" ref="F25" si="51">E25/B25</f>
        <v>8.5874347603731443E-3</v>
      </c>
      <c r="G25" s="47">
        <f>'0822分析標準表 '!$H$5</f>
        <v>3010.8200000000006</v>
      </c>
      <c r="H25" s="39">
        <f t="shared" ref="H25" si="52">G25/C25</f>
        <v>0.25423425401302063</v>
      </c>
      <c r="I25" s="49">
        <f>'0822分析標準表 '!$J$5</f>
        <v>9001.0599999999977</v>
      </c>
      <c r="J25" s="39">
        <f t="shared" ref="J25" si="53">I25/E25</f>
        <v>0.21349970433773185</v>
      </c>
      <c r="K25" s="47">
        <f>'0822分析標準表 '!$L$5</f>
        <v>6480.1399999999994</v>
      </c>
      <c r="L25" s="68">
        <f t="shared" ref="L25" si="54">K25/C25</f>
        <v>0.54718434140863126</v>
      </c>
      <c r="M25" s="433" t="s">
        <v>1090</v>
      </c>
      <c r="N25" s="434"/>
      <c r="O25" s="434"/>
      <c r="P25" s="434"/>
      <c r="Q25" s="434"/>
      <c r="R25" s="434"/>
      <c r="S25" s="434"/>
      <c r="T25" s="434"/>
      <c r="U25" s="435"/>
      <c r="V25" s="50">
        <v>174</v>
      </c>
    </row>
    <row r="26" spans="1:26" ht="18.75" x14ac:dyDescent="0.25">
      <c r="A26" s="38">
        <f t="shared" si="9"/>
        <v>45892</v>
      </c>
      <c r="B26" s="47">
        <f>'0823分析標準表 '!$C$3:$C$3</f>
        <v>5147138.66</v>
      </c>
      <c r="C26" s="48">
        <f>'0823分析標準表 '!$D$5</f>
        <v>12468.089999999998</v>
      </c>
      <c r="D26" s="67">
        <f t="shared" ref="D26" si="55">C26/B26</f>
        <v>2.4223341983951913E-3</v>
      </c>
      <c r="E26" s="47">
        <f>'0823分析標準表 '!$F$5</f>
        <v>44152.76</v>
      </c>
      <c r="F26" s="39">
        <f t="shared" ref="F26" si="56">E26/B26</f>
        <v>8.5781174583705513E-3</v>
      </c>
      <c r="G26" s="47">
        <f>'0823分析標準表 '!$H$5</f>
        <v>3597.5499999999997</v>
      </c>
      <c r="H26" s="39">
        <f t="shared" ref="H26" si="57">G26/C26</f>
        <v>0.28854058640898489</v>
      </c>
      <c r="I26" s="49">
        <f>'0823分析標準表 '!$J$5</f>
        <v>9252.3500000000022</v>
      </c>
      <c r="J26" s="39">
        <f t="shared" ref="J26" si="58">I26/E26</f>
        <v>0.20955315137717329</v>
      </c>
      <c r="K26" s="47">
        <f>'0823分析標準表 '!$L$5</f>
        <v>6270.17</v>
      </c>
      <c r="L26" s="68">
        <f t="shared" ref="L26" si="59">K26/C26</f>
        <v>0.50289739647371823</v>
      </c>
      <c r="M26" s="431" t="s">
        <v>1091</v>
      </c>
      <c r="N26" s="431"/>
      <c r="O26" s="431"/>
      <c r="P26" s="431"/>
      <c r="Q26" s="431"/>
      <c r="R26" s="431"/>
      <c r="S26" s="431"/>
      <c r="T26" s="431"/>
      <c r="U26" s="431"/>
      <c r="V26" s="50">
        <v>174</v>
      </c>
    </row>
    <row r="27" spans="1:26" ht="18.75" x14ac:dyDescent="0.25">
      <c r="A27" s="38">
        <f t="shared" si="9"/>
        <v>45893</v>
      </c>
      <c r="B27" s="47">
        <f>'0824分析標準表 '!$C$3:$C$3</f>
        <v>6385967.120000001</v>
      </c>
      <c r="C27" s="48">
        <f>'0824分析標準表 '!$D$5</f>
        <v>15627.190000000006</v>
      </c>
      <c r="D27" s="67">
        <f t="shared" ref="D27" si="60">C27/B27</f>
        <v>2.4471140715801249E-3</v>
      </c>
      <c r="E27" s="47">
        <f>'0824分析標準表 '!$F$5</f>
        <v>54615.920000000042</v>
      </c>
      <c r="F27" s="39">
        <f t="shared" ref="F27" si="61">E27/B27</f>
        <v>8.5524900103149965E-3</v>
      </c>
      <c r="G27" s="47">
        <f>'0824分析標準表 '!$H$5</f>
        <v>4182.57</v>
      </c>
      <c r="H27" s="39">
        <f t="shared" ref="H27" si="62">G27/C27</f>
        <v>0.26764696660116105</v>
      </c>
      <c r="I27" s="49">
        <f>'0824分析標準表 '!$J$5</f>
        <v>11190.04</v>
      </c>
      <c r="J27" s="39">
        <f t="shared" ref="J27" si="63">I27/E27</f>
        <v>0.20488604787761502</v>
      </c>
      <c r="K27" s="47">
        <f>'0824分析標準表 '!$L$5</f>
        <v>8286.4399999999987</v>
      </c>
      <c r="L27" s="68">
        <f t="shared" ref="L27" si="64">K27/C27</f>
        <v>0.53025783906127688</v>
      </c>
      <c r="M27" s="431" t="s">
        <v>1092</v>
      </c>
      <c r="N27" s="431"/>
      <c r="O27" s="431"/>
      <c r="P27" s="431"/>
      <c r="Q27" s="431"/>
      <c r="R27" s="431"/>
      <c r="S27" s="431"/>
      <c r="T27" s="431"/>
      <c r="U27" s="431"/>
      <c r="V27" s="50">
        <v>174</v>
      </c>
    </row>
    <row r="28" spans="1:26" ht="18.75" x14ac:dyDescent="0.25">
      <c r="A28" s="38">
        <f t="shared" si="9"/>
        <v>45894</v>
      </c>
      <c r="B28" s="47">
        <f>'0825分析標準表 '!$C$3:$C$3</f>
        <v>6110563.6299999999</v>
      </c>
      <c r="C28" s="48">
        <f>'0825分析標準表 '!$D$5</f>
        <v>14920.72</v>
      </c>
      <c r="D28" s="67">
        <f t="shared" ref="D28" si="65">C28/B28</f>
        <v>2.4417911183751144E-3</v>
      </c>
      <c r="E28" s="47">
        <f>'0825分析標準表 '!$F$5</f>
        <v>48957.46</v>
      </c>
      <c r="F28" s="39">
        <f t="shared" ref="F28" si="66">E28/B28</f>
        <v>8.0119384993622925E-3</v>
      </c>
      <c r="G28" s="47">
        <f>'0825分析標準表 '!$H$5</f>
        <v>4555.26</v>
      </c>
      <c r="H28" s="39">
        <f t="shared" ref="H28" si="67">G28/C28</f>
        <v>0.30529759957964497</v>
      </c>
      <c r="I28" s="49">
        <f>'0825分析標準表 '!$J$5</f>
        <v>9093.9500000000007</v>
      </c>
      <c r="J28" s="39">
        <f t="shared" ref="J28" si="68">I28/E28</f>
        <v>0.18575207945837061</v>
      </c>
      <c r="K28" s="47">
        <f>'0825分析標準表 '!$L$5</f>
        <v>7181.7900000000009</v>
      </c>
      <c r="L28" s="68">
        <f t="shared" ref="L28" si="69">K28/C28</f>
        <v>0.4813299894375071</v>
      </c>
      <c r="M28" s="431" t="s">
        <v>1093</v>
      </c>
      <c r="N28" s="431"/>
      <c r="O28" s="431"/>
      <c r="P28" s="431"/>
      <c r="Q28" s="431"/>
      <c r="R28" s="431"/>
      <c r="S28" s="431"/>
      <c r="T28" s="431"/>
      <c r="U28" s="431"/>
      <c r="V28" s="50">
        <v>170</v>
      </c>
    </row>
    <row r="29" spans="1:26" ht="18.75" x14ac:dyDescent="0.25">
      <c r="A29" s="38">
        <f t="shared" si="9"/>
        <v>45895</v>
      </c>
      <c r="B29" s="47">
        <f>'0826分析標準表 '!$C$3:$C$3</f>
        <v>5751890.8200000003</v>
      </c>
      <c r="C29" s="48">
        <f>'0826分析標準表 '!$D$5</f>
        <v>13980.759999999997</v>
      </c>
      <c r="D29" s="67">
        <f t="shared" ref="D29" si="70">C29/B29</f>
        <v>2.4306372352178958E-3</v>
      </c>
      <c r="E29" s="47">
        <f>'0826分析標準表 '!$F$5</f>
        <v>44448.189999999995</v>
      </c>
      <c r="F29" s="39">
        <f t="shared" ref="F29" si="71">E29/B29</f>
        <v>7.7275788764015509E-3</v>
      </c>
      <c r="G29" s="47">
        <f>'0826分析標準表 '!$H$5</f>
        <v>4161.68</v>
      </c>
      <c r="H29" s="39">
        <f t="shared" ref="H29" si="72">G29/C29</f>
        <v>0.2976719434422736</v>
      </c>
      <c r="I29" s="49">
        <f>'0826分析標準表 '!$J$5</f>
        <v>10846.39</v>
      </c>
      <c r="J29" s="39">
        <f t="shared" ref="J29" si="73">I29/E29</f>
        <v>0.24402320994398199</v>
      </c>
      <c r="K29" s="47">
        <f>'0826分析標準表 '!$L$5</f>
        <v>8407.66</v>
      </c>
      <c r="L29" s="68">
        <f t="shared" ref="L29" si="74">K29/C29</f>
        <v>0.60137360200733025</v>
      </c>
      <c r="M29" s="431" t="s">
        <v>1094</v>
      </c>
      <c r="N29" s="431"/>
      <c r="O29" s="431"/>
      <c r="P29" s="431"/>
      <c r="Q29" s="431"/>
      <c r="R29" s="431"/>
      <c r="S29" s="431"/>
      <c r="T29" s="431"/>
      <c r="U29" s="431"/>
      <c r="V29" s="50">
        <v>167</v>
      </c>
    </row>
    <row r="30" spans="1:26" ht="18.75" x14ac:dyDescent="0.25">
      <c r="A30" s="38">
        <f t="shared" si="9"/>
        <v>45896</v>
      </c>
      <c r="B30" s="47">
        <f>'0827分析標準表 '!$C$3:$C$3</f>
        <v>5656058.3600000003</v>
      </c>
      <c r="C30" s="48">
        <f>'0827分析標準表 '!$D$5</f>
        <v>13725.689999999995</v>
      </c>
      <c r="D30" s="67">
        <f t="shared" ref="D30" si="75">C30/B30</f>
        <v>2.4267235460420523E-3</v>
      </c>
      <c r="E30" s="47">
        <f>'0827分析標準表 '!$F$5</f>
        <v>43410.629999999983</v>
      </c>
      <c r="F30" s="39">
        <f t="shared" ref="F30" si="76">E30/B30</f>
        <v>7.675067553581604E-3</v>
      </c>
      <c r="G30" s="47">
        <f>'0827分析標準表 '!$H$5</f>
        <v>3800.3999999999996</v>
      </c>
      <c r="H30" s="39">
        <f t="shared" ref="H30" si="77">G30/C30</f>
        <v>0.27688225509974368</v>
      </c>
      <c r="I30" s="49">
        <f>'0827分析標準表 '!$J$5</f>
        <v>12041.49</v>
      </c>
      <c r="J30" s="39">
        <f t="shared" ref="J30" si="78">I30/E30</f>
        <v>0.27738574630223067</v>
      </c>
      <c r="K30" s="47">
        <f>'0827分析標準表 '!$L$5</f>
        <v>6230.9400000000005</v>
      </c>
      <c r="L30" s="68">
        <f t="shared" ref="L30" si="79">K30/C30</f>
        <v>0.45396187732638599</v>
      </c>
      <c r="M30" s="431" t="s">
        <v>1094</v>
      </c>
      <c r="N30" s="431"/>
      <c r="O30" s="431"/>
      <c r="P30" s="431"/>
      <c r="Q30" s="431"/>
      <c r="R30" s="431"/>
      <c r="S30" s="431"/>
      <c r="T30" s="431"/>
      <c r="U30" s="431"/>
      <c r="V30" s="50">
        <v>167</v>
      </c>
    </row>
    <row r="31" spans="1:26" ht="18.75" x14ac:dyDescent="0.25">
      <c r="A31" s="38">
        <f t="shared" si="9"/>
        <v>45897</v>
      </c>
      <c r="B31" s="47">
        <f>'0828分析標準表 '!$C$3:$C$3</f>
        <v>5359266.3099999996</v>
      </c>
      <c r="C31" s="48">
        <f>'0828分析標準表 '!$D$5</f>
        <v>13027.68</v>
      </c>
      <c r="D31" s="67">
        <f t="shared" ref="D31" si="80">C31/B31</f>
        <v>2.4308700569126971E-3</v>
      </c>
      <c r="E31" s="47">
        <f>'0828分析標準表 '!$F$5</f>
        <v>40204.629999999976</v>
      </c>
      <c r="F31" s="39">
        <f t="shared" ref="F31" si="81">E31/B31</f>
        <v>7.5018906832416731E-3</v>
      </c>
      <c r="G31" s="47">
        <f>'0828分析標準表 '!$H$5</f>
        <v>3495.16</v>
      </c>
      <c r="H31" s="39">
        <f t="shared" ref="H31" si="82">G31/C31</f>
        <v>0.26828721614285889</v>
      </c>
      <c r="I31" s="49">
        <f>'0828分析標準表 '!$J$5</f>
        <v>12036.149999999998</v>
      </c>
      <c r="J31" s="39">
        <f t="shared" ref="J31" si="83">I31/E31</f>
        <v>0.2993722364812213</v>
      </c>
      <c r="K31" s="47">
        <f>'0828分析標準表 '!$L$5</f>
        <v>6563.25</v>
      </c>
      <c r="L31" s="68">
        <f t="shared" ref="L31" si="84">K31/C31</f>
        <v>0.5037926937106223</v>
      </c>
      <c r="M31" s="431" t="s">
        <v>1090</v>
      </c>
      <c r="N31" s="431"/>
      <c r="O31" s="431"/>
      <c r="P31" s="431"/>
      <c r="Q31" s="431"/>
      <c r="R31" s="431"/>
      <c r="S31" s="431"/>
      <c r="T31" s="431"/>
      <c r="U31" s="431"/>
      <c r="V31" s="50">
        <v>167</v>
      </c>
    </row>
    <row r="32" spans="1:26" ht="18.75" x14ac:dyDescent="0.25">
      <c r="A32" s="38">
        <f t="shared" si="9"/>
        <v>45898</v>
      </c>
      <c r="B32" s="47">
        <f>'0829分析標準表 '!$C$3:$C$3</f>
        <v>4553981.26</v>
      </c>
      <c r="C32" s="48">
        <f>'0829分析標準表 '!$D$5</f>
        <v>10947.769999999995</v>
      </c>
      <c r="D32" s="67">
        <f t="shared" ref="D32" si="85">C32/B32</f>
        <v>2.403999791602128E-3</v>
      </c>
      <c r="E32" s="47">
        <f>'0829分析標準表 '!$F$5</f>
        <v>34339.959999999992</v>
      </c>
      <c r="F32" s="39">
        <f t="shared" ref="F32" si="86">E32/B32</f>
        <v>7.5406458743310671E-3</v>
      </c>
      <c r="G32" s="47">
        <f>'0829分析標準表 '!$H$5</f>
        <v>3230.2</v>
      </c>
      <c r="H32" s="39">
        <f t="shared" ref="H32" si="87">G32/C32</f>
        <v>0.29505552272289254</v>
      </c>
      <c r="I32" s="49">
        <f>'0829分析標準表 '!$J$5</f>
        <v>9489.090000000002</v>
      </c>
      <c r="J32" s="39">
        <f t="shared" ref="J32" si="88">I32/E32</f>
        <v>0.27632792816299157</v>
      </c>
      <c r="K32" s="47">
        <f>'0829分析標準表 '!$L$5</f>
        <v>4961.59</v>
      </c>
      <c r="L32" s="68">
        <f t="shared" ref="L32" si="89">K32/C32</f>
        <v>0.4532055386622118</v>
      </c>
      <c r="M32" s="431" t="s">
        <v>1090</v>
      </c>
      <c r="N32" s="431"/>
      <c r="O32" s="431"/>
      <c r="P32" s="431"/>
      <c r="Q32" s="431"/>
      <c r="R32" s="431"/>
      <c r="S32" s="431"/>
      <c r="T32" s="431"/>
      <c r="U32" s="431"/>
      <c r="V32" s="50">
        <v>167</v>
      </c>
    </row>
    <row r="33" spans="1:22" ht="18.75" x14ac:dyDescent="0.25">
      <c r="A33" s="38">
        <f t="shared" si="9"/>
        <v>45899</v>
      </c>
      <c r="B33" s="47">
        <f>'0831分析標準表 '!$C$3:$C$3</f>
        <v>6112909.3899999997</v>
      </c>
      <c r="C33" s="48">
        <f>'0831分析標準表 '!$D$5</f>
        <v>14926.059999999998</v>
      </c>
      <c r="D33" s="67">
        <f t="shared" ref="D33" si="90">C33/B33</f>
        <v>2.4417276697111323E-3</v>
      </c>
      <c r="E33" s="47">
        <f>'0831分析標準表 '!$F$5</f>
        <v>48350.189999999973</v>
      </c>
      <c r="F33" s="39">
        <f t="shared" ref="F33" si="91">E33/B33</f>
        <v>7.9095217866463376E-3</v>
      </c>
      <c r="G33" s="47">
        <f>'0831分析標準表 '!$H$5</f>
        <v>5167.9299999999985</v>
      </c>
      <c r="H33" s="39">
        <f t="shared" ref="H33" si="92">G33/C33</f>
        <v>0.34623537624798501</v>
      </c>
      <c r="I33" s="49">
        <f>'0831分析標準表 '!$J$5</f>
        <v>17693.089999999997</v>
      </c>
      <c r="J33" s="39">
        <f t="shared" ref="J33" si="93">I33/E33</f>
        <v>0.36593630759258661</v>
      </c>
      <c r="K33" s="47">
        <f>'0831分析標準表 '!$L$5</f>
        <v>7137.45</v>
      </c>
      <c r="L33" s="68">
        <f t="shared" ref="L33" si="94">K33/C33</f>
        <v>0.4781871438276411</v>
      </c>
      <c r="M33" s="431"/>
      <c r="N33" s="431"/>
      <c r="O33" s="431"/>
      <c r="P33" s="431"/>
      <c r="Q33" s="431"/>
      <c r="R33" s="431"/>
      <c r="S33" s="431"/>
      <c r="T33" s="431"/>
      <c r="U33" s="431"/>
      <c r="V33" s="50">
        <v>167</v>
      </c>
    </row>
    <row r="34" spans="1:22" ht="18.75" x14ac:dyDescent="0.25">
      <c r="A34" s="38">
        <f t="shared" si="9"/>
        <v>45900</v>
      </c>
      <c r="B34" s="47">
        <f>'0831分析標準表 '!$C$3:$C$3</f>
        <v>6112909.3899999997</v>
      </c>
      <c r="C34" s="48">
        <f>'0831分析標準表 '!$D$5</f>
        <v>14926.059999999998</v>
      </c>
      <c r="D34" s="67">
        <f t="shared" ref="D34" si="95">C34/B34</f>
        <v>2.4417276697111323E-3</v>
      </c>
      <c r="E34" s="47">
        <f>'0831分析標準表 '!$F$5</f>
        <v>48350.189999999973</v>
      </c>
      <c r="F34" s="39">
        <f t="shared" ref="F34" si="96">E34/B34</f>
        <v>7.9095217866463376E-3</v>
      </c>
      <c r="G34" s="47">
        <f>'0831分析標準表 '!$H$5</f>
        <v>5167.9299999999985</v>
      </c>
      <c r="H34" s="39">
        <f t="shared" ref="H34" si="97">G34/C34</f>
        <v>0.34623537624798501</v>
      </c>
      <c r="I34" s="49">
        <f>'0831分析標準表 '!$J$5</f>
        <v>17693.089999999997</v>
      </c>
      <c r="J34" s="39">
        <f t="shared" ref="J34" si="98">I34/E34</f>
        <v>0.36593630759258661</v>
      </c>
      <c r="K34" s="47">
        <f>'0831分析標準表 '!$L$5</f>
        <v>7137.45</v>
      </c>
      <c r="L34" s="68">
        <f t="shared" ref="L34" si="99">K34/C34</f>
        <v>0.4781871438276411</v>
      </c>
      <c r="M34" s="431"/>
      <c r="N34" s="431"/>
      <c r="O34" s="431"/>
      <c r="P34" s="431"/>
      <c r="Q34" s="431"/>
      <c r="R34" s="431"/>
      <c r="S34" s="431"/>
      <c r="T34" s="431"/>
      <c r="U34" s="431"/>
      <c r="V34" s="50">
        <v>167</v>
      </c>
    </row>
    <row r="35" spans="1:22" ht="27" x14ac:dyDescent="0.25">
      <c r="A35" s="432" t="s">
        <v>14</v>
      </c>
      <c r="B35" s="432"/>
      <c r="C35" s="432"/>
      <c r="D35" s="432"/>
      <c r="E35" s="432"/>
      <c r="F35" s="43"/>
      <c r="G35" s="43"/>
      <c r="H35" s="43"/>
      <c r="I35" s="43"/>
      <c r="J35" s="43"/>
      <c r="K35" s="43"/>
      <c r="L35" s="43"/>
    </row>
    <row r="36" spans="1:22" ht="27" x14ac:dyDescent="0.25">
      <c r="A36" s="432" t="s">
        <v>15</v>
      </c>
      <c r="B36" s="432"/>
      <c r="C36" s="432"/>
      <c r="D36" s="432"/>
      <c r="E36" s="432"/>
      <c r="F36" s="43"/>
      <c r="G36" s="43"/>
      <c r="H36" s="43"/>
      <c r="I36" s="43"/>
      <c r="J36" s="43"/>
      <c r="K36" s="43"/>
      <c r="L36" s="43"/>
    </row>
    <row r="37" spans="1:22" ht="18.75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</row>
    <row r="38" spans="1:22" ht="18.75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</row>
    <row r="39" spans="1:22" ht="18.75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</row>
    <row r="40" spans="1:22" ht="18.75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53"/>
    </row>
    <row r="41" spans="1:22" ht="18.75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</row>
    <row r="42" spans="1:22" ht="18.75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</row>
    <row r="43" spans="1:22" ht="18.75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</row>
    <row r="44" spans="1:22" ht="18.75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53"/>
    </row>
    <row r="45" spans="1:22" ht="18.75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</row>
    <row r="46" spans="1:22" ht="18.75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</row>
    <row r="47" spans="1:22" ht="18.75" x14ac:dyDescent="0.2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</row>
    <row r="48" spans="1:22" ht="18.75" x14ac:dyDescent="0.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</row>
    <row r="49" spans="1:13" ht="18.75" x14ac:dyDescent="0.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53"/>
    </row>
    <row r="50" spans="1:13" ht="18.75" x14ac:dyDescent="0.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</row>
    <row r="51" spans="1:13" ht="18.75" x14ac:dyDescent="0.25">
      <c r="A51" s="43"/>
      <c r="B51" s="43"/>
      <c r="C51" s="43"/>
      <c r="D51" s="43"/>
      <c r="E51" s="43"/>
      <c r="F51" s="43"/>
      <c r="G51" s="43"/>
      <c r="H51" s="43"/>
      <c r="I51" s="43"/>
      <c r="J51" s="43"/>
      <c r="K51" s="43"/>
      <c r="L51" s="43"/>
    </row>
    <row r="52" spans="1:13" ht="18.75" x14ac:dyDescent="0.25">
      <c r="A52" s="43"/>
      <c r="B52" s="43"/>
      <c r="C52" s="43"/>
      <c r="D52" s="43"/>
      <c r="E52" s="43"/>
      <c r="F52" s="43"/>
      <c r="G52" s="43"/>
      <c r="H52" s="43"/>
      <c r="I52" s="43"/>
      <c r="J52" s="43"/>
      <c r="K52" s="43"/>
      <c r="L52" s="43"/>
    </row>
    <row r="53" spans="1:13" ht="18.75" x14ac:dyDescent="0.25">
      <c r="A53" s="43"/>
      <c r="B53" s="43"/>
      <c r="C53" s="43"/>
      <c r="D53" s="43"/>
      <c r="E53" s="43"/>
      <c r="F53" s="43"/>
      <c r="G53" s="43"/>
      <c r="H53" s="43"/>
      <c r="I53" s="43"/>
      <c r="J53" s="43"/>
      <c r="K53" s="43"/>
      <c r="L53" s="43"/>
    </row>
    <row r="54" spans="1:13" ht="18.75" x14ac:dyDescent="0.25">
      <c r="A54" s="43"/>
      <c r="B54" s="43"/>
      <c r="C54" s="43"/>
      <c r="D54" s="43"/>
      <c r="E54" s="43"/>
      <c r="F54" s="43"/>
      <c r="G54" s="43"/>
      <c r="H54" s="43"/>
      <c r="I54" s="43"/>
      <c r="J54" s="43"/>
      <c r="K54" s="43"/>
      <c r="L54" s="43"/>
    </row>
    <row r="55" spans="1:13" ht="18.75" x14ac:dyDescent="0.25">
      <c r="A55" s="43"/>
      <c r="B55" s="43"/>
      <c r="C55" s="43"/>
      <c r="D55" s="43"/>
      <c r="E55" s="43"/>
      <c r="F55" s="43"/>
      <c r="G55" s="43"/>
      <c r="H55" s="43"/>
      <c r="I55" s="43"/>
      <c r="J55" s="43"/>
      <c r="K55" s="43"/>
      <c r="L55" s="43"/>
    </row>
    <row r="56" spans="1:13" ht="18.75" x14ac:dyDescent="0.25">
      <c r="A56" s="43"/>
      <c r="B56" s="43"/>
      <c r="C56" s="43"/>
      <c r="D56" s="43"/>
      <c r="E56" s="43"/>
      <c r="F56" s="43"/>
      <c r="G56" s="43"/>
      <c r="H56" s="43"/>
      <c r="I56" s="43"/>
      <c r="J56" s="43"/>
      <c r="K56" s="43"/>
      <c r="L56" s="43"/>
    </row>
    <row r="57" spans="1:13" ht="18.75" x14ac:dyDescent="0.25">
      <c r="A57" s="43"/>
      <c r="B57" s="43"/>
      <c r="C57" s="43"/>
      <c r="D57" s="43"/>
      <c r="E57" s="43"/>
      <c r="F57" s="43"/>
      <c r="G57" s="43"/>
      <c r="H57" s="43"/>
      <c r="I57" s="43"/>
      <c r="J57" s="43"/>
      <c r="K57" s="43"/>
      <c r="L57" s="43"/>
    </row>
    <row r="58" spans="1:13" ht="18.75" x14ac:dyDescent="0.25">
      <c r="A58" s="43"/>
      <c r="B58" s="43"/>
      <c r="C58" s="43"/>
      <c r="D58" s="43"/>
      <c r="E58" s="43"/>
      <c r="F58" s="43"/>
      <c r="G58" s="43"/>
      <c r="H58" s="43"/>
      <c r="I58" s="43"/>
      <c r="J58" s="43"/>
      <c r="K58" s="43"/>
      <c r="L58" s="43"/>
    </row>
    <row r="59" spans="1:13" ht="18.75" x14ac:dyDescent="0.25">
      <c r="A59" s="43"/>
      <c r="B59" s="43"/>
      <c r="C59" s="43"/>
      <c r="D59" s="43"/>
      <c r="E59" s="43"/>
      <c r="F59" s="43"/>
      <c r="G59" s="43"/>
      <c r="H59" s="43"/>
      <c r="I59" s="43"/>
      <c r="J59" s="43"/>
      <c r="K59" s="43"/>
      <c r="L59" s="43"/>
    </row>
    <row r="60" spans="1:13" ht="18.75" x14ac:dyDescent="0.25">
      <c r="A60" s="43"/>
      <c r="B60" s="43"/>
      <c r="C60" s="43"/>
      <c r="D60" s="43"/>
      <c r="E60" s="43"/>
      <c r="F60" s="43"/>
      <c r="G60" s="43"/>
      <c r="H60" s="43"/>
      <c r="I60" s="43"/>
      <c r="J60" s="43"/>
      <c r="K60" s="43"/>
      <c r="L60" s="43"/>
    </row>
    <row r="61" spans="1:13" ht="18.75" x14ac:dyDescent="0.25">
      <c r="A61" s="43"/>
      <c r="B61" s="43"/>
      <c r="C61" s="43"/>
      <c r="D61" s="43"/>
      <c r="E61" s="43"/>
      <c r="F61" s="43"/>
      <c r="G61" s="43"/>
      <c r="H61" s="43"/>
      <c r="I61" s="43"/>
      <c r="J61" s="43"/>
      <c r="K61" s="43"/>
      <c r="L61" s="43"/>
    </row>
    <row r="62" spans="1:13" ht="18.75" x14ac:dyDescent="0.25">
      <c r="A62" s="43"/>
      <c r="B62" s="43"/>
      <c r="C62" s="43"/>
      <c r="D62" s="43"/>
      <c r="E62" s="43"/>
      <c r="F62" s="43"/>
      <c r="G62" s="43"/>
      <c r="H62" s="43"/>
      <c r="I62" s="43"/>
      <c r="J62" s="43"/>
      <c r="K62" s="43"/>
      <c r="L62" s="43"/>
    </row>
    <row r="63" spans="1:13" ht="18.75" x14ac:dyDescent="0.25">
      <c r="A63" s="43"/>
      <c r="B63" s="43"/>
      <c r="C63" s="43"/>
      <c r="D63" s="43"/>
      <c r="E63" s="43"/>
      <c r="F63" s="43"/>
      <c r="G63" s="43"/>
      <c r="H63" s="43"/>
      <c r="I63" s="43"/>
      <c r="J63" s="43"/>
      <c r="K63" s="43"/>
      <c r="L63" s="43"/>
    </row>
    <row r="64" spans="1:13" ht="18.75" x14ac:dyDescent="0.25">
      <c r="A64" s="43"/>
      <c r="B64" s="43"/>
      <c r="C64" s="43"/>
      <c r="D64" s="43"/>
      <c r="E64" s="43"/>
      <c r="F64" s="43"/>
      <c r="G64" s="43"/>
      <c r="H64" s="43"/>
      <c r="I64" s="43"/>
      <c r="J64" s="43"/>
      <c r="K64" s="43"/>
      <c r="L64" s="43"/>
    </row>
    <row r="65" spans="1:12" ht="18.75" x14ac:dyDescent="0.25">
      <c r="A65" s="43"/>
      <c r="B65" s="43"/>
      <c r="C65" s="43"/>
      <c r="D65" s="43"/>
      <c r="E65" s="43"/>
      <c r="F65" s="43"/>
      <c r="G65" s="43"/>
      <c r="H65" s="43"/>
      <c r="I65" s="43"/>
      <c r="J65" s="43"/>
      <c r="K65" s="43"/>
      <c r="L65" s="43"/>
    </row>
  </sheetData>
  <mergeCells count="45">
    <mergeCell ref="M7:U7"/>
    <mergeCell ref="A1:L1"/>
    <mergeCell ref="M1:U3"/>
    <mergeCell ref="V1:V3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4:U4"/>
    <mergeCell ref="M5:U5"/>
    <mergeCell ref="M6:U6"/>
    <mergeCell ref="M30:U30"/>
    <mergeCell ref="M19:U19"/>
    <mergeCell ref="M8:U8"/>
    <mergeCell ref="M9:U9"/>
    <mergeCell ref="M10:U10"/>
    <mergeCell ref="M11:U11"/>
    <mergeCell ref="M12:U12"/>
    <mergeCell ref="M13:U13"/>
    <mergeCell ref="M14:U14"/>
    <mergeCell ref="M15:U15"/>
    <mergeCell ref="M16:U16"/>
    <mergeCell ref="M17:U17"/>
    <mergeCell ref="M18:U18"/>
    <mergeCell ref="M25:U25"/>
    <mergeCell ref="M26:U26"/>
    <mergeCell ref="M27:U27"/>
    <mergeCell ref="M28:U28"/>
    <mergeCell ref="M29:U29"/>
    <mergeCell ref="M20:U20"/>
    <mergeCell ref="M21:U21"/>
    <mergeCell ref="M22:U22"/>
    <mergeCell ref="M23:U23"/>
    <mergeCell ref="M24:U24"/>
    <mergeCell ref="M32:U32"/>
    <mergeCell ref="M34:U34"/>
    <mergeCell ref="A35:E35"/>
    <mergeCell ref="A36:E36"/>
    <mergeCell ref="M31:U31"/>
    <mergeCell ref="M33:U33"/>
  </mergeCells>
  <phoneticPr fontId="180" type="noConversion"/>
  <conditionalFormatting sqref="D4:D34">
    <cfRule type="cellIs" dxfId="1180" priority="11" operator="greaterThan">
      <formula>0.0025</formula>
    </cfRule>
  </conditionalFormatting>
  <conditionalFormatting sqref="H4:H34 J4:J34">
    <cfRule type="cellIs" dxfId="1179" priority="12" operator="greaterThan">
      <formula>0.16</formula>
    </cfRule>
  </conditionalFormatting>
  <conditionalFormatting sqref="L4:L34">
    <cfRule type="cellIs" dxfId="1178" priority="10" operator="greaterThan">
      <formula>0.15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" zoomScale="70" zoomScaleNormal="70" zoomScaleSheetLayoutView="70" workbookViewId="0">
      <selection activeCell="L5" sqref="L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486" t="s">
        <v>92</v>
      </c>
      <c r="B2" s="487"/>
      <c r="C2" s="413" t="s">
        <v>93</v>
      </c>
      <c r="D2" s="488" t="s">
        <v>94</v>
      </c>
      <c r="E2" s="488"/>
      <c r="F2" s="488" t="s">
        <v>95</v>
      </c>
      <c r="G2" s="488"/>
      <c r="H2" s="488" t="s">
        <v>94</v>
      </c>
      <c r="I2" s="488"/>
      <c r="J2" s="488" t="s">
        <v>95</v>
      </c>
      <c r="K2" s="488"/>
      <c r="L2" s="488" t="s">
        <v>94</v>
      </c>
      <c r="M2" s="489"/>
      <c r="R2" s="54"/>
    </row>
    <row r="3" spans="1:18" s="1" customFormat="1" ht="28.5" x14ac:dyDescent="0.45">
      <c r="A3" s="479">
        <v>45900</v>
      </c>
      <c r="B3" s="480"/>
      <c r="C3" s="481">
        <v>6112909.3899999997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479"/>
      <c r="B4" s="480"/>
      <c r="C4" s="481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477" t="s">
        <v>105</v>
      </c>
      <c r="B5" s="478"/>
      <c r="C5" s="478"/>
      <c r="D5" s="414">
        <v>14926.059999999998</v>
      </c>
      <c r="E5" s="5">
        <f>D5/C3</f>
        <v>2.4417276697111323E-3</v>
      </c>
      <c r="F5" s="414">
        <v>48350.189999999973</v>
      </c>
      <c r="G5" s="44">
        <f>F5/C3</f>
        <v>7.9095217866463376E-3</v>
      </c>
      <c r="H5" s="6">
        <f>SUM(C12:C21)</f>
        <v>5167.9299999999985</v>
      </c>
      <c r="I5" s="7">
        <f>H5/D5</f>
        <v>0.34623537624798501</v>
      </c>
      <c r="J5" s="6">
        <f>SUM(C28:C37)</f>
        <v>17693.089999999997</v>
      </c>
      <c r="K5" s="46">
        <f>J5/F5</f>
        <v>0.36593630759258661</v>
      </c>
      <c r="L5" s="8">
        <v>7137.45</v>
      </c>
      <c r="M5" s="9">
        <f>L5/D5</f>
        <v>0.4781871438276411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1120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127</v>
      </c>
      <c r="B8" s="447"/>
      <c r="C8" s="447"/>
      <c r="D8" s="447" t="s">
        <v>1122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182</v>
      </c>
      <c r="P8" s="457" t="s">
        <v>1147</v>
      </c>
      <c r="Q8" s="456" t="s">
        <v>1137</v>
      </c>
      <c r="R8" s="454" t="s">
        <v>1138</v>
      </c>
    </row>
    <row r="9" spans="1:18" ht="20.45" customHeight="1" x14ac:dyDescent="0.25">
      <c r="A9" s="458" t="s">
        <v>132</v>
      </c>
      <c r="B9" s="461" t="s">
        <v>1125</v>
      </c>
      <c r="C9" s="462"/>
      <c r="D9" s="463" t="s">
        <v>1140</v>
      </c>
      <c r="E9" s="463"/>
      <c r="F9" s="463"/>
      <c r="G9" s="463"/>
      <c r="H9" s="463"/>
      <c r="I9" s="463"/>
      <c r="J9" s="464" t="s">
        <v>156</v>
      </c>
      <c r="K9" s="464"/>
      <c r="L9" s="464"/>
      <c r="M9" s="465"/>
      <c r="N9" s="465"/>
      <c r="O9" s="456"/>
      <c r="P9" s="456"/>
      <c r="Q9" s="456"/>
      <c r="R9" s="454"/>
    </row>
    <row r="10" spans="1:18" ht="20.45" customHeight="1" x14ac:dyDescent="0.3">
      <c r="A10" s="459"/>
      <c r="B10" s="466" t="s">
        <v>1127</v>
      </c>
      <c r="C10" s="468" t="s">
        <v>1148</v>
      </c>
      <c r="D10" s="470" t="s">
        <v>1142</v>
      </c>
      <c r="E10" s="470"/>
      <c r="F10" s="470"/>
      <c r="G10" s="470"/>
      <c r="H10" s="470"/>
      <c r="I10" s="470"/>
      <c r="J10" s="471" t="s">
        <v>1128</v>
      </c>
      <c r="K10" s="473"/>
      <c r="L10" s="474" t="s">
        <v>1129</v>
      </c>
      <c r="M10" s="471"/>
      <c r="N10" s="471"/>
      <c r="O10" s="456"/>
      <c r="P10" s="456"/>
      <c r="Q10" s="456"/>
      <c r="R10" s="454"/>
    </row>
    <row r="11" spans="1:18" s="55" customFormat="1" ht="47.25" customHeight="1" x14ac:dyDescent="0.25">
      <c r="A11" s="460"/>
      <c r="B11" s="467"/>
      <c r="C11" s="469"/>
      <c r="D11" s="415" t="s">
        <v>1130</v>
      </c>
      <c r="E11" s="415" t="s">
        <v>1131</v>
      </c>
      <c r="F11" s="415" t="s">
        <v>1132</v>
      </c>
      <c r="G11" s="415" t="s">
        <v>1133</v>
      </c>
      <c r="H11" s="415" t="s">
        <v>1134</v>
      </c>
      <c r="I11" s="415" t="s">
        <v>1149</v>
      </c>
      <c r="J11" s="416" t="s">
        <v>1144</v>
      </c>
      <c r="K11" s="416" t="s">
        <v>1135</v>
      </c>
      <c r="L11" s="416" t="s">
        <v>1144</v>
      </c>
      <c r="M11" s="416" t="s">
        <v>148</v>
      </c>
      <c r="N11" s="417" t="s">
        <v>149</v>
      </c>
      <c r="O11" s="456"/>
      <c r="P11" s="456"/>
      <c r="Q11" s="456"/>
      <c r="R11" s="454"/>
    </row>
    <row r="12" spans="1:18" s="15" customFormat="1" ht="24.95" customHeight="1" x14ac:dyDescent="0.25">
      <c r="A12" s="418">
        <v>1</v>
      </c>
      <c r="B12" s="10" t="s">
        <v>786</v>
      </c>
      <c r="C12" s="33">
        <v>1929.49</v>
      </c>
      <c r="D12" s="56">
        <v>14429</v>
      </c>
      <c r="E12" s="56">
        <v>14429</v>
      </c>
      <c r="F12" s="56">
        <v>332.67</v>
      </c>
      <c r="G12" s="33">
        <v>5.8</v>
      </c>
      <c r="H12" s="11">
        <f t="shared" ref="H12:H21" si="0">(E12+F12)/D12</f>
        <v>1.0230556518123224</v>
      </c>
      <c r="I12" s="33">
        <v>1929.49</v>
      </c>
      <c r="J12" s="56">
        <v>332.67</v>
      </c>
      <c r="K12" s="12">
        <f t="shared" ref="K12:K21" si="1">J12/D12</f>
        <v>2.3055651812322407E-2</v>
      </c>
      <c r="L12" s="419">
        <f t="shared" ref="L12:L21" si="2">((E12+F12)-D12)-J12</f>
        <v>0</v>
      </c>
      <c r="M12" s="13">
        <f t="shared" ref="M12:M21" si="3">L12/D12</f>
        <v>0</v>
      </c>
      <c r="N12" s="420">
        <f t="shared" ref="N12:N21" si="4">L12*G12</f>
        <v>0</v>
      </c>
      <c r="O12" s="66"/>
      <c r="P12" s="66"/>
      <c r="Q12" s="66"/>
      <c r="R12" s="28" t="s">
        <v>25</v>
      </c>
    </row>
    <row r="13" spans="1:18" s="15" customFormat="1" ht="24.95" customHeight="1" x14ac:dyDescent="0.25">
      <c r="A13" s="421">
        <v>2</v>
      </c>
      <c r="B13" s="10" t="s">
        <v>787</v>
      </c>
      <c r="C13" s="33">
        <v>1039.6400000000001</v>
      </c>
      <c r="D13" s="56">
        <v>7319</v>
      </c>
      <c r="E13" s="56">
        <v>7319</v>
      </c>
      <c r="F13" s="56">
        <v>158</v>
      </c>
      <c r="G13" s="33">
        <v>6.58</v>
      </c>
      <c r="H13" s="11">
        <f t="shared" si="0"/>
        <v>1.0215876485858724</v>
      </c>
      <c r="I13" s="33">
        <v>1039.6400000000001</v>
      </c>
      <c r="J13" s="56">
        <v>158</v>
      </c>
      <c r="K13" s="12">
        <f t="shared" si="1"/>
        <v>2.1587648585872386E-2</v>
      </c>
      <c r="L13" s="419">
        <f t="shared" si="2"/>
        <v>0</v>
      </c>
      <c r="M13" s="13">
        <f t="shared" si="3"/>
        <v>0</v>
      </c>
      <c r="N13" s="420">
        <f t="shared" si="4"/>
        <v>0</v>
      </c>
      <c r="O13" s="66"/>
      <c r="P13" s="66"/>
      <c r="Q13" s="66"/>
      <c r="R13" s="28" t="s">
        <v>25</v>
      </c>
    </row>
    <row r="14" spans="1:18" s="57" customFormat="1" ht="24.95" customHeight="1" x14ac:dyDescent="0.25">
      <c r="A14" s="421">
        <v>3</v>
      </c>
      <c r="B14" s="10" t="s">
        <v>37</v>
      </c>
      <c r="C14" s="33">
        <v>537.62</v>
      </c>
      <c r="D14" s="56">
        <v>396.67</v>
      </c>
      <c r="E14" s="56">
        <v>396.67</v>
      </c>
      <c r="F14" s="56">
        <v>18.21</v>
      </c>
      <c r="G14" s="33">
        <v>156.74</v>
      </c>
      <c r="H14" s="11">
        <f t="shared" si="0"/>
        <v>1.0459071772506112</v>
      </c>
      <c r="I14" s="33">
        <v>2854.24</v>
      </c>
      <c r="J14" s="56">
        <v>3.43</v>
      </c>
      <c r="K14" s="12">
        <f t="shared" si="1"/>
        <v>8.6469861597801706E-3</v>
      </c>
      <c r="L14" s="419">
        <f t="shared" si="2"/>
        <v>14.77999999999998</v>
      </c>
      <c r="M14" s="13">
        <f t="shared" si="3"/>
        <v>3.7260191090831118E-2</v>
      </c>
      <c r="N14" s="420">
        <f t="shared" si="4"/>
        <v>2316.617199999997</v>
      </c>
      <c r="O14" s="66"/>
      <c r="P14" s="66"/>
      <c r="Q14" s="66"/>
      <c r="R14" s="28" t="s">
        <v>25</v>
      </c>
    </row>
    <row r="15" spans="1:18" s="15" customFormat="1" ht="24.95" customHeight="1" x14ac:dyDescent="0.25">
      <c r="A15" s="418">
        <v>4</v>
      </c>
      <c r="B15" s="10" t="s">
        <v>965</v>
      </c>
      <c r="C15" s="33">
        <v>358.53</v>
      </c>
      <c r="D15" s="56">
        <v>6331</v>
      </c>
      <c r="E15" s="56">
        <v>6331</v>
      </c>
      <c r="F15" s="56">
        <v>83.38</v>
      </c>
      <c r="G15" s="33">
        <v>4.3</v>
      </c>
      <c r="H15" s="11">
        <f t="shared" si="0"/>
        <v>1.0131701153056389</v>
      </c>
      <c r="I15" s="33">
        <v>358.53</v>
      </c>
      <c r="J15" s="56">
        <v>83.38</v>
      </c>
      <c r="K15" s="12">
        <f t="shared" si="1"/>
        <v>1.3170115305638918E-2</v>
      </c>
      <c r="L15" s="419">
        <f t="shared" si="2"/>
        <v>1.1368683772161603E-13</v>
      </c>
      <c r="M15" s="13">
        <f t="shared" si="3"/>
        <v>1.7957169123616494E-17</v>
      </c>
      <c r="N15" s="420">
        <f t="shared" si="4"/>
        <v>4.8885340220294891E-13</v>
      </c>
      <c r="O15" s="66"/>
      <c r="P15" s="66"/>
      <c r="Q15" s="66"/>
      <c r="R15" s="28" t="s">
        <v>25</v>
      </c>
    </row>
    <row r="16" spans="1:18" s="57" customFormat="1" ht="24.95" customHeight="1" x14ac:dyDescent="0.25">
      <c r="A16" s="421">
        <v>5</v>
      </c>
      <c r="B16" s="10" t="s">
        <v>1116</v>
      </c>
      <c r="C16" s="33">
        <v>338.94</v>
      </c>
      <c r="D16" s="56">
        <v>4265</v>
      </c>
      <c r="E16" s="56">
        <v>4265</v>
      </c>
      <c r="F16" s="56">
        <v>48.42</v>
      </c>
      <c r="G16" s="33">
        <v>7</v>
      </c>
      <c r="H16" s="11">
        <f t="shared" si="0"/>
        <v>1.0113528722157092</v>
      </c>
      <c r="I16" s="33">
        <v>338.94</v>
      </c>
      <c r="J16" s="56">
        <v>48.42</v>
      </c>
      <c r="K16" s="12">
        <f t="shared" si="1"/>
        <v>1.1352872215709261E-2</v>
      </c>
      <c r="L16" s="419">
        <f t="shared" si="2"/>
        <v>7.1054273576010019E-14</v>
      </c>
      <c r="M16" s="13">
        <f t="shared" si="3"/>
        <v>1.6659853124504106E-17</v>
      </c>
      <c r="N16" s="420">
        <f t="shared" si="4"/>
        <v>4.9737991503207013E-13</v>
      </c>
      <c r="O16" s="66"/>
      <c r="P16" s="66"/>
      <c r="Q16" s="66"/>
      <c r="R16" s="28" t="s">
        <v>25</v>
      </c>
    </row>
    <row r="17" spans="1:18" s="15" customFormat="1" ht="24.95" customHeight="1" x14ac:dyDescent="0.25">
      <c r="A17" s="418">
        <v>6</v>
      </c>
      <c r="B17" s="10" t="s">
        <v>38</v>
      </c>
      <c r="C17" s="33">
        <v>306.27999999999997</v>
      </c>
      <c r="D17" s="56">
        <v>256.17</v>
      </c>
      <c r="E17" s="56">
        <v>256.17</v>
      </c>
      <c r="F17" s="56">
        <v>9.14</v>
      </c>
      <c r="G17" s="33">
        <v>99.12</v>
      </c>
      <c r="H17" s="11">
        <f t="shared" si="0"/>
        <v>1.0356794316274349</v>
      </c>
      <c r="I17" s="33">
        <v>905.96</v>
      </c>
      <c r="J17" s="56">
        <v>3.09</v>
      </c>
      <c r="K17" s="12">
        <f t="shared" si="1"/>
        <v>1.2062302377327555E-2</v>
      </c>
      <c r="L17" s="419">
        <f t="shared" si="2"/>
        <v>6.0499999999999865</v>
      </c>
      <c r="M17" s="13">
        <f t="shared" si="3"/>
        <v>2.3617129250107297E-2</v>
      </c>
      <c r="N17" s="420">
        <f t="shared" si="4"/>
        <v>599.67599999999868</v>
      </c>
      <c r="O17" s="66"/>
      <c r="P17" s="66"/>
      <c r="Q17" s="66"/>
      <c r="R17" s="28" t="s">
        <v>25</v>
      </c>
    </row>
    <row r="18" spans="1:18" s="57" customFormat="1" ht="24.95" customHeight="1" x14ac:dyDescent="0.25">
      <c r="A18" s="421">
        <v>7</v>
      </c>
      <c r="B18" s="10" t="s">
        <v>36</v>
      </c>
      <c r="C18" s="33">
        <v>304.06</v>
      </c>
      <c r="D18" s="56">
        <v>294.87</v>
      </c>
      <c r="E18" s="56">
        <v>294.87</v>
      </c>
      <c r="F18" s="56">
        <v>13.54</v>
      </c>
      <c r="G18" s="33">
        <v>156.72999999999999</v>
      </c>
      <c r="H18" s="11">
        <f t="shared" si="0"/>
        <v>1.0459185403737241</v>
      </c>
      <c r="I18" s="33">
        <v>2122.12</v>
      </c>
      <c r="J18" s="56">
        <v>1.94</v>
      </c>
      <c r="K18" s="12">
        <f t="shared" si="1"/>
        <v>6.5791704819072811E-3</v>
      </c>
      <c r="L18" s="419">
        <f t="shared" si="2"/>
        <v>11.600000000000021</v>
      </c>
      <c r="M18" s="13">
        <f t="shared" si="3"/>
        <v>3.93393698918168E-2</v>
      </c>
      <c r="N18" s="420">
        <f t="shared" si="4"/>
        <v>1818.0680000000032</v>
      </c>
      <c r="O18" s="66"/>
      <c r="P18" s="66"/>
      <c r="Q18" s="66"/>
      <c r="R18" s="28" t="s">
        <v>25</v>
      </c>
    </row>
    <row r="19" spans="1:18" s="15" customFormat="1" ht="24.95" customHeight="1" x14ac:dyDescent="0.25">
      <c r="A19" s="418">
        <v>8</v>
      </c>
      <c r="B19" s="10" t="s">
        <v>1112</v>
      </c>
      <c r="C19" s="33">
        <v>136.36000000000001</v>
      </c>
      <c r="D19" s="56">
        <v>5223</v>
      </c>
      <c r="E19" s="56">
        <v>5223</v>
      </c>
      <c r="F19" s="56">
        <v>19.48</v>
      </c>
      <c r="G19" s="33">
        <v>7</v>
      </c>
      <c r="H19" s="11">
        <f t="shared" si="0"/>
        <v>1.0037296572850851</v>
      </c>
      <c r="I19" s="33">
        <v>136.36000000000001</v>
      </c>
      <c r="J19" s="56">
        <v>19.48</v>
      </c>
      <c r="K19" s="12">
        <f t="shared" si="1"/>
        <v>3.7296572850852002E-3</v>
      </c>
      <c r="L19" s="419">
        <f t="shared" si="2"/>
        <v>-4.3698378249246161E-13</v>
      </c>
      <c r="M19" s="13">
        <f t="shared" si="3"/>
        <v>-8.3665284796565503E-17</v>
      </c>
      <c r="N19" s="420">
        <f t="shared" si="4"/>
        <v>-3.0588864774472313E-12</v>
      </c>
      <c r="O19" s="66"/>
      <c r="P19" s="66"/>
      <c r="Q19" s="66"/>
      <c r="R19" s="28" t="s">
        <v>25</v>
      </c>
    </row>
    <row r="20" spans="1:18" s="15" customFormat="1" ht="24.95" customHeight="1" x14ac:dyDescent="0.25">
      <c r="A20" s="421">
        <v>9</v>
      </c>
      <c r="B20" s="10" t="s">
        <v>123</v>
      </c>
      <c r="C20" s="33">
        <v>109.73</v>
      </c>
      <c r="D20" s="56">
        <v>11</v>
      </c>
      <c r="E20" s="56">
        <v>11</v>
      </c>
      <c r="F20" s="56">
        <v>0.28000000000000003</v>
      </c>
      <c r="G20" s="33">
        <v>1567.63</v>
      </c>
      <c r="H20" s="11">
        <f t="shared" si="0"/>
        <v>1.0254545454545454</v>
      </c>
      <c r="I20" s="33">
        <v>438.94</v>
      </c>
      <c r="J20" s="56">
        <v>7.0000000000000007E-2</v>
      </c>
      <c r="K20" s="12">
        <f t="shared" si="1"/>
        <v>6.3636363636363638E-3</v>
      </c>
      <c r="L20" s="419">
        <f t="shared" si="2"/>
        <v>0.20999999999999935</v>
      </c>
      <c r="M20" s="13">
        <f t="shared" si="3"/>
        <v>1.9090909090909033E-2</v>
      </c>
      <c r="N20" s="420">
        <f t="shared" si="4"/>
        <v>329.20229999999901</v>
      </c>
      <c r="O20" s="66"/>
      <c r="P20" s="66"/>
      <c r="Q20" s="66"/>
      <c r="R20" s="28" t="s">
        <v>122</v>
      </c>
    </row>
    <row r="21" spans="1:18" s="15" customFormat="1" ht="24.95" customHeight="1" thickBot="1" x14ac:dyDescent="0.3">
      <c r="A21" s="422">
        <v>10</v>
      </c>
      <c r="B21" s="16" t="s">
        <v>342</v>
      </c>
      <c r="C21" s="34">
        <v>107.28</v>
      </c>
      <c r="D21" s="58">
        <v>42.65</v>
      </c>
      <c r="E21" s="58">
        <v>42.65</v>
      </c>
      <c r="F21" s="58">
        <v>1.0900000000000001</v>
      </c>
      <c r="G21" s="34">
        <v>100.26</v>
      </c>
      <c r="H21" s="17">
        <f t="shared" si="0"/>
        <v>1.0255568581477141</v>
      </c>
      <c r="I21" s="34">
        <v>109.28</v>
      </c>
      <c r="J21" s="58">
        <v>1.07</v>
      </c>
      <c r="K21" s="18">
        <f t="shared" si="1"/>
        <v>2.5087924970691677E-2</v>
      </c>
      <c r="L21" s="423">
        <f t="shared" si="2"/>
        <v>2.0000000000003348E-2</v>
      </c>
      <c r="M21" s="19">
        <f t="shared" si="3"/>
        <v>4.6893317702235288E-4</v>
      </c>
      <c r="N21" s="424">
        <f t="shared" si="4"/>
        <v>2.0052000000003356</v>
      </c>
      <c r="O21" s="64"/>
      <c r="P21" s="64"/>
      <c r="Q21" s="64"/>
      <c r="R21" s="29" t="s">
        <v>25</v>
      </c>
    </row>
    <row r="22" spans="1:18" s="62" customFormat="1" ht="24.95" customHeight="1" thickBot="1" x14ac:dyDescent="0.3">
      <c r="A22" s="425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426"/>
      <c r="M22" s="30"/>
      <c r="N22" s="427"/>
      <c r="O22" s="61"/>
      <c r="P22" s="61"/>
      <c r="Q22" s="61"/>
      <c r="R22" s="59"/>
    </row>
    <row r="23" spans="1:18" s="62" customFormat="1" ht="40.5" customHeight="1" x14ac:dyDescent="0.25">
      <c r="A23" s="443" t="s">
        <v>1150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127</v>
      </c>
      <c r="B24" s="447"/>
      <c r="C24" s="447"/>
      <c r="D24" s="447" t="s">
        <v>1122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1123</v>
      </c>
      <c r="P24" s="457" t="s">
        <v>1147</v>
      </c>
      <c r="Q24" s="456" t="s">
        <v>1137</v>
      </c>
      <c r="R24" s="454" t="s">
        <v>1138</v>
      </c>
    </row>
    <row r="25" spans="1:18" s="62" customFormat="1" ht="24.95" customHeight="1" x14ac:dyDescent="0.25">
      <c r="A25" s="458" t="s">
        <v>1124</v>
      </c>
      <c r="B25" s="461" t="s">
        <v>1125</v>
      </c>
      <c r="C25" s="462"/>
      <c r="D25" s="463" t="s">
        <v>1140</v>
      </c>
      <c r="E25" s="463"/>
      <c r="F25" s="463"/>
      <c r="G25" s="463"/>
      <c r="H25" s="463"/>
      <c r="I25" s="463"/>
      <c r="J25" s="464" t="s">
        <v>1126</v>
      </c>
      <c r="K25" s="464"/>
      <c r="L25" s="464"/>
      <c r="M25" s="465"/>
      <c r="N25" s="465"/>
      <c r="O25" s="456"/>
      <c r="P25" s="456"/>
      <c r="Q25" s="456"/>
      <c r="R25" s="454"/>
    </row>
    <row r="26" spans="1:18" s="62" customFormat="1" ht="24.95" customHeight="1" x14ac:dyDescent="0.3">
      <c r="A26" s="459"/>
      <c r="B26" s="466" t="s">
        <v>1127</v>
      </c>
      <c r="C26" s="468" t="s">
        <v>1141</v>
      </c>
      <c r="D26" s="470" t="s">
        <v>1142</v>
      </c>
      <c r="E26" s="470"/>
      <c r="F26" s="470"/>
      <c r="G26" s="470"/>
      <c r="H26" s="470"/>
      <c r="I26" s="470"/>
      <c r="J26" s="471" t="s">
        <v>1128</v>
      </c>
      <c r="K26" s="472"/>
      <c r="L26" s="473"/>
      <c r="M26" s="471" t="s">
        <v>1129</v>
      </c>
      <c r="N26" s="473"/>
      <c r="O26" s="456"/>
      <c r="P26" s="456"/>
      <c r="Q26" s="456"/>
      <c r="R26" s="454"/>
    </row>
    <row r="27" spans="1:18" s="62" customFormat="1" ht="50.1" customHeight="1" x14ac:dyDescent="0.25">
      <c r="A27" s="460"/>
      <c r="B27" s="467"/>
      <c r="C27" s="469"/>
      <c r="D27" s="415" t="s">
        <v>1130</v>
      </c>
      <c r="E27" s="415" t="s">
        <v>1131</v>
      </c>
      <c r="F27" s="415" t="s">
        <v>142</v>
      </c>
      <c r="G27" s="415" t="s">
        <v>197</v>
      </c>
      <c r="H27" s="415" t="s">
        <v>198</v>
      </c>
      <c r="I27" s="415" t="s">
        <v>145</v>
      </c>
      <c r="J27" s="416" t="s">
        <v>1144</v>
      </c>
      <c r="K27" s="416" t="s">
        <v>1135</v>
      </c>
      <c r="L27" s="417" t="s">
        <v>1136</v>
      </c>
      <c r="M27" s="416" t="s">
        <v>1144</v>
      </c>
      <c r="N27" s="416" t="s">
        <v>1135</v>
      </c>
      <c r="O27" s="456"/>
      <c r="P27" s="456"/>
      <c r="Q27" s="456"/>
      <c r="R27" s="454"/>
    </row>
    <row r="28" spans="1:18" s="62" customFormat="1" ht="24.95" customHeight="1" x14ac:dyDescent="0.25">
      <c r="A28" s="418">
        <v>1</v>
      </c>
      <c r="B28" s="10" t="s">
        <v>37</v>
      </c>
      <c r="C28" s="33">
        <v>2316.62</v>
      </c>
      <c r="D28" s="56">
        <v>396.67</v>
      </c>
      <c r="E28" s="56">
        <v>396.67</v>
      </c>
      <c r="F28" s="56">
        <v>18.21</v>
      </c>
      <c r="G28" s="33">
        <v>156.74</v>
      </c>
      <c r="H28" s="35">
        <f t="shared" ref="H28:H37" si="5">(E28+F28)/D28</f>
        <v>1.0459071772506112</v>
      </c>
      <c r="I28" s="33">
        <v>2854.24</v>
      </c>
      <c r="J28" s="56">
        <v>3.43</v>
      </c>
      <c r="K28" s="12">
        <f t="shared" ref="K28:K37" si="6">J28/D28</f>
        <v>8.6469861597801706E-3</v>
      </c>
      <c r="L28" s="420">
        <f t="shared" ref="L28:L37" si="7">J28*G28</f>
        <v>537.6182</v>
      </c>
      <c r="M28" s="419">
        <f t="shared" ref="M28:M37" si="8">((E28+F28)-D28)-J28</f>
        <v>14.77999999999998</v>
      </c>
      <c r="N28" s="13">
        <f t="shared" ref="N28:N37" si="9">M28/D28</f>
        <v>3.7260191090831118E-2</v>
      </c>
      <c r="O28" s="69"/>
      <c r="P28" s="14"/>
      <c r="Q28" s="14"/>
      <c r="R28" s="28" t="s">
        <v>25</v>
      </c>
    </row>
    <row r="29" spans="1:18" s="62" customFormat="1" ht="24.75" customHeight="1" x14ac:dyDescent="0.25">
      <c r="A29" s="421">
        <v>2</v>
      </c>
      <c r="B29" s="10" t="s">
        <v>52</v>
      </c>
      <c r="C29" s="33">
        <v>2115.3000000000002</v>
      </c>
      <c r="D29" s="56">
        <v>361.14</v>
      </c>
      <c r="E29" s="56">
        <v>361.14</v>
      </c>
      <c r="F29" s="56">
        <v>16.579999999999998</v>
      </c>
      <c r="G29" s="33">
        <v>133.88</v>
      </c>
      <c r="H29" s="35">
        <f t="shared" si="5"/>
        <v>1.0459101733399789</v>
      </c>
      <c r="I29" s="33">
        <v>2219.73</v>
      </c>
      <c r="J29" s="56">
        <v>0.78</v>
      </c>
      <c r="K29" s="12">
        <f t="shared" si="6"/>
        <v>2.1598272138228943E-3</v>
      </c>
      <c r="L29" s="420">
        <f t="shared" si="7"/>
        <v>104.4264</v>
      </c>
      <c r="M29" s="419">
        <f t="shared" si="8"/>
        <v>15.799999999999985</v>
      </c>
      <c r="N29" s="13">
        <f t="shared" si="9"/>
        <v>4.3750346126156019E-2</v>
      </c>
      <c r="O29" s="69"/>
      <c r="P29" s="14"/>
      <c r="Q29" s="14"/>
      <c r="R29" s="28" t="s">
        <v>77</v>
      </c>
    </row>
    <row r="30" spans="1:18" s="62" customFormat="1" ht="24.95" customHeight="1" x14ac:dyDescent="0.25">
      <c r="A30" s="421">
        <v>3</v>
      </c>
      <c r="B30" s="10" t="s">
        <v>1117</v>
      </c>
      <c r="C30" s="33">
        <v>1954.0599999999997</v>
      </c>
      <c r="D30" s="56">
        <v>586.72</v>
      </c>
      <c r="E30" s="56">
        <v>586.72</v>
      </c>
      <c r="F30" s="56">
        <v>26.93</v>
      </c>
      <c r="G30" s="33">
        <v>76.42</v>
      </c>
      <c r="H30" s="35">
        <f t="shared" si="5"/>
        <v>1.0458992364330515</v>
      </c>
      <c r="I30" s="33">
        <v>2057.9899999999998</v>
      </c>
      <c r="J30" s="32">
        <v>1.36</v>
      </c>
      <c r="K30" s="12">
        <f t="shared" si="6"/>
        <v>2.3179710935369515E-3</v>
      </c>
      <c r="L30" s="420">
        <f t="shared" si="7"/>
        <v>103.9312</v>
      </c>
      <c r="M30" s="419">
        <f t="shared" si="8"/>
        <v>25.569999999999951</v>
      </c>
      <c r="N30" s="13">
        <f t="shared" si="9"/>
        <v>4.3581265339514501E-2</v>
      </c>
      <c r="O30" s="69"/>
      <c r="P30" s="14"/>
      <c r="Q30" s="14"/>
      <c r="R30" s="28" t="s">
        <v>122</v>
      </c>
    </row>
    <row r="31" spans="1:18" s="62" customFormat="1" ht="24.95" customHeight="1" x14ac:dyDescent="0.25">
      <c r="A31" s="418">
        <v>4</v>
      </c>
      <c r="B31" s="10" t="s">
        <v>1118</v>
      </c>
      <c r="C31" s="33">
        <v>1818.8</v>
      </c>
      <c r="D31" s="56">
        <v>598.36</v>
      </c>
      <c r="E31" s="56">
        <v>598.36</v>
      </c>
      <c r="F31" s="56">
        <v>24.41</v>
      </c>
      <c r="G31" s="33">
        <v>78.77</v>
      </c>
      <c r="H31" s="35">
        <f t="shared" si="5"/>
        <v>1.040794839227221</v>
      </c>
      <c r="I31" s="33">
        <v>1922.78</v>
      </c>
      <c r="J31" s="56">
        <v>1.32</v>
      </c>
      <c r="K31" s="12">
        <f t="shared" si="6"/>
        <v>2.2060298148271944E-3</v>
      </c>
      <c r="L31" s="420">
        <f t="shared" si="7"/>
        <v>103.9764</v>
      </c>
      <c r="M31" s="419">
        <f t="shared" si="8"/>
        <v>23.089999999999968</v>
      </c>
      <c r="N31" s="13">
        <f t="shared" si="9"/>
        <v>3.8588809412393822E-2</v>
      </c>
      <c r="O31" s="69"/>
      <c r="P31" s="14"/>
      <c r="Q31" s="14"/>
      <c r="R31" s="28" t="s">
        <v>74</v>
      </c>
    </row>
    <row r="32" spans="1:18" s="62" customFormat="1" ht="24.95" customHeight="1" x14ac:dyDescent="0.25">
      <c r="A32" s="421">
        <v>5</v>
      </c>
      <c r="B32" s="10" t="s">
        <v>36</v>
      </c>
      <c r="C32" s="33">
        <v>1818.06</v>
      </c>
      <c r="D32" s="56">
        <v>294.87</v>
      </c>
      <c r="E32" s="56">
        <v>294.87</v>
      </c>
      <c r="F32" s="56">
        <v>13.54</v>
      </c>
      <c r="G32" s="33">
        <v>156.72999999999999</v>
      </c>
      <c r="H32" s="35">
        <f t="shared" si="5"/>
        <v>1.0459185403737241</v>
      </c>
      <c r="I32" s="33">
        <v>2122.12</v>
      </c>
      <c r="J32" s="56">
        <v>1.94</v>
      </c>
      <c r="K32" s="12">
        <f t="shared" si="6"/>
        <v>6.5791704819072811E-3</v>
      </c>
      <c r="L32" s="420">
        <f t="shared" si="7"/>
        <v>304.05619999999999</v>
      </c>
      <c r="M32" s="419">
        <f t="shared" si="8"/>
        <v>11.600000000000021</v>
      </c>
      <c r="N32" s="13">
        <f t="shared" si="9"/>
        <v>3.93393698918168E-2</v>
      </c>
      <c r="O32" s="69"/>
      <c r="P32" s="14"/>
      <c r="Q32" s="14"/>
      <c r="R32" s="28" t="s">
        <v>25</v>
      </c>
    </row>
    <row r="33" spans="1:18" s="62" customFormat="1" ht="24.95" customHeight="1" x14ac:dyDescent="0.25">
      <c r="A33" s="418">
        <v>6</v>
      </c>
      <c r="B33" s="10" t="s">
        <v>1119</v>
      </c>
      <c r="C33" s="33">
        <v>1747.21</v>
      </c>
      <c r="D33" s="56">
        <v>471.92</v>
      </c>
      <c r="E33" s="56">
        <v>471.92</v>
      </c>
      <c r="F33" s="56">
        <v>21.66</v>
      </c>
      <c r="G33" s="33">
        <v>85.48</v>
      </c>
      <c r="H33" s="35">
        <f t="shared" si="5"/>
        <v>1.0458976097643669</v>
      </c>
      <c r="I33" s="33">
        <v>1851.5</v>
      </c>
      <c r="J33" s="56">
        <v>1.22</v>
      </c>
      <c r="K33" s="12">
        <f t="shared" si="6"/>
        <v>2.5851839294795727E-3</v>
      </c>
      <c r="L33" s="420">
        <f t="shared" si="7"/>
        <v>104.2856</v>
      </c>
      <c r="M33" s="419">
        <f t="shared" si="8"/>
        <v>20.440000000000026</v>
      </c>
      <c r="N33" s="13">
        <f t="shared" si="9"/>
        <v>4.3312425834887321E-2</v>
      </c>
      <c r="O33" s="69"/>
      <c r="P33" s="14"/>
      <c r="Q33" s="14"/>
      <c r="R33" s="28" t="s">
        <v>73</v>
      </c>
    </row>
    <row r="34" spans="1:18" s="62" customFormat="1" ht="24.95" customHeight="1" x14ac:dyDescent="0.25">
      <c r="A34" s="421">
        <v>7</v>
      </c>
      <c r="B34" s="10" t="s">
        <v>54</v>
      </c>
      <c r="C34" s="33">
        <v>1602.71</v>
      </c>
      <c r="D34" s="56">
        <v>526.5</v>
      </c>
      <c r="E34" s="56">
        <v>526.5</v>
      </c>
      <c r="F34" s="56">
        <v>21.48</v>
      </c>
      <c r="G34" s="33">
        <v>79.459999999999994</v>
      </c>
      <c r="H34" s="35">
        <f t="shared" si="5"/>
        <v>1.0407977207977208</v>
      </c>
      <c r="I34" s="33">
        <v>1706.8</v>
      </c>
      <c r="J34" s="56">
        <v>1.31</v>
      </c>
      <c r="K34" s="12">
        <f t="shared" si="6"/>
        <v>2.4881291547958215E-3</v>
      </c>
      <c r="L34" s="420">
        <f t="shared" si="7"/>
        <v>104.09259999999999</v>
      </c>
      <c r="M34" s="419">
        <f t="shared" si="8"/>
        <v>20.170000000000019</v>
      </c>
      <c r="N34" s="13">
        <f t="shared" si="9"/>
        <v>3.8309591642925016E-2</v>
      </c>
      <c r="O34" s="69"/>
      <c r="P34" s="14"/>
      <c r="Q34" s="14"/>
      <c r="R34" s="28" t="s">
        <v>78</v>
      </c>
    </row>
    <row r="35" spans="1:18" s="62" customFormat="1" ht="24.95" customHeight="1" x14ac:dyDescent="0.25">
      <c r="A35" s="418">
        <v>8</v>
      </c>
      <c r="B35" s="10" t="s">
        <v>114</v>
      </c>
      <c r="C35" s="33">
        <v>1595.75</v>
      </c>
      <c r="D35" s="56">
        <v>40.869999999999997</v>
      </c>
      <c r="E35" s="56">
        <v>40.869999999999997</v>
      </c>
      <c r="F35" s="56">
        <v>2.09</v>
      </c>
      <c r="G35" s="33">
        <v>814.16</v>
      </c>
      <c r="H35" s="35">
        <f t="shared" si="5"/>
        <v>1.0511377538536824</v>
      </c>
      <c r="I35" s="33">
        <v>1701.59</v>
      </c>
      <c r="J35" s="56">
        <v>0.13</v>
      </c>
      <c r="K35" s="12">
        <f t="shared" si="6"/>
        <v>3.1808172253486667E-3</v>
      </c>
      <c r="L35" s="420">
        <f t="shared" si="7"/>
        <v>105.8408</v>
      </c>
      <c r="M35" s="419">
        <f t="shared" si="8"/>
        <v>1.9599999999999964</v>
      </c>
      <c r="N35" s="13">
        <f t="shared" si="9"/>
        <v>4.7956936628333655E-2</v>
      </c>
      <c r="O35" s="69"/>
      <c r="P35" s="14"/>
      <c r="Q35" s="14"/>
      <c r="R35" s="28" t="s">
        <v>113</v>
      </c>
    </row>
    <row r="36" spans="1:18" s="62" customFormat="1" ht="24.95" customHeight="1" x14ac:dyDescent="0.25">
      <c r="A36" s="421">
        <v>9</v>
      </c>
      <c r="B36" s="10" t="s">
        <v>542</v>
      </c>
      <c r="C36" s="33">
        <v>1381.57</v>
      </c>
      <c r="D36" s="56">
        <v>214.62</v>
      </c>
      <c r="E36" s="56">
        <v>214.62</v>
      </c>
      <c r="F36" s="56">
        <v>7.66</v>
      </c>
      <c r="G36" s="33">
        <v>194.04</v>
      </c>
      <c r="H36" s="35">
        <f t="shared" si="5"/>
        <v>1.0356909887242569</v>
      </c>
      <c r="I36" s="33">
        <v>1486.35</v>
      </c>
      <c r="J36" s="56">
        <v>0.54</v>
      </c>
      <c r="K36" s="12">
        <f t="shared" si="6"/>
        <v>2.516074923119933E-3</v>
      </c>
      <c r="L36" s="420">
        <f t="shared" si="7"/>
        <v>104.7816</v>
      </c>
      <c r="M36" s="419">
        <f t="shared" si="8"/>
        <v>7.1199999999999966</v>
      </c>
      <c r="N36" s="13">
        <f t="shared" si="9"/>
        <v>3.3174913801136879E-2</v>
      </c>
      <c r="O36" s="69"/>
      <c r="P36" s="14"/>
      <c r="Q36" s="14"/>
      <c r="R36" s="28" t="s">
        <v>543</v>
      </c>
    </row>
    <row r="37" spans="1:18" s="62" customFormat="1" ht="24.95" customHeight="1" thickBot="1" x14ac:dyDescent="0.3">
      <c r="A37" s="422">
        <v>10</v>
      </c>
      <c r="B37" s="16" t="s">
        <v>107</v>
      </c>
      <c r="C37" s="34">
        <v>1343.01</v>
      </c>
      <c r="D37" s="58">
        <v>189.32</v>
      </c>
      <c r="E37" s="58">
        <v>189.32</v>
      </c>
      <c r="F37" s="58">
        <v>8.69</v>
      </c>
      <c r="G37" s="34">
        <v>166.42</v>
      </c>
      <c r="H37" s="36">
        <f t="shared" si="5"/>
        <v>1.0459011197971688</v>
      </c>
      <c r="I37" s="34">
        <v>1446.19</v>
      </c>
      <c r="J37" s="58">
        <v>0.62</v>
      </c>
      <c r="K37" s="18">
        <f t="shared" si="6"/>
        <v>3.274878512571308E-3</v>
      </c>
      <c r="L37" s="424">
        <f t="shared" si="7"/>
        <v>103.18039999999999</v>
      </c>
      <c r="M37" s="423">
        <f t="shared" si="8"/>
        <v>8.0699999999999985</v>
      </c>
      <c r="N37" s="19">
        <f t="shared" si="9"/>
        <v>4.2626241284597501E-2</v>
      </c>
      <c r="O37" s="52"/>
      <c r="P37" s="20"/>
      <c r="Q37" s="20"/>
      <c r="R37" s="65" t="s">
        <v>106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213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1121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449" t="s">
        <v>1124</v>
      </c>
      <c r="B41" s="450" t="s">
        <v>1125</v>
      </c>
      <c r="C41" s="450"/>
      <c r="D41" s="451"/>
      <c r="E41" s="23"/>
      <c r="G41" s="21"/>
      <c r="H41" s="22"/>
    </row>
    <row r="42" spans="1:18" ht="20.45" customHeight="1" x14ac:dyDescent="0.35">
      <c r="A42" s="449"/>
      <c r="B42" s="452" t="s">
        <v>1127</v>
      </c>
      <c r="C42" s="453" t="s">
        <v>1148</v>
      </c>
      <c r="D42" s="454" t="s">
        <v>1151</v>
      </c>
      <c r="E42" s="23"/>
      <c r="G42" s="21"/>
      <c r="H42" s="22"/>
    </row>
    <row r="43" spans="1:18" ht="20.45" customHeight="1" x14ac:dyDescent="0.35">
      <c r="A43" s="449"/>
      <c r="B43" s="452"/>
      <c r="C43" s="453"/>
      <c r="D43" s="454"/>
      <c r="E43" s="23"/>
      <c r="G43" s="21"/>
      <c r="H43" s="22"/>
    </row>
    <row r="44" spans="1:18" s="26" customFormat="1" ht="24.95" customHeight="1" x14ac:dyDescent="0.35">
      <c r="A44" s="428">
        <v>1</v>
      </c>
      <c r="B44" s="10" t="s">
        <v>786</v>
      </c>
      <c r="C44" s="33">
        <v>1929.49</v>
      </c>
      <c r="D44" s="24">
        <f t="shared" ref="D44:D53" si="10">C44/$L$5</f>
        <v>0.27033324226439415</v>
      </c>
      <c r="E44" s="25"/>
      <c r="G44" s="21"/>
      <c r="H44" s="22"/>
    </row>
    <row r="45" spans="1:18" s="26" customFormat="1" ht="24.95" customHeight="1" x14ac:dyDescent="0.35">
      <c r="A45" s="429">
        <v>2</v>
      </c>
      <c r="B45" s="10" t="s">
        <v>787</v>
      </c>
      <c r="C45" s="33">
        <v>1039.6400000000001</v>
      </c>
      <c r="D45" s="24">
        <f t="shared" si="10"/>
        <v>0.14565986451743973</v>
      </c>
      <c r="E45" s="25"/>
      <c r="G45" s="21"/>
      <c r="H45" s="22"/>
    </row>
    <row r="46" spans="1:18" s="26" customFormat="1" ht="24.95" customHeight="1" x14ac:dyDescent="0.35">
      <c r="A46" s="429">
        <v>3</v>
      </c>
      <c r="B46" s="10" t="s">
        <v>37</v>
      </c>
      <c r="C46" s="33">
        <v>537.62</v>
      </c>
      <c r="D46" s="24">
        <f t="shared" si="10"/>
        <v>7.5323820131839803E-2</v>
      </c>
      <c r="E46" s="25"/>
      <c r="G46" s="21"/>
      <c r="H46" s="22"/>
    </row>
    <row r="47" spans="1:18" s="26" customFormat="1" ht="24.95" customHeight="1" x14ac:dyDescent="0.35">
      <c r="A47" s="428">
        <v>4</v>
      </c>
      <c r="B47" s="10" t="s">
        <v>965</v>
      </c>
      <c r="C47" s="33">
        <v>358.53</v>
      </c>
      <c r="D47" s="24">
        <f t="shared" si="10"/>
        <v>5.0232225794926755E-2</v>
      </c>
      <c r="E47" s="25"/>
      <c r="G47" s="21"/>
      <c r="H47" s="22"/>
    </row>
    <row r="48" spans="1:18" s="26" customFormat="1" ht="24.95" customHeight="1" x14ac:dyDescent="0.35">
      <c r="A48" s="429">
        <v>5</v>
      </c>
      <c r="B48" s="10" t="s">
        <v>1116</v>
      </c>
      <c r="C48" s="33">
        <v>338.94</v>
      </c>
      <c r="D48" s="24">
        <f t="shared" si="10"/>
        <v>4.7487548073891939E-2</v>
      </c>
      <c r="E48" s="25"/>
      <c r="G48" s="21"/>
      <c r="H48" s="22"/>
    </row>
    <row r="49" spans="1:5" s="26" customFormat="1" ht="24.95" customHeight="1" x14ac:dyDescent="0.25">
      <c r="A49" s="428">
        <v>6</v>
      </c>
      <c r="B49" s="10" t="s">
        <v>38</v>
      </c>
      <c r="C49" s="33">
        <v>306.27999999999997</v>
      </c>
      <c r="D49" s="24">
        <f t="shared" si="10"/>
        <v>4.2911684144897683E-2</v>
      </c>
      <c r="E49" s="25"/>
    </row>
    <row r="50" spans="1:5" s="26" customFormat="1" ht="24.95" customHeight="1" x14ac:dyDescent="0.25">
      <c r="A50" s="429">
        <v>7</v>
      </c>
      <c r="B50" s="10" t="s">
        <v>36</v>
      </c>
      <c r="C50" s="33">
        <v>304.06</v>
      </c>
      <c r="D50" s="24">
        <f t="shared" si="10"/>
        <v>4.2600648691059131E-2</v>
      </c>
      <c r="E50" s="25"/>
    </row>
    <row r="51" spans="1:5" s="26" customFormat="1" ht="24.95" customHeight="1" x14ac:dyDescent="0.25">
      <c r="A51" s="428">
        <v>8</v>
      </c>
      <c r="B51" s="10" t="s">
        <v>1112</v>
      </c>
      <c r="C51" s="33">
        <v>136.36000000000001</v>
      </c>
      <c r="D51" s="24">
        <f t="shared" si="10"/>
        <v>1.9104862380822284E-2</v>
      </c>
      <c r="E51" s="25"/>
    </row>
    <row r="52" spans="1:5" s="26" customFormat="1" ht="24.95" customHeight="1" x14ac:dyDescent="0.25">
      <c r="A52" s="429">
        <v>9</v>
      </c>
      <c r="B52" s="10" t="s">
        <v>342</v>
      </c>
      <c r="C52" s="33">
        <v>107.28</v>
      </c>
      <c r="D52" s="24">
        <f t="shared" si="10"/>
        <v>1.5030578147657778E-2</v>
      </c>
      <c r="E52" s="25"/>
    </row>
    <row r="53" spans="1:5" s="26" customFormat="1" ht="24.95" customHeight="1" thickBot="1" x14ac:dyDescent="0.3">
      <c r="A53" s="430">
        <v>10</v>
      </c>
      <c r="B53" s="16" t="s">
        <v>30</v>
      </c>
      <c r="C53" s="34">
        <v>105.93</v>
      </c>
      <c r="D53" s="27">
        <f t="shared" si="10"/>
        <v>1.4841434966269468E-2</v>
      </c>
      <c r="E53" s="25"/>
    </row>
    <row r="54" spans="1:5" x14ac:dyDescent="0.25">
      <c r="A54" s="441" t="s">
        <v>1145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1146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1177" priority="33" operator="containsText" text="024">
      <formula>NOT(ISERROR(SEARCH("024",A12)))</formula>
    </cfRule>
    <cfRule type="containsText" dxfId="1176" priority="34" operator="containsText" text="白醬">
      <formula>NOT(ISERROR(SEARCH("白醬",A12)))</formula>
    </cfRule>
    <cfRule type="containsText" dxfId="1175" priority="35" operator="containsText" text="青蔥">
      <formula>NOT(ISERROR(SEARCH("青蔥",A12)))</formula>
    </cfRule>
    <cfRule type="containsText" dxfId="1174" priority="36" operator="containsText" text=")川燙小青花菜">
      <formula>NOT(ISERROR(SEARCH(")川燙小青花菜",A12)))</formula>
    </cfRule>
    <cfRule type="containsText" dxfId="1173" priority="37" operator="containsText" text="湯凍">
      <formula>NOT(ISERROR(SEARCH("湯凍",A12)))</formula>
    </cfRule>
    <cfRule type="containsText" dxfId="1172" priority="38" operator="containsText" text="中華">
      <formula>NOT(ISERROR(SEARCH("中華",A12)))</formula>
    </cfRule>
  </conditionalFormatting>
  <conditionalFormatting sqref="A12:A22">
    <cfRule type="containsText" dxfId="1171" priority="31" operator="containsText" text="綠豆芽">
      <formula>NOT(ISERROR(SEARCH("綠豆芽",A12)))</formula>
    </cfRule>
    <cfRule type="containsText" dxfId="1170" priority="32" operator="containsText" text="煮白細麵生(方#12)">
      <formula>NOT(ISERROR(SEARCH("煮白細麵生(方#12)",A12)))</formula>
    </cfRule>
  </conditionalFormatting>
  <conditionalFormatting sqref="E5">
    <cfRule type="cellIs" dxfId="1169" priority="16" operator="greaterThan">
      <formula>0.0025</formula>
    </cfRule>
    <cfRule type="cellIs" dxfId="1168" priority="19" operator="greaterThan">
      <formula>0.0025</formula>
    </cfRule>
    <cfRule type="cellIs" dxfId="1167" priority="29" operator="greaterThan">
      <formula>0.072</formula>
    </cfRule>
    <cfRule type="cellIs" dxfId="1166" priority="30" operator="greaterThan">
      <formula>7.2</formula>
    </cfRule>
  </conditionalFormatting>
  <conditionalFormatting sqref="E5">
    <cfRule type="cellIs" dxfId="1165" priority="28" operator="greaterThan">
      <formula>0.0025</formula>
    </cfRule>
  </conditionalFormatting>
  <conditionalFormatting sqref="A44:A53">
    <cfRule type="containsText" dxfId="1164" priority="22" operator="containsText" text="024">
      <formula>NOT(ISERROR(SEARCH("024",A44)))</formula>
    </cfRule>
    <cfRule type="containsText" dxfId="1163" priority="23" operator="containsText" text="白醬">
      <formula>NOT(ISERROR(SEARCH("白醬",A44)))</formula>
    </cfRule>
    <cfRule type="containsText" dxfId="1162" priority="24" operator="containsText" text="青蔥">
      <formula>NOT(ISERROR(SEARCH("青蔥",A44)))</formula>
    </cfRule>
    <cfRule type="containsText" dxfId="1161" priority="25" operator="containsText" text=")川燙小青花菜">
      <formula>NOT(ISERROR(SEARCH(")川燙小青花菜",A44)))</formula>
    </cfRule>
    <cfRule type="containsText" dxfId="1160" priority="26" operator="containsText" text="湯凍">
      <formula>NOT(ISERROR(SEARCH("湯凍",A44)))</formula>
    </cfRule>
    <cfRule type="containsText" dxfId="1159" priority="27" operator="containsText" text="中華">
      <formula>NOT(ISERROR(SEARCH("中華",A44)))</formula>
    </cfRule>
  </conditionalFormatting>
  <conditionalFormatting sqref="A44:A53">
    <cfRule type="containsText" dxfId="1158" priority="20" operator="containsText" text="綠豆芽">
      <formula>NOT(ISERROR(SEARCH("綠豆芽",A44)))</formula>
    </cfRule>
    <cfRule type="containsText" dxfId="1157" priority="21" operator="containsText" text="煮白細麵生(方#12)">
      <formula>NOT(ISERROR(SEARCH("煮白細麵生(方#12)",A44)))</formula>
    </cfRule>
  </conditionalFormatting>
  <conditionalFormatting sqref="D44:D53">
    <cfRule type="cellIs" dxfId="1156" priority="18" operator="greaterThan">
      <formula>0.146</formula>
    </cfRule>
  </conditionalFormatting>
  <conditionalFormatting sqref="H12:H22">
    <cfRule type="cellIs" dxfId="1155" priority="17" operator="greaterThan">
      <formula>1.1</formula>
    </cfRule>
  </conditionalFormatting>
  <conditionalFormatting sqref="I5">
    <cfRule type="cellIs" dxfId="1154" priority="15" operator="greaterThan">
      <formula>0.2</formula>
    </cfRule>
  </conditionalFormatting>
  <conditionalFormatting sqref="A28:A37">
    <cfRule type="containsText" dxfId="1153" priority="9" operator="containsText" text="024">
      <formula>NOT(ISERROR(SEARCH("024",A28)))</formula>
    </cfRule>
    <cfRule type="containsText" dxfId="1152" priority="10" operator="containsText" text="白醬">
      <formula>NOT(ISERROR(SEARCH("白醬",A28)))</formula>
    </cfRule>
    <cfRule type="containsText" dxfId="1151" priority="11" operator="containsText" text="青蔥">
      <formula>NOT(ISERROR(SEARCH("青蔥",A28)))</formula>
    </cfRule>
    <cfRule type="containsText" dxfId="1150" priority="12" operator="containsText" text=")川燙小青花菜">
      <formula>NOT(ISERROR(SEARCH(")川燙小青花菜",A28)))</formula>
    </cfRule>
    <cfRule type="containsText" dxfId="1149" priority="13" operator="containsText" text="湯凍">
      <formula>NOT(ISERROR(SEARCH("湯凍",A28)))</formula>
    </cfRule>
    <cfRule type="containsText" dxfId="1148" priority="14" operator="containsText" text="中華">
      <formula>NOT(ISERROR(SEARCH("中華",A28)))</formula>
    </cfRule>
  </conditionalFormatting>
  <conditionalFormatting sqref="A28:A37">
    <cfRule type="containsText" dxfId="1147" priority="7" operator="containsText" text="綠豆芽">
      <formula>NOT(ISERROR(SEARCH("綠豆芽",A28)))</formula>
    </cfRule>
    <cfRule type="containsText" dxfId="1146" priority="8" operator="containsText" text="煮白細麵生(方#12)">
      <formula>NOT(ISERROR(SEARCH("煮白細麵生(方#12)",A28)))</formula>
    </cfRule>
  </conditionalFormatting>
  <conditionalFormatting sqref="H28:H37">
    <cfRule type="cellIs" dxfId="1145" priority="6" operator="greaterThan">
      <formula>1.1</formula>
    </cfRule>
  </conditionalFormatting>
  <conditionalFormatting sqref="G5">
    <cfRule type="cellIs" dxfId="1144" priority="1" operator="greaterThan">
      <formula>0.0025</formula>
    </cfRule>
    <cfRule type="cellIs" dxfId="1143" priority="2" operator="greaterThan">
      <formula>0.0025</formula>
    </cfRule>
    <cfRule type="cellIs" dxfId="1142" priority="4" operator="greaterThan">
      <formula>0.072</formula>
    </cfRule>
    <cfRule type="cellIs" dxfId="1141" priority="5" operator="greaterThan">
      <formula>7.2</formula>
    </cfRule>
  </conditionalFormatting>
  <conditionalFormatting sqref="G5">
    <cfRule type="cellIs" dxfId="114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G10" zoomScale="70" zoomScaleNormal="70" zoomScaleSheetLayoutView="70" workbookViewId="0">
      <selection activeCell="O28" sqref="O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486" t="s">
        <v>92</v>
      </c>
      <c r="B2" s="487"/>
      <c r="C2" s="413" t="s">
        <v>93</v>
      </c>
      <c r="D2" s="488" t="s">
        <v>94</v>
      </c>
      <c r="E2" s="488"/>
      <c r="F2" s="488" t="s">
        <v>95</v>
      </c>
      <c r="G2" s="488"/>
      <c r="H2" s="488" t="s">
        <v>94</v>
      </c>
      <c r="I2" s="488"/>
      <c r="J2" s="488" t="s">
        <v>95</v>
      </c>
      <c r="K2" s="488"/>
      <c r="L2" s="488" t="s">
        <v>94</v>
      </c>
      <c r="M2" s="489"/>
      <c r="R2" s="54"/>
    </row>
    <row r="3" spans="1:18" s="1" customFormat="1" ht="28.5" x14ac:dyDescent="0.45">
      <c r="A3" s="479">
        <v>45899</v>
      </c>
      <c r="B3" s="480"/>
      <c r="C3" s="481">
        <v>4840642.04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479"/>
      <c r="B4" s="480"/>
      <c r="C4" s="481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477" t="s">
        <v>105</v>
      </c>
      <c r="B5" s="478"/>
      <c r="C5" s="478"/>
      <c r="D5" s="414">
        <v>11814.090000000002</v>
      </c>
      <c r="E5" s="5">
        <f>D5/C3</f>
        <v>2.4406039327791321E-3</v>
      </c>
      <c r="F5" s="414">
        <v>36952.239999999983</v>
      </c>
      <c r="G5" s="44">
        <f>F5/C3</f>
        <v>7.6337476918660946E-3</v>
      </c>
      <c r="H5" s="6">
        <f>SUM(C12:C21)</f>
        <v>4021.58</v>
      </c>
      <c r="I5" s="7">
        <f>H5/D5</f>
        <v>0.34040539728409036</v>
      </c>
      <c r="J5" s="6">
        <f>SUM(C28:C37)</f>
        <v>15694.500000000002</v>
      </c>
      <c r="K5" s="46">
        <f>J5/F5</f>
        <v>0.42472391389534192</v>
      </c>
      <c r="L5" s="8">
        <v>4909.4199999999992</v>
      </c>
      <c r="M5" s="9">
        <f>L5/D5</f>
        <v>0.41555633992969399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1120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1121</v>
      </c>
      <c r="B8" s="447"/>
      <c r="C8" s="447"/>
      <c r="D8" s="447" t="s">
        <v>1122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1123</v>
      </c>
      <c r="P8" s="457" t="s">
        <v>604</v>
      </c>
      <c r="Q8" s="456" t="s">
        <v>605</v>
      </c>
      <c r="R8" s="454" t="s">
        <v>131</v>
      </c>
    </row>
    <row r="9" spans="1:18" ht="20.45" customHeight="1" x14ac:dyDescent="0.25">
      <c r="A9" s="458" t="s">
        <v>1124</v>
      </c>
      <c r="B9" s="461" t="s">
        <v>1125</v>
      </c>
      <c r="C9" s="462"/>
      <c r="D9" s="463" t="s">
        <v>134</v>
      </c>
      <c r="E9" s="463"/>
      <c r="F9" s="463"/>
      <c r="G9" s="463"/>
      <c r="H9" s="463"/>
      <c r="I9" s="463"/>
      <c r="J9" s="464" t="s">
        <v>1126</v>
      </c>
      <c r="K9" s="464"/>
      <c r="L9" s="464"/>
      <c r="M9" s="465"/>
      <c r="N9" s="465"/>
      <c r="O9" s="456"/>
      <c r="P9" s="456"/>
      <c r="Q9" s="456"/>
      <c r="R9" s="454"/>
    </row>
    <row r="10" spans="1:18" ht="20.45" customHeight="1" x14ac:dyDescent="0.3">
      <c r="A10" s="459"/>
      <c r="B10" s="466" t="s">
        <v>1127</v>
      </c>
      <c r="C10" s="468" t="s">
        <v>137</v>
      </c>
      <c r="D10" s="470" t="s">
        <v>110</v>
      </c>
      <c r="E10" s="470"/>
      <c r="F10" s="470"/>
      <c r="G10" s="470"/>
      <c r="H10" s="470"/>
      <c r="I10" s="470"/>
      <c r="J10" s="471" t="s">
        <v>1128</v>
      </c>
      <c r="K10" s="473"/>
      <c r="L10" s="474" t="s">
        <v>1129</v>
      </c>
      <c r="M10" s="471"/>
      <c r="N10" s="471"/>
      <c r="O10" s="456"/>
      <c r="P10" s="456"/>
      <c r="Q10" s="456"/>
      <c r="R10" s="454"/>
    </row>
    <row r="11" spans="1:18" s="55" customFormat="1" ht="47.25" customHeight="1" x14ac:dyDescent="0.25">
      <c r="A11" s="460"/>
      <c r="B11" s="467"/>
      <c r="C11" s="469"/>
      <c r="D11" s="415" t="s">
        <v>1130</v>
      </c>
      <c r="E11" s="415" t="s">
        <v>1131</v>
      </c>
      <c r="F11" s="415" t="s">
        <v>1132</v>
      </c>
      <c r="G11" s="415" t="s">
        <v>1133</v>
      </c>
      <c r="H11" s="415" t="s">
        <v>1134</v>
      </c>
      <c r="I11" s="415" t="s">
        <v>145</v>
      </c>
      <c r="J11" s="416" t="s">
        <v>200</v>
      </c>
      <c r="K11" s="416" t="s">
        <v>1135</v>
      </c>
      <c r="L11" s="416" t="s">
        <v>200</v>
      </c>
      <c r="M11" s="416" t="s">
        <v>1135</v>
      </c>
      <c r="N11" s="417" t="s">
        <v>1136</v>
      </c>
      <c r="O11" s="456"/>
      <c r="P11" s="456"/>
      <c r="Q11" s="456"/>
      <c r="R11" s="454"/>
    </row>
    <row r="12" spans="1:18" s="15" customFormat="1" ht="24.95" customHeight="1" x14ac:dyDescent="0.25">
      <c r="A12" s="418">
        <v>1</v>
      </c>
      <c r="B12" s="10" t="s">
        <v>786</v>
      </c>
      <c r="C12" s="33">
        <v>1226.99</v>
      </c>
      <c r="D12" s="56">
        <v>10847</v>
      </c>
      <c r="E12" s="56">
        <v>11058.55</v>
      </c>
      <c r="F12" s="56">
        <v>0</v>
      </c>
      <c r="G12" s="33">
        <v>5.8</v>
      </c>
      <c r="H12" s="11">
        <f t="shared" ref="H12:H21" si="0">(E12+F12)/D12</f>
        <v>1.0195030884115424</v>
      </c>
      <c r="I12" s="33">
        <v>1226.99</v>
      </c>
      <c r="J12" s="56">
        <v>211.55</v>
      </c>
      <c r="K12" s="12">
        <f t="shared" ref="K12:K21" si="1">J12/D12</f>
        <v>1.9503088411542364E-2</v>
      </c>
      <c r="L12" s="419">
        <f t="shared" ref="L12:L21" si="2">((E12+F12)-D12)-J12</f>
        <v>-7.3896444519050419E-13</v>
      </c>
      <c r="M12" s="13">
        <f t="shared" ref="M12:M21" si="3">L12/D12</f>
        <v>-6.8126158863326647E-17</v>
      </c>
      <c r="N12" s="420">
        <f t="shared" ref="N12:N21" si="4">L12*G12</f>
        <v>-4.2859937821049238E-12</v>
      </c>
      <c r="O12" s="66"/>
      <c r="P12" s="66"/>
      <c r="Q12" s="66"/>
      <c r="R12" s="28" t="s">
        <v>25</v>
      </c>
    </row>
    <row r="13" spans="1:18" s="15" customFormat="1" ht="24.95" customHeight="1" x14ac:dyDescent="0.25">
      <c r="A13" s="421">
        <v>2</v>
      </c>
      <c r="B13" s="10" t="s">
        <v>542</v>
      </c>
      <c r="C13" s="33">
        <v>620.92999999999995</v>
      </c>
      <c r="D13" s="56">
        <v>141.75</v>
      </c>
      <c r="E13" s="56">
        <v>141.75</v>
      </c>
      <c r="F13" s="56">
        <v>6.35</v>
      </c>
      <c r="G13" s="33">
        <v>194.04</v>
      </c>
      <c r="H13" s="11">
        <f t="shared" si="0"/>
        <v>1.0447971781305114</v>
      </c>
      <c r="I13" s="33">
        <v>1232.1500000000001</v>
      </c>
      <c r="J13" s="56">
        <v>3.2</v>
      </c>
      <c r="K13" s="12">
        <f t="shared" si="1"/>
        <v>2.2574955908289243E-2</v>
      </c>
      <c r="L13" s="419">
        <f t="shared" si="2"/>
        <v>3.1499999999999941</v>
      </c>
      <c r="M13" s="13">
        <f t="shared" si="3"/>
        <v>2.2222222222222181E-2</v>
      </c>
      <c r="N13" s="420">
        <f t="shared" si="4"/>
        <v>611.22599999999886</v>
      </c>
      <c r="O13" s="66"/>
      <c r="P13" s="66"/>
      <c r="Q13" s="66"/>
      <c r="R13" s="28" t="s">
        <v>543</v>
      </c>
    </row>
    <row r="14" spans="1:18" s="57" customFormat="1" ht="24.95" customHeight="1" x14ac:dyDescent="0.25">
      <c r="A14" s="421">
        <v>3</v>
      </c>
      <c r="B14" s="10" t="s">
        <v>37</v>
      </c>
      <c r="C14" s="33">
        <v>568.97</v>
      </c>
      <c r="D14" s="56">
        <v>300.18</v>
      </c>
      <c r="E14" s="56">
        <v>300.18</v>
      </c>
      <c r="F14" s="56">
        <v>17.29</v>
      </c>
      <c r="G14" s="33">
        <v>156.74</v>
      </c>
      <c r="H14" s="11">
        <f t="shared" si="0"/>
        <v>1.0575987740688921</v>
      </c>
      <c r="I14" s="33">
        <v>2710.03</v>
      </c>
      <c r="J14" s="56">
        <v>3.63</v>
      </c>
      <c r="K14" s="12">
        <f t="shared" si="1"/>
        <v>1.2092744353387967E-2</v>
      </c>
      <c r="L14" s="419">
        <f t="shared" si="2"/>
        <v>13.660000000000021</v>
      </c>
      <c r="M14" s="13">
        <f t="shared" si="3"/>
        <v>4.5506029715504104E-2</v>
      </c>
      <c r="N14" s="420">
        <f t="shared" si="4"/>
        <v>2141.0684000000033</v>
      </c>
      <c r="O14" s="66"/>
      <c r="P14" s="66"/>
      <c r="Q14" s="66"/>
      <c r="R14" s="28" t="s">
        <v>25</v>
      </c>
    </row>
    <row r="15" spans="1:18" s="15" customFormat="1" ht="24.95" customHeight="1" x14ac:dyDescent="0.25">
      <c r="A15" s="418">
        <v>4</v>
      </c>
      <c r="B15" s="10" t="s">
        <v>787</v>
      </c>
      <c r="C15" s="33">
        <v>516.27</v>
      </c>
      <c r="D15" s="56">
        <v>5342</v>
      </c>
      <c r="E15" s="56">
        <v>5342</v>
      </c>
      <c r="F15" s="56">
        <v>78.459999999999994</v>
      </c>
      <c r="G15" s="33">
        <v>6.58</v>
      </c>
      <c r="H15" s="11">
        <f t="shared" si="0"/>
        <v>1.0146873830026208</v>
      </c>
      <c r="I15" s="33">
        <v>516.27</v>
      </c>
      <c r="J15" s="56">
        <v>78.459999999999994</v>
      </c>
      <c r="K15" s="12">
        <f t="shared" si="1"/>
        <v>1.468738300262074E-2</v>
      </c>
      <c r="L15" s="419">
        <f t="shared" si="2"/>
        <v>0</v>
      </c>
      <c r="M15" s="13">
        <f t="shared" si="3"/>
        <v>0</v>
      </c>
      <c r="N15" s="420">
        <f t="shared" si="4"/>
        <v>0</v>
      </c>
      <c r="O15" s="66"/>
      <c r="P15" s="66"/>
      <c r="Q15" s="66"/>
      <c r="R15" s="28" t="s">
        <v>25</v>
      </c>
    </row>
    <row r="16" spans="1:18" s="57" customFormat="1" ht="24.95" customHeight="1" x14ac:dyDescent="0.25">
      <c r="A16" s="421">
        <v>5</v>
      </c>
      <c r="B16" s="10" t="s">
        <v>706</v>
      </c>
      <c r="C16" s="33">
        <v>362.29</v>
      </c>
      <c r="D16" s="56">
        <v>197.61</v>
      </c>
      <c r="E16" s="56">
        <v>197.61</v>
      </c>
      <c r="F16" s="56">
        <v>7.59</v>
      </c>
      <c r="G16" s="33">
        <v>95.34</v>
      </c>
      <c r="H16" s="11">
        <f t="shared" si="0"/>
        <v>1.0384089873994231</v>
      </c>
      <c r="I16" s="33">
        <v>723.63</v>
      </c>
      <c r="J16" s="56">
        <v>3.8</v>
      </c>
      <c r="K16" s="12">
        <f t="shared" si="1"/>
        <v>1.9229796062952279E-2</v>
      </c>
      <c r="L16" s="419">
        <f t="shared" si="2"/>
        <v>3.7900000000000036</v>
      </c>
      <c r="M16" s="13">
        <f t="shared" si="3"/>
        <v>1.9179191336470842E-2</v>
      </c>
      <c r="N16" s="420">
        <f t="shared" si="4"/>
        <v>361.33860000000038</v>
      </c>
      <c r="O16" s="66"/>
      <c r="P16" s="66"/>
      <c r="Q16" s="66"/>
      <c r="R16" s="28" t="s">
        <v>25</v>
      </c>
    </row>
    <row r="17" spans="1:18" s="15" customFormat="1" ht="24.95" customHeight="1" x14ac:dyDescent="0.25">
      <c r="A17" s="418">
        <v>6</v>
      </c>
      <c r="B17" s="10" t="s">
        <v>1113</v>
      </c>
      <c r="C17" s="33">
        <v>198.34</v>
      </c>
      <c r="D17" s="56">
        <v>1744</v>
      </c>
      <c r="E17" s="56">
        <v>1744</v>
      </c>
      <c r="F17" s="56">
        <v>27.17</v>
      </c>
      <c r="G17" s="33">
        <v>7.3</v>
      </c>
      <c r="H17" s="11">
        <f t="shared" si="0"/>
        <v>1.015579128440367</v>
      </c>
      <c r="I17" s="33">
        <v>198.34</v>
      </c>
      <c r="J17" s="56">
        <v>27.17</v>
      </c>
      <c r="K17" s="12">
        <f t="shared" si="1"/>
        <v>1.5579128440366973E-2</v>
      </c>
      <c r="L17" s="419">
        <f t="shared" si="2"/>
        <v>7.1054273576010019E-14</v>
      </c>
      <c r="M17" s="13">
        <f t="shared" si="3"/>
        <v>4.0742129344042444E-17</v>
      </c>
      <c r="N17" s="420">
        <f t="shared" si="4"/>
        <v>5.1869619710487314E-13</v>
      </c>
      <c r="O17" s="66"/>
      <c r="P17" s="66"/>
      <c r="Q17" s="66"/>
      <c r="R17" s="28" t="s">
        <v>1114</v>
      </c>
    </row>
    <row r="18" spans="1:18" s="57" customFormat="1" ht="24.95" customHeight="1" x14ac:dyDescent="0.25">
      <c r="A18" s="421">
        <v>7</v>
      </c>
      <c r="B18" s="10" t="s">
        <v>1115</v>
      </c>
      <c r="C18" s="33">
        <v>176.22</v>
      </c>
      <c r="D18" s="56">
        <v>5075</v>
      </c>
      <c r="E18" s="56">
        <v>5075</v>
      </c>
      <c r="F18" s="56">
        <v>40.049999999999997</v>
      </c>
      <c r="G18" s="33">
        <v>4.4000000000000004</v>
      </c>
      <c r="H18" s="11">
        <f t="shared" si="0"/>
        <v>1.0078916256157635</v>
      </c>
      <c r="I18" s="33">
        <v>176.22</v>
      </c>
      <c r="J18" s="56">
        <v>40.049999999999997</v>
      </c>
      <c r="K18" s="12">
        <f t="shared" si="1"/>
        <v>7.8916256157635454E-3</v>
      </c>
      <c r="L18" s="419">
        <f t="shared" si="2"/>
        <v>1.8474111129762605E-13</v>
      </c>
      <c r="M18" s="13">
        <f t="shared" si="3"/>
        <v>3.6402189418251435E-17</v>
      </c>
      <c r="N18" s="420">
        <f t="shared" si="4"/>
        <v>8.1286088970955465E-13</v>
      </c>
      <c r="O18" s="66"/>
      <c r="P18" s="66"/>
      <c r="Q18" s="66"/>
      <c r="R18" s="28" t="s">
        <v>25</v>
      </c>
    </row>
    <row r="19" spans="1:18" s="15" customFormat="1" ht="24.95" customHeight="1" x14ac:dyDescent="0.25">
      <c r="A19" s="418">
        <v>8</v>
      </c>
      <c r="B19" s="10" t="s">
        <v>38</v>
      </c>
      <c r="C19" s="33">
        <v>126.87</v>
      </c>
      <c r="D19" s="56">
        <v>186.98</v>
      </c>
      <c r="E19" s="56">
        <v>186.98</v>
      </c>
      <c r="F19" s="56">
        <v>8.3800000000000008</v>
      </c>
      <c r="G19" s="33">
        <v>99.12</v>
      </c>
      <c r="H19" s="11">
        <f t="shared" si="0"/>
        <v>1.0448176275537491</v>
      </c>
      <c r="I19" s="33">
        <v>830.63</v>
      </c>
      <c r="J19" s="56">
        <v>1.28</v>
      </c>
      <c r="K19" s="12">
        <f t="shared" si="1"/>
        <v>6.8456519413841056E-3</v>
      </c>
      <c r="L19" s="419">
        <f t="shared" si="2"/>
        <v>7.0999999999999952</v>
      </c>
      <c r="M19" s="13">
        <f t="shared" si="3"/>
        <v>3.7971975612364935E-2</v>
      </c>
      <c r="N19" s="420">
        <f t="shared" si="4"/>
        <v>703.75199999999961</v>
      </c>
      <c r="O19" s="66"/>
      <c r="P19" s="66"/>
      <c r="Q19" s="66"/>
      <c r="R19" s="28" t="s">
        <v>25</v>
      </c>
    </row>
    <row r="20" spans="1:18" s="15" customFormat="1" ht="24.95" customHeight="1" x14ac:dyDescent="0.25">
      <c r="A20" s="421">
        <v>9</v>
      </c>
      <c r="B20" s="10" t="s">
        <v>1112</v>
      </c>
      <c r="C20" s="33">
        <v>114.66</v>
      </c>
      <c r="D20" s="56">
        <v>4042</v>
      </c>
      <c r="E20" s="56">
        <v>4042</v>
      </c>
      <c r="F20" s="56">
        <v>16.38</v>
      </c>
      <c r="G20" s="33">
        <v>7</v>
      </c>
      <c r="H20" s="11">
        <f t="shared" si="0"/>
        <v>1.0040524492825333</v>
      </c>
      <c r="I20" s="33">
        <v>114.66</v>
      </c>
      <c r="J20" s="56">
        <v>16.38</v>
      </c>
      <c r="K20" s="12">
        <f t="shared" si="1"/>
        <v>4.0524492825333991E-3</v>
      </c>
      <c r="L20" s="419">
        <f t="shared" si="2"/>
        <v>1.1013412404281553E-13</v>
      </c>
      <c r="M20" s="13">
        <f t="shared" si="3"/>
        <v>2.7247432964575837E-17</v>
      </c>
      <c r="N20" s="420">
        <f t="shared" si="4"/>
        <v>7.709388682997087E-13</v>
      </c>
      <c r="O20" s="66"/>
      <c r="P20" s="66"/>
      <c r="Q20" s="66"/>
      <c r="R20" s="28" t="s">
        <v>25</v>
      </c>
    </row>
    <row r="21" spans="1:18" s="15" customFormat="1" ht="24.95" customHeight="1" thickBot="1" x14ac:dyDescent="0.3">
      <c r="A21" s="422">
        <v>10</v>
      </c>
      <c r="B21" s="16" t="s">
        <v>48</v>
      </c>
      <c r="C21" s="34">
        <v>110.04</v>
      </c>
      <c r="D21" s="58">
        <v>14.81</v>
      </c>
      <c r="E21" s="58">
        <v>14.81</v>
      </c>
      <c r="F21" s="58">
        <v>0.76</v>
      </c>
      <c r="G21" s="34">
        <v>846.44</v>
      </c>
      <c r="H21" s="17">
        <f t="shared" si="0"/>
        <v>1.051316677920324</v>
      </c>
      <c r="I21" s="34">
        <v>643.29</v>
      </c>
      <c r="J21" s="58">
        <v>0.13</v>
      </c>
      <c r="K21" s="18">
        <f t="shared" si="1"/>
        <v>8.7778528021607016E-3</v>
      </c>
      <c r="L21" s="423">
        <f t="shared" si="2"/>
        <v>0.62999999999999978</v>
      </c>
      <c r="M21" s="19">
        <f t="shared" si="3"/>
        <v>4.2538825118163384E-2</v>
      </c>
      <c r="N21" s="424">
        <f t="shared" si="4"/>
        <v>533.2571999999999</v>
      </c>
      <c r="O21" s="64"/>
      <c r="P21" s="64"/>
      <c r="Q21" s="64"/>
      <c r="R21" s="29" t="s">
        <v>73</v>
      </c>
    </row>
    <row r="22" spans="1:18" s="62" customFormat="1" ht="24.95" customHeight="1" thickBot="1" x14ac:dyDescent="0.3">
      <c r="A22" s="425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426"/>
      <c r="M22" s="30"/>
      <c r="N22" s="427"/>
      <c r="O22" s="61"/>
      <c r="P22" s="61"/>
      <c r="Q22" s="61"/>
      <c r="R22" s="59"/>
    </row>
    <row r="23" spans="1:18" s="62" customFormat="1" ht="40.5" customHeight="1" x14ac:dyDescent="0.25">
      <c r="A23" s="443" t="s">
        <v>513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1121</v>
      </c>
      <c r="B24" s="447"/>
      <c r="C24" s="447"/>
      <c r="D24" s="447" t="s">
        <v>128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1123</v>
      </c>
      <c r="P24" s="457" t="s">
        <v>604</v>
      </c>
      <c r="Q24" s="456" t="s">
        <v>1137</v>
      </c>
      <c r="R24" s="454" t="s">
        <v>1138</v>
      </c>
    </row>
    <row r="25" spans="1:18" s="62" customFormat="1" ht="24.95" customHeight="1" x14ac:dyDescent="0.25">
      <c r="A25" s="458" t="s">
        <v>1124</v>
      </c>
      <c r="B25" s="461" t="s">
        <v>1139</v>
      </c>
      <c r="C25" s="462"/>
      <c r="D25" s="463" t="s">
        <v>1140</v>
      </c>
      <c r="E25" s="463"/>
      <c r="F25" s="463"/>
      <c r="G25" s="463"/>
      <c r="H25" s="463"/>
      <c r="I25" s="463"/>
      <c r="J25" s="464" t="s">
        <v>1126</v>
      </c>
      <c r="K25" s="464"/>
      <c r="L25" s="464"/>
      <c r="M25" s="465"/>
      <c r="N25" s="465"/>
      <c r="O25" s="456"/>
      <c r="P25" s="456"/>
      <c r="Q25" s="456"/>
      <c r="R25" s="454"/>
    </row>
    <row r="26" spans="1:18" s="62" customFormat="1" ht="24.95" customHeight="1" x14ac:dyDescent="0.3">
      <c r="A26" s="459"/>
      <c r="B26" s="466" t="s">
        <v>136</v>
      </c>
      <c r="C26" s="468" t="s">
        <v>1141</v>
      </c>
      <c r="D26" s="470" t="s">
        <v>1142</v>
      </c>
      <c r="E26" s="470"/>
      <c r="F26" s="470"/>
      <c r="G26" s="470"/>
      <c r="H26" s="470"/>
      <c r="I26" s="470"/>
      <c r="J26" s="471" t="s">
        <v>1128</v>
      </c>
      <c r="K26" s="472"/>
      <c r="L26" s="473"/>
      <c r="M26" s="471" t="s">
        <v>139</v>
      </c>
      <c r="N26" s="473"/>
      <c r="O26" s="456"/>
      <c r="P26" s="456"/>
      <c r="Q26" s="456"/>
      <c r="R26" s="454"/>
    </row>
    <row r="27" spans="1:18" s="62" customFormat="1" ht="50.1" customHeight="1" x14ac:dyDescent="0.25">
      <c r="A27" s="460"/>
      <c r="B27" s="467"/>
      <c r="C27" s="469"/>
      <c r="D27" s="415" t="s">
        <v>1130</v>
      </c>
      <c r="E27" s="415" t="s">
        <v>1143</v>
      </c>
      <c r="F27" s="415" t="s">
        <v>1132</v>
      </c>
      <c r="G27" s="415" t="s">
        <v>1133</v>
      </c>
      <c r="H27" s="415" t="s">
        <v>198</v>
      </c>
      <c r="I27" s="415" t="s">
        <v>702</v>
      </c>
      <c r="J27" s="416" t="s">
        <v>1144</v>
      </c>
      <c r="K27" s="416" t="s">
        <v>148</v>
      </c>
      <c r="L27" s="417" t="s">
        <v>1136</v>
      </c>
      <c r="M27" s="416" t="s">
        <v>1144</v>
      </c>
      <c r="N27" s="416" t="s">
        <v>1135</v>
      </c>
      <c r="O27" s="456"/>
      <c r="P27" s="456"/>
      <c r="Q27" s="456"/>
      <c r="R27" s="454"/>
    </row>
    <row r="28" spans="1:18" s="62" customFormat="1" ht="24.95" customHeight="1" x14ac:dyDescent="0.25">
      <c r="A28" s="418">
        <v>1</v>
      </c>
      <c r="B28" s="10" t="s">
        <v>52</v>
      </c>
      <c r="C28" s="33">
        <v>2503.56</v>
      </c>
      <c r="D28" s="56">
        <v>338.52</v>
      </c>
      <c r="E28" s="56">
        <v>338.52</v>
      </c>
      <c r="F28" s="56">
        <v>19.5</v>
      </c>
      <c r="G28" s="33">
        <v>133.88</v>
      </c>
      <c r="H28" s="35">
        <f t="shared" ref="H28:H37" si="5">(E28+F28)/D28</f>
        <v>1.0576036866359446</v>
      </c>
      <c r="I28" s="33">
        <v>2610.66</v>
      </c>
      <c r="J28" s="56">
        <v>0.8</v>
      </c>
      <c r="K28" s="12">
        <f t="shared" ref="K28:K37" si="6">J28/D28</f>
        <v>2.363228169679783E-3</v>
      </c>
      <c r="L28" s="420">
        <f t="shared" ref="L28:L37" si="7">J28*G28</f>
        <v>107.104</v>
      </c>
      <c r="M28" s="419">
        <f t="shared" ref="M28:M37" si="8">((E28+F28)-D28)-J28</f>
        <v>18.7</v>
      </c>
      <c r="N28" s="13">
        <f t="shared" ref="N28:N37" si="9">M28/D28</f>
        <v>5.5240458466264922E-2</v>
      </c>
      <c r="O28" s="69"/>
      <c r="P28" s="14"/>
      <c r="Q28" s="14"/>
      <c r="R28" s="28" t="s">
        <v>77</v>
      </c>
    </row>
    <row r="29" spans="1:18" s="62" customFormat="1" ht="24.75" customHeight="1" x14ac:dyDescent="0.25">
      <c r="A29" s="421">
        <v>2</v>
      </c>
      <c r="B29" s="10" t="s">
        <v>37</v>
      </c>
      <c r="C29" s="33">
        <v>2141.0600000000004</v>
      </c>
      <c r="D29" s="56">
        <v>300.18</v>
      </c>
      <c r="E29" s="56">
        <v>300.18</v>
      </c>
      <c r="F29" s="56">
        <v>17.29</v>
      </c>
      <c r="G29" s="33">
        <v>156.74</v>
      </c>
      <c r="H29" s="35">
        <f t="shared" si="5"/>
        <v>1.0575987740688921</v>
      </c>
      <c r="I29" s="33">
        <v>2710.03</v>
      </c>
      <c r="J29" s="56">
        <v>3.63</v>
      </c>
      <c r="K29" s="12">
        <f t="shared" si="6"/>
        <v>1.2092744353387967E-2</v>
      </c>
      <c r="L29" s="420">
        <f t="shared" si="7"/>
        <v>568.96620000000007</v>
      </c>
      <c r="M29" s="419">
        <f t="shared" si="8"/>
        <v>13.660000000000021</v>
      </c>
      <c r="N29" s="13">
        <f t="shared" si="9"/>
        <v>4.5506029715504104E-2</v>
      </c>
      <c r="O29" s="69"/>
      <c r="P29" s="14"/>
      <c r="Q29" s="14"/>
      <c r="R29" s="28" t="s">
        <v>25</v>
      </c>
    </row>
    <row r="30" spans="1:18" s="62" customFormat="1" ht="24.95" customHeight="1" x14ac:dyDescent="0.25">
      <c r="A30" s="421">
        <v>3</v>
      </c>
      <c r="B30" s="10" t="s">
        <v>114</v>
      </c>
      <c r="C30" s="33">
        <v>2084.25</v>
      </c>
      <c r="D30" s="56">
        <v>41.95</v>
      </c>
      <c r="E30" s="56">
        <v>41.95</v>
      </c>
      <c r="F30" s="56">
        <v>2.69</v>
      </c>
      <c r="G30" s="33">
        <v>814.16</v>
      </c>
      <c r="H30" s="35">
        <f t="shared" si="5"/>
        <v>1.0641239570917758</v>
      </c>
      <c r="I30" s="33">
        <v>2190.09</v>
      </c>
      <c r="J30" s="32">
        <v>0.13</v>
      </c>
      <c r="K30" s="12">
        <f t="shared" si="6"/>
        <v>3.0989272943980927E-3</v>
      </c>
      <c r="L30" s="420">
        <f t="shared" si="7"/>
        <v>105.8408</v>
      </c>
      <c r="M30" s="419">
        <f t="shared" si="8"/>
        <v>2.5599999999999978</v>
      </c>
      <c r="N30" s="13">
        <f t="shared" si="9"/>
        <v>6.1025029797377776E-2</v>
      </c>
      <c r="O30" s="69"/>
      <c r="P30" s="14"/>
      <c r="Q30" s="14"/>
      <c r="R30" s="28" t="s">
        <v>113</v>
      </c>
    </row>
    <row r="31" spans="1:18" s="62" customFormat="1" ht="24.95" customHeight="1" x14ac:dyDescent="0.25">
      <c r="A31" s="418">
        <v>4</v>
      </c>
      <c r="B31" s="10" t="s">
        <v>36</v>
      </c>
      <c r="C31" s="33">
        <v>1736.5600000000002</v>
      </c>
      <c r="D31" s="56">
        <v>204.07</v>
      </c>
      <c r="E31" s="56">
        <v>204.07</v>
      </c>
      <c r="F31" s="56">
        <v>11.76</v>
      </c>
      <c r="G31" s="33">
        <v>156.72999999999999</v>
      </c>
      <c r="H31" s="35">
        <f t="shared" si="5"/>
        <v>1.057627284755231</v>
      </c>
      <c r="I31" s="33">
        <v>1843.14</v>
      </c>
      <c r="J31" s="56">
        <v>0.68</v>
      </c>
      <c r="K31" s="12">
        <f t="shared" si="6"/>
        <v>3.3321899348262855E-3</v>
      </c>
      <c r="L31" s="420">
        <f t="shared" si="7"/>
        <v>106.57640000000001</v>
      </c>
      <c r="M31" s="419">
        <f t="shared" si="8"/>
        <v>11.079999999999991</v>
      </c>
      <c r="N31" s="13">
        <f t="shared" si="9"/>
        <v>5.4295094820404718E-2</v>
      </c>
      <c r="O31" s="69"/>
      <c r="P31" s="14"/>
      <c r="Q31" s="14"/>
      <c r="R31" s="28" t="s">
        <v>25</v>
      </c>
    </row>
    <row r="32" spans="1:18" s="62" customFormat="1" ht="24.95" customHeight="1" x14ac:dyDescent="0.25">
      <c r="A32" s="421">
        <v>5</v>
      </c>
      <c r="B32" s="10" t="s">
        <v>50</v>
      </c>
      <c r="C32" s="33">
        <v>1371.1</v>
      </c>
      <c r="D32" s="56">
        <v>296.60000000000002</v>
      </c>
      <c r="E32" s="56">
        <v>296.60000000000002</v>
      </c>
      <c r="F32" s="56">
        <v>13.29</v>
      </c>
      <c r="G32" s="33">
        <v>111.2</v>
      </c>
      <c r="H32" s="35">
        <f t="shared" si="5"/>
        <v>1.0448078219824681</v>
      </c>
      <c r="I32" s="33">
        <v>1477.85</v>
      </c>
      <c r="J32" s="56">
        <v>0.96</v>
      </c>
      <c r="K32" s="12">
        <f t="shared" si="6"/>
        <v>3.2366824005394465E-3</v>
      </c>
      <c r="L32" s="420">
        <f t="shared" si="7"/>
        <v>106.752</v>
      </c>
      <c r="M32" s="419">
        <f t="shared" si="8"/>
        <v>12.33000000000002</v>
      </c>
      <c r="N32" s="13">
        <f t="shared" si="9"/>
        <v>4.1571139581928589E-2</v>
      </c>
      <c r="O32" s="69"/>
      <c r="P32" s="14"/>
      <c r="Q32" s="14"/>
      <c r="R32" s="28" t="s">
        <v>49</v>
      </c>
    </row>
    <row r="33" spans="1:18" s="62" customFormat="1" ht="24.95" customHeight="1" x14ac:dyDescent="0.25">
      <c r="A33" s="418">
        <v>6</v>
      </c>
      <c r="B33" s="10" t="s">
        <v>45</v>
      </c>
      <c r="C33" s="33">
        <v>1219.1600000000001</v>
      </c>
      <c r="D33" s="56">
        <v>81.33</v>
      </c>
      <c r="E33" s="56">
        <v>81.33</v>
      </c>
      <c r="F33" s="56">
        <v>4.17</v>
      </c>
      <c r="G33" s="33">
        <v>318.32</v>
      </c>
      <c r="H33" s="35">
        <f t="shared" si="5"/>
        <v>1.0512725931390632</v>
      </c>
      <c r="I33" s="33">
        <v>1327.39</v>
      </c>
      <c r="J33" s="56">
        <v>0.34</v>
      </c>
      <c r="K33" s="12">
        <f t="shared" si="6"/>
        <v>4.1804992007869182E-3</v>
      </c>
      <c r="L33" s="420">
        <f t="shared" si="7"/>
        <v>108.22880000000001</v>
      </c>
      <c r="M33" s="419">
        <f t="shared" si="8"/>
        <v>3.8300000000000018</v>
      </c>
      <c r="N33" s="13">
        <f t="shared" si="9"/>
        <v>4.7092093938276181E-2</v>
      </c>
      <c r="O33" s="69"/>
      <c r="P33" s="14"/>
      <c r="Q33" s="14"/>
      <c r="R33" s="28" t="s">
        <v>76</v>
      </c>
    </row>
    <row r="34" spans="1:18" s="62" customFormat="1" ht="24.95" customHeight="1" x14ac:dyDescent="0.25">
      <c r="A34" s="421">
        <v>7</v>
      </c>
      <c r="B34" s="10" t="s">
        <v>107</v>
      </c>
      <c r="C34" s="33">
        <v>1189.9000000000001</v>
      </c>
      <c r="D34" s="56">
        <v>135.19999999999999</v>
      </c>
      <c r="E34" s="56">
        <v>135.19999999999999</v>
      </c>
      <c r="F34" s="56">
        <v>7.79</v>
      </c>
      <c r="G34" s="33">
        <v>166.42</v>
      </c>
      <c r="H34" s="35">
        <f t="shared" si="5"/>
        <v>1.0576183431952662</v>
      </c>
      <c r="I34" s="33">
        <v>1296.4100000000001</v>
      </c>
      <c r="J34" s="56">
        <v>0.64</v>
      </c>
      <c r="K34" s="12">
        <f t="shared" si="6"/>
        <v>4.7337278106508885E-3</v>
      </c>
      <c r="L34" s="420">
        <f t="shared" si="7"/>
        <v>106.50879999999999</v>
      </c>
      <c r="M34" s="419">
        <f t="shared" si="8"/>
        <v>7.1499999999999924</v>
      </c>
      <c r="N34" s="13">
        <f t="shared" si="9"/>
        <v>5.2884615384615336E-2</v>
      </c>
      <c r="O34" s="69"/>
      <c r="P34" s="14"/>
      <c r="Q34" s="14"/>
      <c r="R34" s="28" t="s">
        <v>106</v>
      </c>
    </row>
    <row r="35" spans="1:18" s="62" customFormat="1" ht="24.95" customHeight="1" x14ac:dyDescent="0.25">
      <c r="A35" s="418">
        <v>8</v>
      </c>
      <c r="B35" s="10" t="s">
        <v>35</v>
      </c>
      <c r="C35" s="33">
        <v>1164.8599999999999</v>
      </c>
      <c r="D35" s="56">
        <v>80.84</v>
      </c>
      <c r="E35" s="56">
        <v>80.84</v>
      </c>
      <c r="F35" s="56">
        <v>3.1</v>
      </c>
      <c r="G35" s="33">
        <v>410.16</v>
      </c>
      <c r="H35" s="35">
        <f t="shared" si="5"/>
        <v>1.0383473527956457</v>
      </c>
      <c r="I35" s="33">
        <v>1271.5</v>
      </c>
      <c r="J35" s="56">
        <v>0.26</v>
      </c>
      <c r="K35" s="12">
        <f t="shared" si="6"/>
        <v>3.2162295893122216E-3</v>
      </c>
      <c r="L35" s="420">
        <f t="shared" si="7"/>
        <v>106.64160000000001</v>
      </c>
      <c r="M35" s="419">
        <f t="shared" si="8"/>
        <v>2.8399999999999945</v>
      </c>
      <c r="N35" s="13">
        <f t="shared" si="9"/>
        <v>3.513112320633343E-2</v>
      </c>
      <c r="O35" s="69"/>
      <c r="P35" s="14"/>
      <c r="Q35" s="14"/>
      <c r="R35" s="28" t="s">
        <v>25</v>
      </c>
    </row>
    <row r="36" spans="1:18" s="62" customFormat="1" ht="24.95" customHeight="1" x14ac:dyDescent="0.25">
      <c r="A36" s="421">
        <v>9</v>
      </c>
      <c r="B36" s="10" t="s">
        <v>728</v>
      </c>
      <c r="C36" s="33">
        <v>1145.4499999999998</v>
      </c>
      <c r="D36" s="56">
        <v>188.94</v>
      </c>
      <c r="E36" s="56">
        <v>188.94</v>
      </c>
      <c r="F36" s="56">
        <v>8.4700000000000006</v>
      </c>
      <c r="G36" s="33">
        <v>147.80000000000001</v>
      </c>
      <c r="H36" s="35">
        <f t="shared" si="5"/>
        <v>1.0448290462580714</v>
      </c>
      <c r="I36" s="33">
        <v>1251.8699999999999</v>
      </c>
      <c r="J36" s="56">
        <v>0.72</v>
      </c>
      <c r="K36" s="12">
        <f t="shared" si="6"/>
        <v>3.8107335662114958E-3</v>
      </c>
      <c r="L36" s="420">
        <f t="shared" si="7"/>
        <v>106.41600000000001</v>
      </c>
      <c r="M36" s="419">
        <f t="shared" si="8"/>
        <v>7.7499999999999991</v>
      </c>
      <c r="N36" s="13">
        <f t="shared" si="9"/>
        <v>4.1018312691859848E-2</v>
      </c>
      <c r="O36" s="69"/>
      <c r="P36" s="14"/>
      <c r="Q36" s="14"/>
      <c r="R36" s="28" t="s">
        <v>729</v>
      </c>
    </row>
    <row r="37" spans="1:18" s="62" customFormat="1" ht="24.95" customHeight="1" thickBot="1" x14ac:dyDescent="0.3">
      <c r="A37" s="422">
        <v>10</v>
      </c>
      <c r="B37" s="16" t="s">
        <v>53</v>
      </c>
      <c r="C37" s="34">
        <v>1138.6000000000001</v>
      </c>
      <c r="D37" s="58">
        <v>72.930000000000007</v>
      </c>
      <c r="E37" s="58">
        <v>72.930000000000007</v>
      </c>
      <c r="F37" s="58">
        <v>3.73</v>
      </c>
      <c r="G37" s="34">
        <v>333.9</v>
      </c>
      <c r="H37" s="36">
        <f t="shared" si="5"/>
        <v>1.0511449334978746</v>
      </c>
      <c r="I37" s="34">
        <v>1245.45</v>
      </c>
      <c r="J37" s="58">
        <v>0.32</v>
      </c>
      <c r="K37" s="18">
        <f t="shared" si="6"/>
        <v>4.3877690936514465E-3</v>
      </c>
      <c r="L37" s="424">
        <f t="shared" si="7"/>
        <v>106.848</v>
      </c>
      <c r="M37" s="423">
        <f t="shared" si="8"/>
        <v>3.4100000000000041</v>
      </c>
      <c r="N37" s="19">
        <f t="shared" si="9"/>
        <v>4.6757164404223277E-2</v>
      </c>
      <c r="O37" s="52"/>
      <c r="P37" s="20"/>
      <c r="Q37" s="20"/>
      <c r="R37" s="65" t="s">
        <v>78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213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1121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449" t="s">
        <v>132</v>
      </c>
      <c r="B41" s="450" t="s">
        <v>133</v>
      </c>
      <c r="C41" s="450"/>
      <c r="D41" s="451"/>
      <c r="E41" s="23"/>
      <c r="G41" s="21"/>
      <c r="H41" s="22"/>
    </row>
    <row r="42" spans="1:18" ht="20.45" customHeight="1" x14ac:dyDescent="0.35">
      <c r="A42" s="449"/>
      <c r="B42" s="452" t="s">
        <v>136</v>
      </c>
      <c r="C42" s="453" t="s">
        <v>137</v>
      </c>
      <c r="D42" s="454" t="s">
        <v>174</v>
      </c>
      <c r="E42" s="23"/>
      <c r="G42" s="21"/>
      <c r="H42" s="22"/>
    </row>
    <row r="43" spans="1:18" ht="20.45" customHeight="1" x14ac:dyDescent="0.35">
      <c r="A43" s="449"/>
      <c r="B43" s="452"/>
      <c r="C43" s="453"/>
      <c r="D43" s="454"/>
      <c r="E43" s="23"/>
      <c r="G43" s="21"/>
      <c r="H43" s="22"/>
    </row>
    <row r="44" spans="1:18" s="26" customFormat="1" ht="24.95" customHeight="1" x14ac:dyDescent="0.35">
      <c r="A44" s="428">
        <v>1</v>
      </c>
      <c r="B44" s="10" t="s">
        <v>786</v>
      </c>
      <c r="C44" s="33">
        <v>1226.99</v>
      </c>
      <c r="D44" s="24">
        <f t="shared" ref="D44:D53" si="10">C44/$L$5</f>
        <v>0.24992565313214193</v>
      </c>
      <c r="E44" s="25"/>
      <c r="G44" s="21"/>
      <c r="H44" s="22"/>
    </row>
    <row r="45" spans="1:18" s="26" customFormat="1" ht="24.95" customHeight="1" x14ac:dyDescent="0.35">
      <c r="A45" s="429">
        <v>2</v>
      </c>
      <c r="B45" s="10" t="s">
        <v>37</v>
      </c>
      <c r="C45" s="33">
        <v>568.97</v>
      </c>
      <c r="D45" s="24">
        <f t="shared" si="10"/>
        <v>0.11589352713762524</v>
      </c>
      <c r="E45" s="25"/>
      <c r="G45" s="21"/>
      <c r="H45" s="22"/>
    </row>
    <row r="46" spans="1:18" s="26" customFormat="1" ht="24.95" customHeight="1" x14ac:dyDescent="0.35">
      <c r="A46" s="429">
        <v>3</v>
      </c>
      <c r="B46" s="10" t="s">
        <v>787</v>
      </c>
      <c r="C46" s="33">
        <v>516.27</v>
      </c>
      <c r="D46" s="24">
        <f t="shared" si="10"/>
        <v>0.1051590615592066</v>
      </c>
      <c r="E46" s="25"/>
      <c r="G46" s="21"/>
      <c r="H46" s="22"/>
    </row>
    <row r="47" spans="1:18" s="26" customFormat="1" ht="24.95" customHeight="1" x14ac:dyDescent="0.35">
      <c r="A47" s="428">
        <v>4</v>
      </c>
      <c r="B47" s="10" t="s">
        <v>706</v>
      </c>
      <c r="C47" s="33">
        <v>362.29</v>
      </c>
      <c r="D47" s="24">
        <f t="shared" si="10"/>
        <v>7.3794867825527272E-2</v>
      </c>
      <c r="E47" s="25"/>
      <c r="G47" s="21"/>
      <c r="H47" s="22"/>
    </row>
    <row r="48" spans="1:18" s="26" customFormat="1" ht="24.95" customHeight="1" x14ac:dyDescent="0.35">
      <c r="A48" s="429">
        <v>5</v>
      </c>
      <c r="B48" s="10" t="s">
        <v>1115</v>
      </c>
      <c r="C48" s="33">
        <v>176.22</v>
      </c>
      <c r="D48" s="24">
        <f t="shared" si="10"/>
        <v>3.5894260421801362E-2</v>
      </c>
      <c r="E48" s="25"/>
      <c r="G48" s="21"/>
      <c r="H48" s="22"/>
    </row>
    <row r="49" spans="1:5" s="26" customFormat="1" ht="24.95" customHeight="1" x14ac:dyDescent="0.25">
      <c r="A49" s="428">
        <v>6</v>
      </c>
      <c r="B49" s="10" t="s">
        <v>38</v>
      </c>
      <c r="C49" s="33">
        <v>126.87</v>
      </c>
      <c r="D49" s="24">
        <f t="shared" si="10"/>
        <v>2.5842156507285999E-2</v>
      </c>
      <c r="E49" s="25"/>
    </row>
    <row r="50" spans="1:5" s="26" customFormat="1" ht="24.95" customHeight="1" x14ac:dyDescent="0.25">
      <c r="A50" s="429">
        <v>7</v>
      </c>
      <c r="B50" s="10" t="s">
        <v>1112</v>
      </c>
      <c r="C50" s="33">
        <v>114.66</v>
      </c>
      <c r="D50" s="24">
        <f t="shared" si="10"/>
        <v>2.3355101009895265E-2</v>
      </c>
      <c r="E50" s="25"/>
    </row>
    <row r="51" spans="1:5" s="26" customFormat="1" ht="24.95" customHeight="1" x14ac:dyDescent="0.25">
      <c r="A51" s="428">
        <v>8</v>
      </c>
      <c r="B51" s="10" t="s">
        <v>30</v>
      </c>
      <c r="C51" s="33">
        <v>109.14</v>
      </c>
      <c r="D51" s="24">
        <f t="shared" si="10"/>
        <v>2.2230731939821814E-2</v>
      </c>
      <c r="E51" s="25"/>
    </row>
    <row r="52" spans="1:5" s="26" customFormat="1" ht="24.95" customHeight="1" x14ac:dyDescent="0.25">
      <c r="A52" s="429">
        <v>9</v>
      </c>
      <c r="B52" s="10" t="s">
        <v>116</v>
      </c>
      <c r="C52" s="33">
        <v>107.4</v>
      </c>
      <c r="D52" s="24">
        <f t="shared" si="10"/>
        <v>2.1876311254689969E-2</v>
      </c>
      <c r="E52" s="25"/>
    </row>
    <row r="53" spans="1:5" s="26" customFormat="1" ht="24.95" customHeight="1" thickBot="1" x14ac:dyDescent="0.3">
      <c r="A53" s="430">
        <v>10</v>
      </c>
      <c r="B53" s="16" t="s">
        <v>342</v>
      </c>
      <c r="C53" s="34">
        <v>107.28</v>
      </c>
      <c r="D53" s="27">
        <f t="shared" si="10"/>
        <v>2.1851868448818805E-2</v>
      </c>
      <c r="E53" s="25"/>
    </row>
    <row r="54" spans="1:5" x14ac:dyDescent="0.25">
      <c r="A54" s="441" t="s">
        <v>1145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1146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1139" priority="33" operator="containsText" text="024">
      <formula>NOT(ISERROR(SEARCH("024",A12)))</formula>
    </cfRule>
    <cfRule type="containsText" dxfId="1138" priority="34" operator="containsText" text="白醬">
      <formula>NOT(ISERROR(SEARCH("白醬",A12)))</formula>
    </cfRule>
    <cfRule type="containsText" dxfId="1137" priority="35" operator="containsText" text="青蔥">
      <formula>NOT(ISERROR(SEARCH("青蔥",A12)))</formula>
    </cfRule>
    <cfRule type="containsText" dxfId="1136" priority="36" operator="containsText" text=")川燙小青花菜">
      <formula>NOT(ISERROR(SEARCH(")川燙小青花菜",A12)))</formula>
    </cfRule>
    <cfRule type="containsText" dxfId="1135" priority="37" operator="containsText" text="湯凍">
      <formula>NOT(ISERROR(SEARCH("湯凍",A12)))</formula>
    </cfRule>
    <cfRule type="containsText" dxfId="1134" priority="38" operator="containsText" text="中華">
      <formula>NOT(ISERROR(SEARCH("中華",A12)))</formula>
    </cfRule>
  </conditionalFormatting>
  <conditionalFormatting sqref="A12:A22">
    <cfRule type="containsText" dxfId="1133" priority="31" operator="containsText" text="綠豆芽">
      <formula>NOT(ISERROR(SEARCH("綠豆芽",A12)))</formula>
    </cfRule>
    <cfRule type="containsText" dxfId="1132" priority="32" operator="containsText" text="煮白細麵生(方#12)">
      <formula>NOT(ISERROR(SEARCH("煮白細麵生(方#12)",A12)))</formula>
    </cfRule>
  </conditionalFormatting>
  <conditionalFormatting sqref="E5">
    <cfRule type="cellIs" dxfId="1131" priority="16" operator="greaterThan">
      <formula>0.0025</formula>
    </cfRule>
    <cfRule type="cellIs" dxfId="1130" priority="19" operator="greaterThan">
      <formula>0.0025</formula>
    </cfRule>
    <cfRule type="cellIs" dxfId="1129" priority="29" operator="greaterThan">
      <formula>0.072</formula>
    </cfRule>
    <cfRule type="cellIs" dxfId="1128" priority="30" operator="greaterThan">
      <formula>7.2</formula>
    </cfRule>
  </conditionalFormatting>
  <conditionalFormatting sqref="E5">
    <cfRule type="cellIs" dxfId="1127" priority="28" operator="greaterThan">
      <formula>0.0025</formula>
    </cfRule>
  </conditionalFormatting>
  <conditionalFormatting sqref="A44:A53">
    <cfRule type="containsText" dxfId="1126" priority="22" operator="containsText" text="024">
      <formula>NOT(ISERROR(SEARCH("024",A44)))</formula>
    </cfRule>
    <cfRule type="containsText" dxfId="1125" priority="23" operator="containsText" text="白醬">
      <formula>NOT(ISERROR(SEARCH("白醬",A44)))</formula>
    </cfRule>
    <cfRule type="containsText" dxfId="1124" priority="24" operator="containsText" text="青蔥">
      <formula>NOT(ISERROR(SEARCH("青蔥",A44)))</formula>
    </cfRule>
    <cfRule type="containsText" dxfId="1123" priority="25" operator="containsText" text=")川燙小青花菜">
      <formula>NOT(ISERROR(SEARCH(")川燙小青花菜",A44)))</formula>
    </cfRule>
    <cfRule type="containsText" dxfId="1122" priority="26" operator="containsText" text="湯凍">
      <formula>NOT(ISERROR(SEARCH("湯凍",A44)))</formula>
    </cfRule>
    <cfRule type="containsText" dxfId="1121" priority="27" operator="containsText" text="中華">
      <formula>NOT(ISERROR(SEARCH("中華",A44)))</formula>
    </cfRule>
  </conditionalFormatting>
  <conditionalFormatting sqref="A44:A53">
    <cfRule type="containsText" dxfId="1120" priority="20" operator="containsText" text="綠豆芽">
      <formula>NOT(ISERROR(SEARCH("綠豆芽",A44)))</formula>
    </cfRule>
    <cfRule type="containsText" dxfId="1119" priority="21" operator="containsText" text="煮白細麵生(方#12)">
      <formula>NOT(ISERROR(SEARCH("煮白細麵生(方#12)",A44)))</formula>
    </cfRule>
  </conditionalFormatting>
  <conditionalFormatting sqref="D44:D53">
    <cfRule type="cellIs" dxfId="1118" priority="18" operator="greaterThan">
      <formula>0.146</formula>
    </cfRule>
  </conditionalFormatting>
  <conditionalFormatting sqref="H12:H22">
    <cfRule type="cellIs" dxfId="1117" priority="17" operator="greaterThan">
      <formula>1.1</formula>
    </cfRule>
  </conditionalFormatting>
  <conditionalFormatting sqref="I5">
    <cfRule type="cellIs" dxfId="1116" priority="15" operator="greaterThan">
      <formula>0.2</formula>
    </cfRule>
  </conditionalFormatting>
  <conditionalFormatting sqref="A28:A37">
    <cfRule type="containsText" dxfId="1115" priority="9" operator="containsText" text="024">
      <formula>NOT(ISERROR(SEARCH("024",A28)))</formula>
    </cfRule>
    <cfRule type="containsText" dxfId="1114" priority="10" operator="containsText" text="白醬">
      <formula>NOT(ISERROR(SEARCH("白醬",A28)))</formula>
    </cfRule>
    <cfRule type="containsText" dxfId="1113" priority="11" operator="containsText" text="青蔥">
      <formula>NOT(ISERROR(SEARCH("青蔥",A28)))</formula>
    </cfRule>
    <cfRule type="containsText" dxfId="1112" priority="12" operator="containsText" text=")川燙小青花菜">
      <formula>NOT(ISERROR(SEARCH(")川燙小青花菜",A28)))</formula>
    </cfRule>
    <cfRule type="containsText" dxfId="1111" priority="13" operator="containsText" text="湯凍">
      <formula>NOT(ISERROR(SEARCH("湯凍",A28)))</formula>
    </cfRule>
    <cfRule type="containsText" dxfId="1110" priority="14" operator="containsText" text="中華">
      <formula>NOT(ISERROR(SEARCH("中華",A28)))</formula>
    </cfRule>
  </conditionalFormatting>
  <conditionalFormatting sqref="A28:A37">
    <cfRule type="containsText" dxfId="1109" priority="7" operator="containsText" text="綠豆芽">
      <formula>NOT(ISERROR(SEARCH("綠豆芽",A28)))</formula>
    </cfRule>
    <cfRule type="containsText" dxfId="1108" priority="8" operator="containsText" text="煮白細麵生(方#12)">
      <formula>NOT(ISERROR(SEARCH("煮白細麵生(方#12)",A28)))</formula>
    </cfRule>
  </conditionalFormatting>
  <conditionalFormatting sqref="H28:H37">
    <cfRule type="cellIs" dxfId="1107" priority="6" operator="greaterThan">
      <formula>1.1</formula>
    </cfRule>
  </conditionalFormatting>
  <conditionalFormatting sqref="G5">
    <cfRule type="cellIs" dxfId="1106" priority="1" operator="greaterThan">
      <formula>0.0025</formula>
    </cfRule>
    <cfRule type="cellIs" dxfId="1105" priority="2" operator="greaterThan">
      <formula>0.0025</formula>
    </cfRule>
    <cfRule type="cellIs" dxfId="1104" priority="4" operator="greaterThan">
      <formula>0.072</formula>
    </cfRule>
    <cfRule type="cellIs" dxfId="1103" priority="5" operator="greaterThan">
      <formula>7.2</formula>
    </cfRule>
  </conditionalFormatting>
  <conditionalFormatting sqref="G5">
    <cfRule type="cellIs" dxfId="110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1" zoomScale="55" zoomScaleNormal="55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511" t="s">
        <v>92</v>
      </c>
      <c r="B2" s="512"/>
      <c r="C2" s="395" t="s">
        <v>93</v>
      </c>
      <c r="D2" s="513" t="s">
        <v>94</v>
      </c>
      <c r="E2" s="513"/>
      <c r="F2" s="513" t="s">
        <v>95</v>
      </c>
      <c r="G2" s="513"/>
      <c r="H2" s="513" t="s">
        <v>94</v>
      </c>
      <c r="I2" s="513"/>
      <c r="J2" s="513" t="s">
        <v>95</v>
      </c>
      <c r="K2" s="513"/>
      <c r="L2" s="513" t="s">
        <v>94</v>
      </c>
      <c r="M2" s="514"/>
      <c r="R2" s="54"/>
    </row>
    <row r="3" spans="1:18" s="1" customFormat="1" ht="28.5" x14ac:dyDescent="0.45">
      <c r="A3" s="508">
        <v>45898</v>
      </c>
      <c r="B3" s="509"/>
      <c r="C3" s="510">
        <v>4553981.26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508"/>
      <c r="B4" s="509"/>
      <c r="C4" s="510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506" t="s">
        <v>105</v>
      </c>
      <c r="B5" s="507"/>
      <c r="C5" s="507"/>
      <c r="D5" s="396">
        <v>10947.769999999995</v>
      </c>
      <c r="E5" s="5">
        <f>D5/C3</f>
        <v>2.403999791602128E-3</v>
      </c>
      <c r="F5" s="396">
        <v>34339.959999999992</v>
      </c>
      <c r="G5" s="44">
        <f>F5/C3</f>
        <v>7.5406458743310671E-3</v>
      </c>
      <c r="H5" s="6">
        <f>SUM(C12:C21)</f>
        <v>3230.2</v>
      </c>
      <c r="I5" s="7">
        <f>H5/D5</f>
        <v>0.29505552272289254</v>
      </c>
      <c r="J5" s="6">
        <f>SUM(C28:C37)</f>
        <v>9489.090000000002</v>
      </c>
      <c r="K5" s="46">
        <f>J5/F5</f>
        <v>0.27632792816299157</v>
      </c>
      <c r="L5" s="8">
        <v>4961.59</v>
      </c>
      <c r="M5" s="9">
        <f>L5/D5</f>
        <v>0.4532055386622118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1095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1096</v>
      </c>
      <c r="B8" s="447"/>
      <c r="C8" s="447"/>
      <c r="D8" s="447" t="s">
        <v>1097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129</v>
      </c>
      <c r="P8" s="457" t="s">
        <v>604</v>
      </c>
      <c r="Q8" s="456" t="s">
        <v>605</v>
      </c>
      <c r="R8" s="493" t="s">
        <v>131</v>
      </c>
    </row>
    <row r="9" spans="1:18" ht="20.45" customHeight="1" x14ac:dyDescent="0.25">
      <c r="A9" s="494" t="s">
        <v>1098</v>
      </c>
      <c r="B9" s="461" t="s">
        <v>133</v>
      </c>
      <c r="C9" s="462"/>
      <c r="D9" s="463" t="s">
        <v>134</v>
      </c>
      <c r="E9" s="463"/>
      <c r="F9" s="463"/>
      <c r="G9" s="463"/>
      <c r="H9" s="463"/>
      <c r="I9" s="463"/>
      <c r="J9" s="464" t="s">
        <v>135</v>
      </c>
      <c r="K9" s="464"/>
      <c r="L9" s="464"/>
      <c r="M9" s="465"/>
      <c r="N9" s="465"/>
      <c r="O9" s="456"/>
      <c r="P9" s="456"/>
      <c r="Q9" s="456"/>
      <c r="R9" s="493"/>
    </row>
    <row r="10" spans="1:18" ht="20.45" customHeight="1" x14ac:dyDescent="0.3">
      <c r="A10" s="495"/>
      <c r="B10" s="497" t="s">
        <v>136</v>
      </c>
      <c r="C10" s="499" t="s">
        <v>1099</v>
      </c>
      <c r="D10" s="501" t="s">
        <v>110</v>
      </c>
      <c r="E10" s="501"/>
      <c r="F10" s="501"/>
      <c r="G10" s="501"/>
      <c r="H10" s="501"/>
      <c r="I10" s="501"/>
      <c r="J10" s="502" t="s">
        <v>138</v>
      </c>
      <c r="K10" s="504"/>
      <c r="L10" s="505" t="s">
        <v>139</v>
      </c>
      <c r="M10" s="502"/>
      <c r="N10" s="502"/>
      <c r="O10" s="456"/>
      <c r="P10" s="456"/>
      <c r="Q10" s="456"/>
      <c r="R10" s="493"/>
    </row>
    <row r="11" spans="1:18" s="55" customFormat="1" ht="47.25" customHeight="1" x14ac:dyDescent="0.25">
      <c r="A11" s="496"/>
      <c r="B11" s="498"/>
      <c r="C11" s="500"/>
      <c r="D11" s="397" t="s">
        <v>1100</v>
      </c>
      <c r="E11" s="397" t="s">
        <v>141</v>
      </c>
      <c r="F11" s="397" t="s">
        <v>142</v>
      </c>
      <c r="G11" s="397" t="s">
        <v>143</v>
      </c>
      <c r="H11" s="397" t="s">
        <v>1101</v>
      </c>
      <c r="I11" s="397" t="s">
        <v>145</v>
      </c>
      <c r="J11" s="398" t="s">
        <v>146</v>
      </c>
      <c r="K11" s="398" t="s">
        <v>147</v>
      </c>
      <c r="L11" s="398" t="s">
        <v>146</v>
      </c>
      <c r="M11" s="398" t="s">
        <v>147</v>
      </c>
      <c r="N11" s="399" t="s">
        <v>149</v>
      </c>
      <c r="O11" s="456"/>
      <c r="P11" s="456"/>
      <c r="Q11" s="456"/>
      <c r="R11" s="493"/>
    </row>
    <row r="12" spans="1:18" s="15" customFormat="1" ht="24.95" customHeight="1" x14ac:dyDescent="0.25">
      <c r="A12" s="400">
        <v>1</v>
      </c>
      <c r="B12" s="10" t="s">
        <v>542</v>
      </c>
      <c r="C12" s="33">
        <v>1300.07</v>
      </c>
      <c r="D12" s="56">
        <v>143.13</v>
      </c>
      <c r="E12" s="56">
        <v>143.13</v>
      </c>
      <c r="F12" s="56">
        <v>14.3</v>
      </c>
      <c r="G12" s="33">
        <v>194.04</v>
      </c>
      <c r="H12" s="11">
        <f t="shared" ref="H12:H21" si="0">(E12+F12)/D12</f>
        <v>1.0999091734786559</v>
      </c>
      <c r="I12" s="33">
        <v>2774.77</v>
      </c>
      <c r="J12" s="56">
        <v>6.7</v>
      </c>
      <c r="K12" s="12">
        <f t="shared" ref="K12:K21" si="1">J12/D12</f>
        <v>4.6810591769719835E-2</v>
      </c>
      <c r="L12" s="401">
        <f t="shared" ref="L12:L21" si="2">((E12+F12)-D12)-J12</f>
        <v>7.6000000000000112</v>
      </c>
      <c r="M12" s="13">
        <f t="shared" ref="M12:M21" si="3">L12/D12</f>
        <v>5.3098581708936013E-2</v>
      </c>
      <c r="N12" s="402">
        <f t="shared" ref="N12:N21" si="4">L12*G12</f>
        <v>1474.7040000000022</v>
      </c>
      <c r="O12" s="66" t="s">
        <v>584</v>
      </c>
      <c r="P12" s="66" t="s">
        <v>672</v>
      </c>
      <c r="Q12" s="66" t="s">
        <v>975</v>
      </c>
      <c r="R12" s="28" t="s">
        <v>543</v>
      </c>
    </row>
    <row r="13" spans="1:18" s="15" customFormat="1" ht="24.95" customHeight="1" x14ac:dyDescent="0.25">
      <c r="A13" s="403">
        <v>2</v>
      </c>
      <c r="B13" s="10" t="s">
        <v>118</v>
      </c>
      <c r="C13" s="33">
        <v>325.88</v>
      </c>
      <c r="D13" s="56">
        <v>32.81</v>
      </c>
      <c r="E13" s="56">
        <v>32.81</v>
      </c>
      <c r="F13" s="56">
        <v>3.14</v>
      </c>
      <c r="G13" s="33">
        <v>271.57</v>
      </c>
      <c r="H13" s="11">
        <f t="shared" si="0"/>
        <v>1.0957025297165499</v>
      </c>
      <c r="I13" s="33">
        <v>852.73</v>
      </c>
      <c r="J13" s="56">
        <v>1.2</v>
      </c>
      <c r="K13" s="12">
        <f t="shared" si="1"/>
        <v>3.6574215178299292E-2</v>
      </c>
      <c r="L13" s="401">
        <f t="shared" si="2"/>
        <v>1.9400000000000006</v>
      </c>
      <c r="M13" s="13">
        <f t="shared" si="3"/>
        <v>5.912831453825055E-2</v>
      </c>
      <c r="N13" s="402">
        <f t="shared" si="4"/>
        <v>526.84580000000017</v>
      </c>
      <c r="O13" s="66" t="s">
        <v>584</v>
      </c>
      <c r="P13" s="66" t="s">
        <v>672</v>
      </c>
      <c r="Q13" s="66" t="s">
        <v>975</v>
      </c>
      <c r="R13" s="28" t="s">
        <v>25</v>
      </c>
    </row>
    <row r="14" spans="1:18" s="57" customFormat="1" ht="24.95" customHeight="1" x14ac:dyDescent="0.25">
      <c r="A14" s="403">
        <v>3</v>
      </c>
      <c r="B14" s="10" t="s">
        <v>669</v>
      </c>
      <c r="C14" s="33">
        <v>287.64</v>
      </c>
      <c r="D14" s="56">
        <v>99.23</v>
      </c>
      <c r="E14" s="56">
        <v>99.23</v>
      </c>
      <c r="F14" s="56">
        <v>9.8699999999999992</v>
      </c>
      <c r="G14" s="33">
        <v>64.930000000000007</v>
      </c>
      <c r="H14" s="11">
        <f t="shared" si="0"/>
        <v>1.0994658873324601</v>
      </c>
      <c r="I14" s="33">
        <v>640.86</v>
      </c>
      <c r="J14" s="56">
        <v>4.43</v>
      </c>
      <c r="K14" s="12">
        <f t="shared" si="1"/>
        <v>4.464375692834828E-2</v>
      </c>
      <c r="L14" s="401">
        <f t="shared" si="2"/>
        <v>5.4400000000000048</v>
      </c>
      <c r="M14" s="13">
        <f t="shared" si="3"/>
        <v>5.4822130404111706E-2</v>
      </c>
      <c r="N14" s="402">
        <f t="shared" si="4"/>
        <v>353.21920000000034</v>
      </c>
      <c r="O14" s="66" t="s">
        <v>584</v>
      </c>
      <c r="P14" s="66" t="s">
        <v>672</v>
      </c>
      <c r="Q14" s="66" t="s">
        <v>585</v>
      </c>
      <c r="R14" s="28" t="s">
        <v>25</v>
      </c>
    </row>
    <row r="15" spans="1:18" s="15" customFormat="1" ht="24.95" customHeight="1" x14ac:dyDescent="0.25">
      <c r="A15" s="400">
        <v>4</v>
      </c>
      <c r="B15" s="10" t="s">
        <v>786</v>
      </c>
      <c r="C15" s="33">
        <v>218.08</v>
      </c>
      <c r="D15" s="56">
        <v>10682</v>
      </c>
      <c r="E15" s="56">
        <v>10682</v>
      </c>
      <c r="F15" s="56">
        <v>75.31</v>
      </c>
      <c r="G15" s="33">
        <v>5.8</v>
      </c>
      <c r="H15" s="11">
        <f t="shared" si="0"/>
        <v>1.0070501778693128</v>
      </c>
      <c r="I15" s="33">
        <v>436.8</v>
      </c>
      <c r="J15" s="56">
        <v>37.6</v>
      </c>
      <c r="K15" s="12">
        <f t="shared" si="1"/>
        <v>3.5199400861261939E-3</v>
      </c>
      <c r="L15" s="401">
        <f t="shared" si="2"/>
        <v>37.709999999999489</v>
      </c>
      <c r="M15" s="13">
        <f t="shared" si="3"/>
        <v>3.5302377831866213E-3</v>
      </c>
      <c r="N15" s="402">
        <f t="shared" si="4"/>
        <v>218.71799999999703</v>
      </c>
      <c r="O15" s="66" t="s">
        <v>18</v>
      </c>
      <c r="P15" s="66" t="s">
        <v>673</v>
      </c>
      <c r="Q15" s="66" t="s">
        <v>583</v>
      </c>
      <c r="R15" s="28" t="s">
        <v>25</v>
      </c>
    </row>
    <row r="16" spans="1:18" s="57" customFormat="1" ht="24.95" customHeight="1" x14ac:dyDescent="0.25">
      <c r="A16" s="403">
        <v>5</v>
      </c>
      <c r="B16" s="10" t="s">
        <v>39</v>
      </c>
      <c r="C16" s="33">
        <v>205.49</v>
      </c>
      <c r="D16" s="56">
        <v>79.38</v>
      </c>
      <c r="E16" s="56">
        <v>79.38</v>
      </c>
      <c r="F16" s="56">
        <v>7.8</v>
      </c>
      <c r="G16" s="33">
        <v>104.84</v>
      </c>
      <c r="H16" s="11">
        <f t="shared" si="0"/>
        <v>1.0982615268329554</v>
      </c>
      <c r="I16" s="33">
        <v>817.75</v>
      </c>
      <c r="J16" s="56">
        <v>1.96</v>
      </c>
      <c r="K16" s="12">
        <f t="shared" si="1"/>
        <v>2.469135802469136E-2</v>
      </c>
      <c r="L16" s="401">
        <f t="shared" si="2"/>
        <v>5.8399999999999972</v>
      </c>
      <c r="M16" s="13">
        <f t="shared" si="3"/>
        <v>7.3570168808264017E-2</v>
      </c>
      <c r="N16" s="402">
        <f t="shared" si="4"/>
        <v>612.26559999999972</v>
      </c>
      <c r="O16" s="66" t="s">
        <v>18</v>
      </c>
      <c r="P16" s="66" t="s">
        <v>673</v>
      </c>
      <c r="Q16" s="66" t="s">
        <v>590</v>
      </c>
      <c r="R16" s="28" t="s">
        <v>25</v>
      </c>
    </row>
    <row r="17" spans="1:18" s="15" customFormat="1" ht="24.95" customHeight="1" x14ac:dyDescent="0.25">
      <c r="A17" s="400">
        <v>6</v>
      </c>
      <c r="B17" s="10" t="s">
        <v>1102</v>
      </c>
      <c r="C17" s="33">
        <v>204.7</v>
      </c>
      <c r="D17" s="56">
        <v>37.979999999999997</v>
      </c>
      <c r="E17" s="56">
        <v>37.979999999999997</v>
      </c>
      <c r="F17" s="56">
        <v>3.76</v>
      </c>
      <c r="G17" s="33">
        <v>113.72</v>
      </c>
      <c r="H17" s="11">
        <f t="shared" si="0"/>
        <v>1.0989994734070563</v>
      </c>
      <c r="I17" s="33">
        <v>427.59</v>
      </c>
      <c r="J17" s="56">
        <v>1.8</v>
      </c>
      <c r="K17" s="12">
        <f t="shared" si="1"/>
        <v>4.7393364928909956E-2</v>
      </c>
      <c r="L17" s="401">
        <f t="shared" si="2"/>
        <v>1.959999999999998</v>
      </c>
      <c r="M17" s="13">
        <f t="shared" si="3"/>
        <v>5.1606108478146347E-2</v>
      </c>
      <c r="N17" s="402">
        <f t="shared" si="4"/>
        <v>222.89119999999977</v>
      </c>
      <c r="O17" s="66" t="s">
        <v>584</v>
      </c>
      <c r="P17" s="66" t="s">
        <v>672</v>
      </c>
      <c r="Q17" s="66" t="s">
        <v>585</v>
      </c>
      <c r="R17" s="28" t="s">
        <v>1103</v>
      </c>
    </row>
    <row r="18" spans="1:18" s="57" customFormat="1" ht="24.95" customHeight="1" x14ac:dyDescent="0.25">
      <c r="A18" s="403">
        <v>7</v>
      </c>
      <c r="B18" s="10" t="s">
        <v>730</v>
      </c>
      <c r="C18" s="33">
        <v>197.01</v>
      </c>
      <c r="D18" s="56">
        <v>10.34</v>
      </c>
      <c r="E18" s="56">
        <v>10.34</v>
      </c>
      <c r="F18" s="56">
        <v>1.02</v>
      </c>
      <c r="G18" s="33">
        <v>469.08</v>
      </c>
      <c r="H18" s="11">
        <f t="shared" si="0"/>
        <v>1.0986460348162475</v>
      </c>
      <c r="I18" s="33">
        <v>478.46</v>
      </c>
      <c r="J18" s="56">
        <v>0.42</v>
      </c>
      <c r="K18" s="12">
        <f t="shared" si="1"/>
        <v>4.0618955512572531E-2</v>
      </c>
      <c r="L18" s="401">
        <f t="shared" si="2"/>
        <v>0.59999999999999964</v>
      </c>
      <c r="M18" s="13">
        <f t="shared" si="3"/>
        <v>5.8027079303675018E-2</v>
      </c>
      <c r="N18" s="402">
        <f t="shared" si="4"/>
        <v>281.44799999999981</v>
      </c>
      <c r="O18" s="66" t="s">
        <v>18</v>
      </c>
      <c r="P18" s="66" t="s">
        <v>673</v>
      </c>
      <c r="Q18" s="66" t="s">
        <v>583</v>
      </c>
      <c r="R18" s="28" t="s">
        <v>51</v>
      </c>
    </row>
    <row r="19" spans="1:18" s="15" customFormat="1" ht="24.95" customHeight="1" x14ac:dyDescent="0.25">
      <c r="A19" s="400">
        <v>8</v>
      </c>
      <c r="B19" s="10" t="s">
        <v>777</v>
      </c>
      <c r="C19" s="33">
        <v>168.44</v>
      </c>
      <c r="D19" s="56">
        <v>288.39999999999998</v>
      </c>
      <c r="E19" s="56">
        <v>288.39999999999998</v>
      </c>
      <c r="F19" s="56">
        <v>11.92</v>
      </c>
      <c r="G19" s="33">
        <v>61.25</v>
      </c>
      <c r="H19" s="11">
        <f t="shared" si="0"/>
        <v>1.0413314840499308</v>
      </c>
      <c r="I19" s="33">
        <v>730.1</v>
      </c>
      <c r="J19" s="56">
        <v>2.75</v>
      </c>
      <c r="K19" s="12">
        <f t="shared" si="1"/>
        <v>9.5353675450762839E-3</v>
      </c>
      <c r="L19" s="401">
        <f t="shared" si="2"/>
        <v>9.1700000000000159</v>
      </c>
      <c r="M19" s="13">
        <f t="shared" si="3"/>
        <v>3.1796116504854428E-2</v>
      </c>
      <c r="N19" s="402">
        <f t="shared" si="4"/>
        <v>561.66250000000093</v>
      </c>
      <c r="O19" s="66" t="s">
        <v>584</v>
      </c>
      <c r="P19" s="66" t="s">
        <v>675</v>
      </c>
      <c r="Q19" s="66" t="s">
        <v>973</v>
      </c>
      <c r="R19" s="28" t="s">
        <v>89</v>
      </c>
    </row>
    <row r="20" spans="1:18" s="15" customFormat="1" ht="24.95" customHeight="1" x14ac:dyDescent="0.25">
      <c r="A20" s="403">
        <v>9</v>
      </c>
      <c r="B20" s="10" t="s">
        <v>1104</v>
      </c>
      <c r="C20" s="33">
        <v>164.58</v>
      </c>
      <c r="D20" s="56">
        <v>85.88</v>
      </c>
      <c r="E20" s="56">
        <v>87.6</v>
      </c>
      <c r="F20" s="56">
        <v>3.94</v>
      </c>
      <c r="G20" s="33">
        <v>228.58</v>
      </c>
      <c r="H20" s="11">
        <f t="shared" si="0"/>
        <v>1.0659059152305543</v>
      </c>
      <c r="I20" s="33">
        <v>1293.76</v>
      </c>
      <c r="J20" s="56">
        <v>0.72</v>
      </c>
      <c r="K20" s="12">
        <f t="shared" si="1"/>
        <v>8.3837913367489515E-3</v>
      </c>
      <c r="L20" s="401">
        <f t="shared" si="2"/>
        <v>4.9399999999999968</v>
      </c>
      <c r="M20" s="13">
        <f t="shared" si="3"/>
        <v>5.7522123893805274E-2</v>
      </c>
      <c r="N20" s="402">
        <f t="shared" si="4"/>
        <v>1129.1851999999994</v>
      </c>
      <c r="O20" s="66" t="s">
        <v>18</v>
      </c>
      <c r="P20" s="66" t="s">
        <v>673</v>
      </c>
      <c r="Q20" s="66" t="s">
        <v>974</v>
      </c>
      <c r="R20" s="28" t="s">
        <v>1105</v>
      </c>
    </row>
    <row r="21" spans="1:18" s="15" customFormat="1" ht="24.95" customHeight="1" thickBot="1" x14ac:dyDescent="0.3">
      <c r="A21" s="404">
        <v>10</v>
      </c>
      <c r="B21" s="16" t="s">
        <v>37</v>
      </c>
      <c r="C21" s="34">
        <v>158.31</v>
      </c>
      <c r="D21" s="58">
        <v>292.49</v>
      </c>
      <c r="E21" s="58">
        <v>292.49</v>
      </c>
      <c r="F21" s="58">
        <v>4.6100000000000003</v>
      </c>
      <c r="G21" s="34">
        <v>156.74</v>
      </c>
      <c r="H21" s="17">
        <f t="shared" si="0"/>
        <v>1.0157612226059012</v>
      </c>
      <c r="I21" s="34">
        <v>722.57</v>
      </c>
      <c r="J21" s="58">
        <v>1.01</v>
      </c>
      <c r="K21" s="18">
        <f t="shared" si="1"/>
        <v>3.453109508017368E-3</v>
      </c>
      <c r="L21" s="405">
        <f t="shared" si="2"/>
        <v>3.6000000000000139</v>
      </c>
      <c r="M21" s="19">
        <f t="shared" si="3"/>
        <v>1.2308113097883735E-2</v>
      </c>
      <c r="N21" s="406">
        <f t="shared" si="4"/>
        <v>564.26400000000217</v>
      </c>
      <c r="O21" s="64" t="s">
        <v>584</v>
      </c>
      <c r="P21" s="64" t="s">
        <v>672</v>
      </c>
      <c r="Q21" s="64" t="s">
        <v>585</v>
      </c>
      <c r="R21" s="29" t="s">
        <v>25</v>
      </c>
    </row>
    <row r="22" spans="1:18" s="62" customFormat="1" ht="24.95" customHeight="1" thickBot="1" x14ac:dyDescent="0.3">
      <c r="A22" s="407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408"/>
      <c r="M22" s="30"/>
      <c r="N22" s="409"/>
      <c r="O22" s="61"/>
      <c r="P22" s="61"/>
      <c r="Q22" s="61"/>
      <c r="R22" s="59"/>
    </row>
    <row r="23" spans="1:18" s="62" customFormat="1" ht="40.5" customHeight="1" x14ac:dyDescent="0.25">
      <c r="A23" s="443" t="s">
        <v>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127</v>
      </c>
      <c r="B24" s="447"/>
      <c r="C24" s="447"/>
      <c r="D24" s="447" t="s">
        <v>128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129</v>
      </c>
      <c r="P24" s="457" t="s">
        <v>604</v>
      </c>
      <c r="Q24" s="456" t="s">
        <v>605</v>
      </c>
      <c r="R24" s="493" t="s">
        <v>131</v>
      </c>
    </row>
    <row r="25" spans="1:18" s="62" customFormat="1" ht="24.95" customHeight="1" x14ac:dyDescent="0.25">
      <c r="A25" s="494" t="s">
        <v>132</v>
      </c>
      <c r="B25" s="461" t="s">
        <v>133</v>
      </c>
      <c r="C25" s="462"/>
      <c r="D25" s="463" t="s">
        <v>134</v>
      </c>
      <c r="E25" s="463"/>
      <c r="F25" s="463"/>
      <c r="G25" s="463"/>
      <c r="H25" s="463"/>
      <c r="I25" s="463"/>
      <c r="J25" s="464" t="s">
        <v>1106</v>
      </c>
      <c r="K25" s="464"/>
      <c r="L25" s="464"/>
      <c r="M25" s="465"/>
      <c r="N25" s="465"/>
      <c r="O25" s="456"/>
      <c r="P25" s="456"/>
      <c r="Q25" s="456"/>
      <c r="R25" s="493"/>
    </row>
    <row r="26" spans="1:18" s="62" customFormat="1" ht="24.95" customHeight="1" x14ac:dyDescent="0.3">
      <c r="A26" s="495"/>
      <c r="B26" s="497" t="s">
        <v>1107</v>
      </c>
      <c r="C26" s="499" t="s">
        <v>158</v>
      </c>
      <c r="D26" s="501" t="s">
        <v>110</v>
      </c>
      <c r="E26" s="501"/>
      <c r="F26" s="501"/>
      <c r="G26" s="501"/>
      <c r="H26" s="501"/>
      <c r="I26" s="501"/>
      <c r="J26" s="502" t="s">
        <v>1108</v>
      </c>
      <c r="K26" s="503"/>
      <c r="L26" s="504"/>
      <c r="M26" s="502" t="s">
        <v>139</v>
      </c>
      <c r="N26" s="504"/>
      <c r="O26" s="456"/>
      <c r="P26" s="456"/>
      <c r="Q26" s="456"/>
      <c r="R26" s="493"/>
    </row>
    <row r="27" spans="1:18" s="62" customFormat="1" ht="50.1" customHeight="1" x14ac:dyDescent="0.25">
      <c r="A27" s="496"/>
      <c r="B27" s="498"/>
      <c r="C27" s="500"/>
      <c r="D27" s="397" t="s">
        <v>140</v>
      </c>
      <c r="E27" s="397" t="s">
        <v>141</v>
      </c>
      <c r="F27" s="397" t="s">
        <v>142</v>
      </c>
      <c r="G27" s="397" t="s">
        <v>143</v>
      </c>
      <c r="H27" s="397" t="s">
        <v>1101</v>
      </c>
      <c r="I27" s="397" t="s">
        <v>1109</v>
      </c>
      <c r="J27" s="398" t="s">
        <v>146</v>
      </c>
      <c r="K27" s="398" t="s">
        <v>147</v>
      </c>
      <c r="L27" s="399" t="s">
        <v>149</v>
      </c>
      <c r="M27" s="398" t="s">
        <v>146</v>
      </c>
      <c r="N27" s="398" t="s">
        <v>147</v>
      </c>
      <c r="O27" s="456"/>
      <c r="P27" s="456"/>
      <c r="Q27" s="456"/>
      <c r="R27" s="493"/>
    </row>
    <row r="28" spans="1:18" s="62" customFormat="1" ht="24.95" customHeight="1" x14ac:dyDescent="0.25">
      <c r="A28" s="400">
        <v>1</v>
      </c>
      <c r="B28" s="10" t="s">
        <v>35</v>
      </c>
      <c r="C28" s="33">
        <v>1792.4</v>
      </c>
      <c r="D28" s="56">
        <v>79.38</v>
      </c>
      <c r="E28" s="56">
        <v>82.1</v>
      </c>
      <c r="F28" s="56">
        <v>2.02</v>
      </c>
      <c r="G28" s="33">
        <v>410.16</v>
      </c>
      <c r="H28" s="35">
        <f t="shared" ref="H28:H37" si="5">(E28+F28)/D28</f>
        <v>1.0597127739984882</v>
      </c>
      <c r="I28" s="33">
        <v>1944.16</v>
      </c>
      <c r="J28" s="56">
        <v>0.37</v>
      </c>
      <c r="K28" s="12">
        <f t="shared" ref="K28:K37" si="6">J28/D28</f>
        <v>4.6611237087427568E-3</v>
      </c>
      <c r="L28" s="402">
        <f t="shared" ref="L28:L37" si="7">J28*G28</f>
        <v>151.75920000000002</v>
      </c>
      <c r="M28" s="401">
        <f t="shared" ref="M28:M37" si="8">((E28+F28)-D28)-J28</f>
        <v>4.3699999999999948</v>
      </c>
      <c r="N28" s="13">
        <f t="shared" ref="N28:N37" si="9">M28/D28</f>
        <v>5.5051650289745464E-2</v>
      </c>
      <c r="O28" s="69" t="s">
        <v>22</v>
      </c>
      <c r="P28" s="14" t="s">
        <v>672</v>
      </c>
      <c r="Q28" s="14" t="s">
        <v>65</v>
      </c>
      <c r="R28" s="28" t="s">
        <v>25</v>
      </c>
    </row>
    <row r="29" spans="1:18" s="62" customFormat="1" ht="24.75" customHeight="1" x14ac:dyDescent="0.25">
      <c r="A29" s="403">
        <v>2</v>
      </c>
      <c r="B29" s="10" t="s">
        <v>542</v>
      </c>
      <c r="C29" s="33">
        <v>1474.7</v>
      </c>
      <c r="D29" s="56">
        <v>143.13</v>
      </c>
      <c r="E29" s="56">
        <v>143.13</v>
      </c>
      <c r="F29" s="56">
        <v>14.3</v>
      </c>
      <c r="G29" s="33">
        <v>194.04</v>
      </c>
      <c r="H29" s="35">
        <f t="shared" si="5"/>
        <v>1.0999091734786559</v>
      </c>
      <c r="I29" s="33">
        <v>2774.77</v>
      </c>
      <c r="J29" s="56">
        <v>6.7</v>
      </c>
      <c r="K29" s="12">
        <f t="shared" si="6"/>
        <v>4.6810591769719835E-2</v>
      </c>
      <c r="L29" s="402">
        <f t="shared" si="7"/>
        <v>1300.068</v>
      </c>
      <c r="M29" s="401">
        <f t="shared" si="8"/>
        <v>7.6000000000000112</v>
      </c>
      <c r="N29" s="13">
        <f t="shared" si="9"/>
        <v>5.3098581708936013E-2</v>
      </c>
      <c r="O29" s="69" t="s">
        <v>22</v>
      </c>
      <c r="P29" s="14" t="s">
        <v>672</v>
      </c>
      <c r="Q29" s="14" t="s">
        <v>65</v>
      </c>
      <c r="R29" s="28" t="s">
        <v>543</v>
      </c>
    </row>
    <row r="30" spans="1:18" s="62" customFormat="1" ht="24.95" customHeight="1" x14ac:dyDescent="0.25">
      <c r="A30" s="403">
        <v>3</v>
      </c>
      <c r="B30" s="10" t="s">
        <v>1104</v>
      </c>
      <c r="C30" s="33">
        <v>1129.18</v>
      </c>
      <c r="D30" s="56">
        <v>85.88</v>
      </c>
      <c r="E30" s="56">
        <v>87.6</v>
      </c>
      <c r="F30" s="56">
        <v>3.94</v>
      </c>
      <c r="G30" s="33">
        <v>228.58</v>
      </c>
      <c r="H30" s="35">
        <f t="shared" si="5"/>
        <v>1.0659059152305543</v>
      </c>
      <c r="I30" s="33">
        <v>1293.76</v>
      </c>
      <c r="J30" s="32">
        <v>0.72</v>
      </c>
      <c r="K30" s="12">
        <f t="shared" si="6"/>
        <v>8.3837913367489515E-3</v>
      </c>
      <c r="L30" s="402">
        <f t="shared" si="7"/>
        <v>164.57759999999999</v>
      </c>
      <c r="M30" s="401">
        <f t="shared" si="8"/>
        <v>4.9399999999999968</v>
      </c>
      <c r="N30" s="13">
        <f t="shared" si="9"/>
        <v>5.7522123893805274E-2</v>
      </c>
      <c r="O30" s="69" t="s">
        <v>22</v>
      </c>
      <c r="P30" s="14" t="s">
        <v>672</v>
      </c>
      <c r="Q30" s="14" t="s">
        <v>84</v>
      </c>
      <c r="R30" s="28" t="s">
        <v>1105</v>
      </c>
    </row>
    <row r="31" spans="1:18" s="62" customFormat="1" ht="24.95" customHeight="1" x14ac:dyDescent="0.25">
      <c r="A31" s="400">
        <v>4</v>
      </c>
      <c r="B31" s="10" t="s">
        <v>46</v>
      </c>
      <c r="C31" s="33">
        <v>1037.3499999999999</v>
      </c>
      <c r="D31" s="56">
        <v>20.6</v>
      </c>
      <c r="E31" s="56">
        <v>20.98</v>
      </c>
      <c r="F31" s="56">
        <v>0.9</v>
      </c>
      <c r="G31" s="33">
        <v>930.36</v>
      </c>
      <c r="H31" s="35">
        <f t="shared" si="5"/>
        <v>1.062135922330097</v>
      </c>
      <c r="I31" s="33">
        <v>1190.8599999999999</v>
      </c>
      <c r="J31" s="56">
        <v>0.16500000000000001</v>
      </c>
      <c r="K31" s="12">
        <f t="shared" si="6"/>
        <v>8.0097087378640779E-3</v>
      </c>
      <c r="L31" s="402">
        <f t="shared" si="7"/>
        <v>153.5094</v>
      </c>
      <c r="M31" s="401">
        <f t="shared" si="8"/>
        <v>1.1149999999999975</v>
      </c>
      <c r="N31" s="13">
        <f t="shared" si="9"/>
        <v>5.4126213592232887E-2</v>
      </c>
      <c r="O31" s="69" t="s">
        <v>22</v>
      </c>
      <c r="P31" s="14" t="s">
        <v>672</v>
      </c>
      <c r="Q31" s="14" t="s">
        <v>892</v>
      </c>
      <c r="R31" s="28" t="s">
        <v>76</v>
      </c>
    </row>
    <row r="32" spans="1:18" s="62" customFormat="1" ht="24.95" customHeight="1" x14ac:dyDescent="0.25">
      <c r="A32" s="403">
        <v>5</v>
      </c>
      <c r="B32" s="10" t="s">
        <v>40</v>
      </c>
      <c r="C32" s="33">
        <v>703.56000000000006</v>
      </c>
      <c r="D32" s="56">
        <v>169.28</v>
      </c>
      <c r="E32" s="56">
        <v>169.28</v>
      </c>
      <c r="F32" s="56">
        <v>10.98</v>
      </c>
      <c r="G32" s="33">
        <v>78</v>
      </c>
      <c r="H32" s="35">
        <f t="shared" si="5"/>
        <v>1.0648629489603023</v>
      </c>
      <c r="I32" s="33">
        <v>856.44</v>
      </c>
      <c r="J32" s="56">
        <v>1.96</v>
      </c>
      <c r="K32" s="12">
        <f t="shared" si="6"/>
        <v>1.1578449905482041E-2</v>
      </c>
      <c r="L32" s="402">
        <f t="shared" si="7"/>
        <v>152.88</v>
      </c>
      <c r="M32" s="401">
        <f t="shared" si="8"/>
        <v>9.0199999999999889</v>
      </c>
      <c r="N32" s="13">
        <f t="shared" si="9"/>
        <v>5.3284499054820349E-2</v>
      </c>
      <c r="O32" s="69" t="s">
        <v>22</v>
      </c>
      <c r="P32" s="14" t="s">
        <v>672</v>
      </c>
      <c r="Q32" s="14" t="s">
        <v>891</v>
      </c>
      <c r="R32" s="28" t="s">
        <v>25</v>
      </c>
    </row>
    <row r="33" spans="1:18" s="62" customFormat="1" ht="24.95" customHeight="1" x14ac:dyDescent="0.25">
      <c r="A33" s="400">
        <v>6</v>
      </c>
      <c r="B33" s="10" t="s">
        <v>41</v>
      </c>
      <c r="C33" s="33">
        <v>682.86</v>
      </c>
      <c r="D33" s="56">
        <v>117.41</v>
      </c>
      <c r="E33" s="56">
        <v>117.41</v>
      </c>
      <c r="F33" s="56">
        <v>6.56</v>
      </c>
      <c r="G33" s="33">
        <v>127.4</v>
      </c>
      <c r="H33" s="35">
        <f t="shared" si="5"/>
        <v>1.0558725832552593</v>
      </c>
      <c r="I33" s="33">
        <v>835.74</v>
      </c>
      <c r="J33" s="56">
        <v>1.2</v>
      </c>
      <c r="K33" s="12">
        <f t="shared" si="6"/>
        <v>1.0220594497913295E-2</v>
      </c>
      <c r="L33" s="402">
        <f t="shared" si="7"/>
        <v>152.88</v>
      </c>
      <c r="M33" s="401">
        <f t="shared" si="8"/>
        <v>5.3600000000000021</v>
      </c>
      <c r="N33" s="13">
        <f t="shared" si="9"/>
        <v>4.5651988757346072E-2</v>
      </c>
      <c r="O33" s="69" t="s">
        <v>22</v>
      </c>
      <c r="P33" s="14" t="s">
        <v>672</v>
      </c>
      <c r="Q33" s="14" t="s">
        <v>67</v>
      </c>
      <c r="R33" s="28" t="s">
        <v>25</v>
      </c>
    </row>
    <row r="34" spans="1:18" s="62" customFormat="1" ht="24.95" customHeight="1" x14ac:dyDescent="0.25">
      <c r="A34" s="403">
        <v>7</v>
      </c>
      <c r="B34" s="10" t="s">
        <v>706</v>
      </c>
      <c r="C34" s="33">
        <v>676.91</v>
      </c>
      <c r="D34" s="56">
        <v>199.66</v>
      </c>
      <c r="E34" s="56">
        <v>199.66</v>
      </c>
      <c r="F34" s="56">
        <v>8.74</v>
      </c>
      <c r="G34" s="33">
        <v>95.34</v>
      </c>
      <c r="H34" s="35">
        <f t="shared" si="5"/>
        <v>1.0437744165080638</v>
      </c>
      <c r="I34" s="33">
        <v>833.27</v>
      </c>
      <c r="J34" s="56">
        <v>1.64</v>
      </c>
      <c r="K34" s="12">
        <f t="shared" si="6"/>
        <v>8.2139637383552028E-3</v>
      </c>
      <c r="L34" s="402">
        <f t="shared" si="7"/>
        <v>156.35759999999999</v>
      </c>
      <c r="M34" s="401">
        <f t="shared" si="8"/>
        <v>7.1000000000000094</v>
      </c>
      <c r="N34" s="13">
        <f t="shared" si="9"/>
        <v>3.5560452769708553E-2</v>
      </c>
      <c r="O34" s="69" t="s">
        <v>22</v>
      </c>
      <c r="P34" s="14" t="s">
        <v>672</v>
      </c>
      <c r="Q34" s="14" t="s">
        <v>84</v>
      </c>
      <c r="R34" s="28" t="s">
        <v>25</v>
      </c>
    </row>
    <row r="35" spans="1:18" s="62" customFormat="1" ht="24.95" customHeight="1" x14ac:dyDescent="0.25">
      <c r="A35" s="400">
        <v>8</v>
      </c>
      <c r="B35" s="10" t="s">
        <v>90</v>
      </c>
      <c r="C35" s="33">
        <v>664.56999999999994</v>
      </c>
      <c r="D35" s="56">
        <v>115.36</v>
      </c>
      <c r="E35" s="56">
        <v>115.36</v>
      </c>
      <c r="F35" s="56">
        <v>4.91</v>
      </c>
      <c r="G35" s="33">
        <v>166.56</v>
      </c>
      <c r="H35" s="35">
        <f t="shared" si="5"/>
        <v>1.0425624133148406</v>
      </c>
      <c r="I35" s="33">
        <v>817.81</v>
      </c>
      <c r="J35" s="56">
        <v>0.92</v>
      </c>
      <c r="K35" s="12">
        <f t="shared" si="6"/>
        <v>7.9750346740638002E-3</v>
      </c>
      <c r="L35" s="402">
        <f t="shared" si="7"/>
        <v>153.23520000000002</v>
      </c>
      <c r="M35" s="401">
        <f t="shared" si="8"/>
        <v>3.9899999999999967</v>
      </c>
      <c r="N35" s="13">
        <f t="shared" si="9"/>
        <v>3.458737864077667E-2</v>
      </c>
      <c r="O35" s="69" t="s">
        <v>22</v>
      </c>
      <c r="P35" s="14" t="s">
        <v>672</v>
      </c>
      <c r="Q35" s="14" t="s">
        <v>67</v>
      </c>
      <c r="R35" s="28" t="s">
        <v>89</v>
      </c>
    </row>
    <row r="36" spans="1:18" s="62" customFormat="1" ht="24.95" customHeight="1" x14ac:dyDescent="0.25">
      <c r="A36" s="403">
        <v>9</v>
      </c>
      <c r="B36" s="10" t="s">
        <v>36</v>
      </c>
      <c r="C36" s="33">
        <v>664.53</v>
      </c>
      <c r="D36" s="56">
        <v>195.34</v>
      </c>
      <c r="E36" s="56">
        <v>195.34</v>
      </c>
      <c r="F36" s="56">
        <v>5.22</v>
      </c>
      <c r="G36" s="33">
        <v>156.72999999999999</v>
      </c>
      <c r="H36" s="35">
        <f t="shared" si="5"/>
        <v>1.0267226374526466</v>
      </c>
      <c r="I36" s="33">
        <v>818.13</v>
      </c>
      <c r="J36" s="56">
        <v>0.98</v>
      </c>
      <c r="K36" s="12">
        <f t="shared" si="6"/>
        <v>5.0168936213781101E-3</v>
      </c>
      <c r="L36" s="402">
        <f t="shared" si="7"/>
        <v>153.59539999999998</v>
      </c>
      <c r="M36" s="401">
        <f t="shared" si="8"/>
        <v>4.2399999999999984</v>
      </c>
      <c r="N36" s="13">
        <f t="shared" si="9"/>
        <v>2.170574383126855E-2</v>
      </c>
      <c r="O36" s="69" t="s">
        <v>22</v>
      </c>
      <c r="P36" s="14" t="s">
        <v>672</v>
      </c>
      <c r="Q36" s="14" t="s">
        <v>408</v>
      </c>
      <c r="R36" s="28" t="s">
        <v>25</v>
      </c>
    </row>
    <row r="37" spans="1:18" s="62" customFormat="1" ht="24.95" customHeight="1" thickBot="1" x14ac:dyDescent="0.3">
      <c r="A37" s="404">
        <v>10</v>
      </c>
      <c r="B37" s="16" t="s">
        <v>824</v>
      </c>
      <c r="C37" s="34">
        <v>663.03</v>
      </c>
      <c r="D37" s="58">
        <v>201.74</v>
      </c>
      <c r="E37" s="58">
        <v>201.74</v>
      </c>
      <c r="F37" s="58">
        <v>18.190000000000001</v>
      </c>
      <c r="G37" s="34">
        <v>44.86</v>
      </c>
      <c r="H37" s="36">
        <f t="shared" si="5"/>
        <v>1.0901655596312085</v>
      </c>
      <c r="I37" s="34">
        <v>816</v>
      </c>
      <c r="J37" s="58">
        <v>3.41</v>
      </c>
      <c r="K37" s="18">
        <f t="shared" si="6"/>
        <v>1.6902944383860415E-2</v>
      </c>
      <c r="L37" s="406">
        <f t="shared" si="7"/>
        <v>152.9726</v>
      </c>
      <c r="M37" s="405">
        <f t="shared" si="8"/>
        <v>14.779999999999998</v>
      </c>
      <c r="N37" s="19">
        <f t="shared" si="9"/>
        <v>7.3262615247348062E-2</v>
      </c>
      <c r="O37" s="52" t="s">
        <v>22</v>
      </c>
      <c r="P37" s="20" t="s">
        <v>672</v>
      </c>
      <c r="Q37" s="20" t="s">
        <v>894</v>
      </c>
      <c r="R37" s="65" t="s">
        <v>25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127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490" t="s">
        <v>132</v>
      </c>
      <c r="B41" s="450" t="s">
        <v>133</v>
      </c>
      <c r="C41" s="450"/>
      <c r="D41" s="451"/>
      <c r="E41" s="23"/>
      <c r="G41" s="21"/>
      <c r="H41" s="22"/>
    </row>
    <row r="42" spans="1:18" ht="20.45" customHeight="1" x14ac:dyDescent="0.35">
      <c r="A42" s="490"/>
      <c r="B42" s="491" t="s">
        <v>136</v>
      </c>
      <c r="C42" s="492" t="s">
        <v>1110</v>
      </c>
      <c r="D42" s="493" t="s">
        <v>174</v>
      </c>
      <c r="E42" s="23"/>
      <c r="G42" s="21"/>
      <c r="H42" s="22"/>
    </row>
    <row r="43" spans="1:18" ht="20.45" customHeight="1" x14ac:dyDescent="0.35">
      <c r="A43" s="490"/>
      <c r="B43" s="491"/>
      <c r="C43" s="492"/>
      <c r="D43" s="493"/>
      <c r="E43" s="23"/>
      <c r="G43" s="21"/>
      <c r="H43" s="22"/>
    </row>
    <row r="44" spans="1:18" s="26" customFormat="1" ht="24.95" customHeight="1" x14ac:dyDescent="0.35">
      <c r="A44" s="410">
        <v>1</v>
      </c>
      <c r="B44" s="10" t="s">
        <v>118</v>
      </c>
      <c r="C44" s="33">
        <v>325.88</v>
      </c>
      <c r="D44" s="24">
        <f t="shared" ref="D44:D53" si="10">C44/$L$5</f>
        <v>6.5680558046916415E-2</v>
      </c>
      <c r="E44" s="25"/>
      <c r="G44" s="21"/>
      <c r="H44" s="22"/>
    </row>
    <row r="45" spans="1:18" s="26" customFormat="1" ht="24.95" customHeight="1" x14ac:dyDescent="0.35">
      <c r="A45" s="411">
        <v>2</v>
      </c>
      <c r="B45" s="10" t="s">
        <v>669</v>
      </c>
      <c r="C45" s="33">
        <v>287.64</v>
      </c>
      <c r="D45" s="24">
        <f t="shared" si="10"/>
        <v>5.7973351284568049E-2</v>
      </c>
      <c r="E45" s="25"/>
      <c r="G45" s="21"/>
      <c r="H45" s="22"/>
    </row>
    <row r="46" spans="1:18" s="26" customFormat="1" ht="24.95" customHeight="1" x14ac:dyDescent="0.35">
      <c r="A46" s="411">
        <v>3</v>
      </c>
      <c r="B46" s="10" t="s">
        <v>786</v>
      </c>
      <c r="C46" s="33">
        <v>218.08</v>
      </c>
      <c r="D46" s="24">
        <f t="shared" si="10"/>
        <v>4.3953651954313035E-2</v>
      </c>
      <c r="E46" s="25"/>
      <c r="G46" s="21"/>
      <c r="H46" s="22"/>
    </row>
    <row r="47" spans="1:18" s="26" customFormat="1" ht="24.95" customHeight="1" x14ac:dyDescent="0.35">
      <c r="A47" s="410">
        <v>4</v>
      </c>
      <c r="B47" s="10" t="s">
        <v>39</v>
      </c>
      <c r="C47" s="33">
        <v>205.49</v>
      </c>
      <c r="D47" s="24">
        <f t="shared" si="10"/>
        <v>4.1416158932922713E-2</v>
      </c>
      <c r="E47" s="25"/>
      <c r="G47" s="21"/>
      <c r="H47" s="22"/>
    </row>
    <row r="48" spans="1:18" s="26" customFormat="1" ht="24.95" customHeight="1" x14ac:dyDescent="0.35">
      <c r="A48" s="411">
        <v>5</v>
      </c>
      <c r="B48" s="10" t="s">
        <v>37</v>
      </c>
      <c r="C48" s="33">
        <v>158.31</v>
      </c>
      <c r="D48" s="24">
        <f t="shared" si="10"/>
        <v>3.190711042226383E-2</v>
      </c>
      <c r="E48" s="25"/>
      <c r="G48" s="21"/>
      <c r="H48" s="22"/>
    </row>
    <row r="49" spans="1:5" s="26" customFormat="1" ht="24.95" customHeight="1" x14ac:dyDescent="0.25">
      <c r="A49" s="410">
        <v>6</v>
      </c>
      <c r="B49" s="10" t="s">
        <v>30</v>
      </c>
      <c r="C49" s="33">
        <v>157.29</v>
      </c>
      <c r="D49" s="24">
        <f t="shared" si="10"/>
        <v>3.1701531162389475E-2</v>
      </c>
      <c r="E49" s="25"/>
    </row>
    <row r="50" spans="1:5" s="26" customFormat="1" ht="24.95" customHeight="1" x14ac:dyDescent="0.25">
      <c r="A50" s="411">
        <v>7</v>
      </c>
      <c r="B50" s="10" t="s">
        <v>706</v>
      </c>
      <c r="C50" s="33">
        <v>156.36000000000001</v>
      </c>
      <c r="D50" s="24">
        <f t="shared" si="10"/>
        <v>3.1514091248974627E-2</v>
      </c>
      <c r="E50" s="25"/>
    </row>
    <row r="51" spans="1:5" s="26" customFormat="1" ht="24.95" customHeight="1" x14ac:dyDescent="0.25">
      <c r="A51" s="410">
        <v>8</v>
      </c>
      <c r="B51" s="10" t="s">
        <v>33</v>
      </c>
      <c r="C51" s="33">
        <v>154.66</v>
      </c>
      <c r="D51" s="24">
        <f t="shared" si="10"/>
        <v>3.1171459149184032E-2</v>
      </c>
      <c r="E51" s="25"/>
    </row>
    <row r="52" spans="1:5" s="26" customFormat="1" ht="24.95" customHeight="1" x14ac:dyDescent="0.25">
      <c r="A52" s="411">
        <v>9</v>
      </c>
      <c r="B52" s="10" t="s">
        <v>567</v>
      </c>
      <c r="C52" s="33">
        <v>153.66999999999999</v>
      </c>
      <c r="D52" s="24">
        <f t="shared" si="10"/>
        <v>3.0971926338129507E-2</v>
      </c>
      <c r="E52" s="25"/>
    </row>
    <row r="53" spans="1:5" s="26" customFormat="1" ht="24.95" customHeight="1" thickBot="1" x14ac:dyDescent="0.3">
      <c r="A53" s="412">
        <v>10</v>
      </c>
      <c r="B53" s="16" t="s">
        <v>116</v>
      </c>
      <c r="C53" s="34">
        <v>153.63</v>
      </c>
      <c r="D53" s="27">
        <f t="shared" si="10"/>
        <v>3.096386440636973E-2</v>
      </c>
      <c r="E53" s="25"/>
    </row>
    <row r="54" spans="1:5" x14ac:dyDescent="0.25">
      <c r="A54" s="441" t="s">
        <v>1111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1101" priority="33" operator="containsText" text="024">
      <formula>NOT(ISERROR(SEARCH("024",A12)))</formula>
    </cfRule>
    <cfRule type="containsText" dxfId="1100" priority="34" operator="containsText" text="白醬">
      <formula>NOT(ISERROR(SEARCH("白醬",A12)))</formula>
    </cfRule>
    <cfRule type="containsText" dxfId="1099" priority="35" operator="containsText" text="青蔥">
      <formula>NOT(ISERROR(SEARCH("青蔥",A12)))</formula>
    </cfRule>
    <cfRule type="containsText" dxfId="1098" priority="36" operator="containsText" text=")川燙小青花菜">
      <formula>NOT(ISERROR(SEARCH(")川燙小青花菜",A12)))</formula>
    </cfRule>
    <cfRule type="containsText" dxfId="1097" priority="37" operator="containsText" text="湯凍">
      <formula>NOT(ISERROR(SEARCH("湯凍",A12)))</formula>
    </cfRule>
    <cfRule type="containsText" dxfId="1096" priority="38" operator="containsText" text="中華">
      <formula>NOT(ISERROR(SEARCH("中華",A12)))</formula>
    </cfRule>
  </conditionalFormatting>
  <conditionalFormatting sqref="A12:A22">
    <cfRule type="containsText" dxfId="1095" priority="31" operator="containsText" text="綠豆芽">
      <formula>NOT(ISERROR(SEARCH("綠豆芽",A12)))</formula>
    </cfRule>
    <cfRule type="containsText" dxfId="1094" priority="32" operator="containsText" text="煮白細麵生(方#12)">
      <formula>NOT(ISERROR(SEARCH("煮白細麵生(方#12)",A12)))</formula>
    </cfRule>
  </conditionalFormatting>
  <conditionalFormatting sqref="E5">
    <cfRule type="cellIs" dxfId="1093" priority="16" operator="greaterThan">
      <formula>0.0025</formula>
    </cfRule>
    <cfRule type="cellIs" dxfId="1092" priority="19" operator="greaterThan">
      <formula>0.0025</formula>
    </cfRule>
    <cfRule type="cellIs" dxfId="1091" priority="29" operator="greaterThan">
      <formula>0.072</formula>
    </cfRule>
    <cfRule type="cellIs" dxfId="1090" priority="30" operator="greaterThan">
      <formula>7.2</formula>
    </cfRule>
  </conditionalFormatting>
  <conditionalFormatting sqref="E5">
    <cfRule type="cellIs" dxfId="1089" priority="28" operator="greaterThan">
      <formula>0.0025</formula>
    </cfRule>
  </conditionalFormatting>
  <conditionalFormatting sqref="A44:A53">
    <cfRule type="containsText" dxfId="1088" priority="22" operator="containsText" text="024">
      <formula>NOT(ISERROR(SEARCH("024",A44)))</formula>
    </cfRule>
    <cfRule type="containsText" dxfId="1087" priority="23" operator="containsText" text="白醬">
      <formula>NOT(ISERROR(SEARCH("白醬",A44)))</formula>
    </cfRule>
    <cfRule type="containsText" dxfId="1086" priority="24" operator="containsText" text="青蔥">
      <formula>NOT(ISERROR(SEARCH("青蔥",A44)))</formula>
    </cfRule>
    <cfRule type="containsText" dxfId="1085" priority="25" operator="containsText" text=")川燙小青花菜">
      <formula>NOT(ISERROR(SEARCH(")川燙小青花菜",A44)))</formula>
    </cfRule>
    <cfRule type="containsText" dxfId="1084" priority="26" operator="containsText" text="湯凍">
      <formula>NOT(ISERROR(SEARCH("湯凍",A44)))</formula>
    </cfRule>
    <cfRule type="containsText" dxfId="1083" priority="27" operator="containsText" text="中華">
      <formula>NOT(ISERROR(SEARCH("中華",A44)))</formula>
    </cfRule>
  </conditionalFormatting>
  <conditionalFormatting sqref="A44:A53">
    <cfRule type="containsText" dxfId="1082" priority="20" operator="containsText" text="綠豆芽">
      <formula>NOT(ISERROR(SEARCH("綠豆芽",A44)))</formula>
    </cfRule>
    <cfRule type="containsText" dxfId="1081" priority="21" operator="containsText" text="煮白細麵生(方#12)">
      <formula>NOT(ISERROR(SEARCH("煮白細麵生(方#12)",A44)))</formula>
    </cfRule>
  </conditionalFormatting>
  <conditionalFormatting sqref="D44:D53">
    <cfRule type="cellIs" dxfId="1080" priority="18" operator="greaterThan">
      <formula>0.146</formula>
    </cfRule>
  </conditionalFormatting>
  <conditionalFormatting sqref="H12:H22">
    <cfRule type="cellIs" dxfId="1079" priority="17" operator="greaterThan">
      <formula>1.1</formula>
    </cfRule>
  </conditionalFormatting>
  <conditionalFormatting sqref="I5">
    <cfRule type="cellIs" dxfId="1078" priority="15" operator="greaterThan">
      <formula>0.2</formula>
    </cfRule>
  </conditionalFormatting>
  <conditionalFormatting sqref="A28:A37">
    <cfRule type="containsText" dxfId="1077" priority="9" operator="containsText" text="024">
      <formula>NOT(ISERROR(SEARCH("024",A28)))</formula>
    </cfRule>
    <cfRule type="containsText" dxfId="1076" priority="10" operator="containsText" text="白醬">
      <formula>NOT(ISERROR(SEARCH("白醬",A28)))</formula>
    </cfRule>
    <cfRule type="containsText" dxfId="1075" priority="11" operator="containsText" text="青蔥">
      <formula>NOT(ISERROR(SEARCH("青蔥",A28)))</formula>
    </cfRule>
    <cfRule type="containsText" dxfId="1074" priority="12" operator="containsText" text=")川燙小青花菜">
      <formula>NOT(ISERROR(SEARCH(")川燙小青花菜",A28)))</formula>
    </cfRule>
    <cfRule type="containsText" dxfId="1073" priority="13" operator="containsText" text="湯凍">
      <formula>NOT(ISERROR(SEARCH("湯凍",A28)))</formula>
    </cfRule>
    <cfRule type="containsText" dxfId="1072" priority="14" operator="containsText" text="中華">
      <formula>NOT(ISERROR(SEARCH("中華",A28)))</formula>
    </cfRule>
  </conditionalFormatting>
  <conditionalFormatting sqref="A28:A37">
    <cfRule type="containsText" dxfId="1071" priority="7" operator="containsText" text="綠豆芽">
      <formula>NOT(ISERROR(SEARCH("綠豆芽",A28)))</formula>
    </cfRule>
    <cfRule type="containsText" dxfId="1070" priority="8" operator="containsText" text="煮白細麵生(方#12)">
      <formula>NOT(ISERROR(SEARCH("煮白細麵生(方#12)",A28)))</formula>
    </cfRule>
  </conditionalFormatting>
  <conditionalFormatting sqref="H28:H37">
    <cfRule type="cellIs" dxfId="1069" priority="6" operator="greaterThan">
      <formula>1.1</formula>
    </cfRule>
  </conditionalFormatting>
  <conditionalFormatting sqref="G5">
    <cfRule type="cellIs" dxfId="1068" priority="1" operator="greaterThan">
      <formula>0.0025</formula>
    </cfRule>
    <cfRule type="cellIs" dxfId="1067" priority="2" operator="greaterThan">
      <formula>0.0025</formula>
    </cfRule>
    <cfRule type="cellIs" dxfId="1066" priority="4" operator="greaterThan">
      <formula>0.072</formula>
    </cfRule>
    <cfRule type="cellIs" dxfId="1065" priority="5" operator="greaterThan">
      <formula>7.2</formula>
    </cfRule>
  </conditionalFormatting>
  <conditionalFormatting sqref="G5">
    <cfRule type="cellIs" dxfId="106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K4" zoomScale="50" zoomScaleNormal="5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536" t="s">
        <v>92</v>
      </c>
      <c r="B2" s="537"/>
      <c r="C2" s="377" t="s">
        <v>93</v>
      </c>
      <c r="D2" s="538" t="s">
        <v>94</v>
      </c>
      <c r="E2" s="538"/>
      <c r="F2" s="538" t="s">
        <v>95</v>
      </c>
      <c r="G2" s="538"/>
      <c r="H2" s="538" t="s">
        <v>94</v>
      </c>
      <c r="I2" s="538"/>
      <c r="J2" s="538" t="s">
        <v>95</v>
      </c>
      <c r="K2" s="538"/>
      <c r="L2" s="538" t="s">
        <v>94</v>
      </c>
      <c r="M2" s="539"/>
      <c r="R2" s="54"/>
    </row>
    <row r="3" spans="1:18" s="1" customFormat="1" ht="28.5" x14ac:dyDescent="0.45">
      <c r="A3" s="533">
        <v>45897</v>
      </c>
      <c r="B3" s="534"/>
      <c r="C3" s="535">
        <v>5359266.3099999996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533"/>
      <c r="B4" s="534"/>
      <c r="C4" s="53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531" t="s">
        <v>105</v>
      </c>
      <c r="B5" s="532"/>
      <c r="C5" s="532"/>
      <c r="D5" s="378">
        <v>13027.68</v>
      </c>
      <c r="E5" s="5">
        <f>D5/C3</f>
        <v>2.4308700569126971E-3</v>
      </c>
      <c r="F5" s="378">
        <v>40204.629999999976</v>
      </c>
      <c r="G5" s="44">
        <f>F5/C3</f>
        <v>7.5018906832416731E-3</v>
      </c>
      <c r="H5" s="6">
        <f>SUM(C12:C21)</f>
        <v>3495.16</v>
      </c>
      <c r="I5" s="7">
        <f>H5/D5</f>
        <v>0.26828721614285889</v>
      </c>
      <c r="J5" s="6">
        <f>SUM(C28:C37)</f>
        <v>12036.149999999998</v>
      </c>
      <c r="K5" s="46">
        <f>J5/F5</f>
        <v>0.2993722364812213</v>
      </c>
      <c r="L5" s="8">
        <v>6563.25</v>
      </c>
      <c r="M5" s="46">
        <f>L5/D5</f>
        <v>0.5037926937106223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126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127</v>
      </c>
      <c r="B8" s="447"/>
      <c r="C8" s="447"/>
      <c r="D8" s="447" t="s">
        <v>128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129</v>
      </c>
      <c r="P8" s="457" t="s">
        <v>604</v>
      </c>
      <c r="Q8" s="456" t="s">
        <v>605</v>
      </c>
      <c r="R8" s="518" t="s">
        <v>131</v>
      </c>
    </row>
    <row r="9" spans="1:18" ht="20.45" customHeight="1" x14ac:dyDescent="0.25">
      <c r="A9" s="519" t="s">
        <v>132</v>
      </c>
      <c r="B9" s="461" t="s">
        <v>133</v>
      </c>
      <c r="C9" s="462"/>
      <c r="D9" s="463" t="s">
        <v>134</v>
      </c>
      <c r="E9" s="463"/>
      <c r="F9" s="463"/>
      <c r="G9" s="463"/>
      <c r="H9" s="463"/>
      <c r="I9" s="463"/>
      <c r="J9" s="464" t="s">
        <v>135</v>
      </c>
      <c r="K9" s="464"/>
      <c r="L9" s="464"/>
      <c r="M9" s="465"/>
      <c r="N9" s="465"/>
      <c r="O9" s="456"/>
      <c r="P9" s="456"/>
      <c r="Q9" s="456"/>
      <c r="R9" s="518"/>
    </row>
    <row r="10" spans="1:18" ht="20.45" customHeight="1" x14ac:dyDescent="0.3">
      <c r="A10" s="520"/>
      <c r="B10" s="522" t="s">
        <v>136</v>
      </c>
      <c r="C10" s="524" t="s">
        <v>137</v>
      </c>
      <c r="D10" s="526" t="s">
        <v>110</v>
      </c>
      <c r="E10" s="526"/>
      <c r="F10" s="526"/>
      <c r="G10" s="526"/>
      <c r="H10" s="526"/>
      <c r="I10" s="526"/>
      <c r="J10" s="527" t="s">
        <v>138</v>
      </c>
      <c r="K10" s="529"/>
      <c r="L10" s="530" t="s">
        <v>139</v>
      </c>
      <c r="M10" s="527"/>
      <c r="N10" s="527"/>
      <c r="O10" s="456"/>
      <c r="P10" s="456"/>
      <c r="Q10" s="456"/>
      <c r="R10" s="518"/>
    </row>
    <row r="11" spans="1:18" s="55" customFormat="1" ht="47.25" customHeight="1" x14ac:dyDescent="0.25">
      <c r="A11" s="521"/>
      <c r="B11" s="523"/>
      <c r="C11" s="525"/>
      <c r="D11" s="379" t="s">
        <v>140</v>
      </c>
      <c r="E11" s="379" t="s">
        <v>141</v>
      </c>
      <c r="F11" s="379" t="s">
        <v>142</v>
      </c>
      <c r="G11" s="379" t="s">
        <v>143</v>
      </c>
      <c r="H11" s="379" t="s">
        <v>144</v>
      </c>
      <c r="I11" s="379" t="s">
        <v>145</v>
      </c>
      <c r="J11" s="380" t="s">
        <v>146</v>
      </c>
      <c r="K11" s="380" t="s">
        <v>147</v>
      </c>
      <c r="L11" s="380" t="s">
        <v>146</v>
      </c>
      <c r="M11" s="380" t="s">
        <v>147</v>
      </c>
      <c r="N11" s="381" t="s">
        <v>149</v>
      </c>
      <c r="O11" s="456"/>
      <c r="P11" s="456"/>
      <c r="Q11" s="456"/>
      <c r="R11" s="518"/>
    </row>
    <row r="12" spans="1:18" s="15" customFormat="1" ht="24.95" customHeight="1" x14ac:dyDescent="0.25">
      <c r="A12" s="382">
        <v>1</v>
      </c>
      <c r="B12" s="10" t="s">
        <v>706</v>
      </c>
      <c r="C12" s="33">
        <v>618.76</v>
      </c>
      <c r="D12" s="56">
        <v>250.39</v>
      </c>
      <c r="E12" s="56">
        <v>250.39</v>
      </c>
      <c r="F12" s="56">
        <v>24.98</v>
      </c>
      <c r="G12" s="33">
        <v>95.34</v>
      </c>
      <c r="H12" s="11">
        <f t="shared" ref="H12:H21" si="0">(E12+F12)/D12</f>
        <v>1.0997643675865649</v>
      </c>
      <c r="I12" s="33">
        <v>2381.59</v>
      </c>
      <c r="J12" s="56">
        <v>6.49</v>
      </c>
      <c r="K12" s="12">
        <f t="shared" ref="K12:K21" si="1">J12/D12</f>
        <v>2.591956547785455E-2</v>
      </c>
      <c r="L12" s="383">
        <f t="shared" ref="L12:L21" si="2">((E12+F12)-D12)-J12</f>
        <v>18.490000000000016</v>
      </c>
      <c r="M12" s="13">
        <f t="shared" ref="M12:M21" si="3">L12/D12</f>
        <v>7.3844802108710486E-2</v>
      </c>
      <c r="N12" s="384">
        <f t="shared" ref="N12:N21" si="4">L12*G12</f>
        <v>1762.8366000000017</v>
      </c>
      <c r="O12" s="66" t="s">
        <v>584</v>
      </c>
      <c r="P12" s="66" t="s">
        <v>672</v>
      </c>
      <c r="Q12" s="66" t="s">
        <v>975</v>
      </c>
      <c r="R12" s="28" t="s">
        <v>25</v>
      </c>
    </row>
    <row r="13" spans="1:18" s="15" customFormat="1" ht="24.95" customHeight="1" x14ac:dyDescent="0.25">
      <c r="A13" s="385">
        <v>2</v>
      </c>
      <c r="B13" s="10" t="s">
        <v>788</v>
      </c>
      <c r="C13" s="33">
        <v>477.11</v>
      </c>
      <c r="D13" s="56">
        <v>73.78</v>
      </c>
      <c r="E13" s="56">
        <v>73.78</v>
      </c>
      <c r="F13" s="56">
        <v>7.32</v>
      </c>
      <c r="G13" s="33">
        <v>114.14</v>
      </c>
      <c r="H13" s="11">
        <f t="shared" si="0"/>
        <v>1.099213879100027</v>
      </c>
      <c r="I13" s="33">
        <v>835.5</v>
      </c>
      <c r="J13" s="56">
        <v>4.18</v>
      </c>
      <c r="K13" s="12">
        <f t="shared" si="1"/>
        <v>5.6654920032529137E-2</v>
      </c>
      <c r="L13" s="383">
        <f t="shared" si="2"/>
        <v>3.1399999999999935</v>
      </c>
      <c r="M13" s="13">
        <f t="shared" si="3"/>
        <v>4.2558959067497876E-2</v>
      </c>
      <c r="N13" s="384">
        <f t="shared" si="4"/>
        <v>358.39959999999928</v>
      </c>
      <c r="O13" s="66" t="s">
        <v>584</v>
      </c>
      <c r="P13" s="66" t="s">
        <v>672</v>
      </c>
      <c r="Q13" s="66" t="s">
        <v>975</v>
      </c>
      <c r="R13" s="28" t="s">
        <v>789</v>
      </c>
    </row>
    <row r="14" spans="1:18" s="57" customFormat="1" ht="24.95" customHeight="1" x14ac:dyDescent="0.25">
      <c r="A14" s="385">
        <v>3</v>
      </c>
      <c r="B14" s="10" t="s">
        <v>43</v>
      </c>
      <c r="C14" s="33">
        <v>465.17</v>
      </c>
      <c r="D14" s="56">
        <v>32.450000000000003</v>
      </c>
      <c r="E14" s="56">
        <v>27.3</v>
      </c>
      <c r="F14" s="56">
        <v>8.3699999999999992</v>
      </c>
      <c r="G14" s="33">
        <v>113.18</v>
      </c>
      <c r="H14" s="11">
        <f t="shared" si="0"/>
        <v>1.0992295839753465</v>
      </c>
      <c r="I14" s="33">
        <v>364.44</v>
      </c>
      <c r="J14" s="56">
        <v>4.1100000000000003</v>
      </c>
      <c r="K14" s="12">
        <f t="shared" si="1"/>
        <v>0.12665639445300461</v>
      </c>
      <c r="L14" s="383">
        <f t="shared" si="2"/>
        <v>-0.89000000000000146</v>
      </c>
      <c r="M14" s="13">
        <f t="shared" si="3"/>
        <v>-2.7426810477657979E-2</v>
      </c>
      <c r="N14" s="384">
        <f t="shared" si="4"/>
        <v>-100.73020000000017</v>
      </c>
      <c r="O14" s="66" t="s">
        <v>584</v>
      </c>
      <c r="P14" s="66" t="s">
        <v>672</v>
      </c>
      <c r="Q14" s="66" t="s">
        <v>585</v>
      </c>
      <c r="R14" s="28" t="s">
        <v>89</v>
      </c>
    </row>
    <row r="15" spans="1:18" s="15" customFormat="1" ht="24.95" customHeight="1" x14ac:dyDescent="0.25">
      <c r="A15" s="382">
        <v>4</v>
      </c>
      <c r="B15" s="10" t="s">
        <v>36</v>
      </c>
      <c r="C15" s="33">
        <v>429.44</v>
      </c>
      <c r="D15" s="56">
        <v>280.20999999999998</v>
      </c>
      <c r="E15" s="56">
        <v>280.20999999999998</v>
      </c>
      <c r="F15" s="56">
        <v>19</v>
      </c>
      <c r="G15" s="33">
        <v>156.72999999999999</v>
      </c>
      <c r="H15" s="11">
        <f t="shared" si="0"/>
        <v>1.0678062881410371</v>
      </c>
      <c r="I15" s="33">
        <v>2977.87</v>
      </c>
      <c r="J15" s="56">
        <v>2.74</v>
      </c>
      <c r="K15" s="12">
        <f t="shared" si="1"/>
        <v>9.7783805003390321E-3</v>
      </c>
      <c r="L15" s="383">
        <f t="shared" si="2"/>
        <v>16.259999999999998</v>
      </c>
      <c r="M15" s="13">
        <f t="shared" si="3"/>
        <v>5.8027907640698047E-2</v>
      </c>
      <c r="N15" s="384">
        <f t="shared" si="4"/>
        <v>2548.4297999999994</v>
      </c>
      <c r="O15" s="66" t="s">
        <v>18</v>
      </c>
      <c r="P15" s="66" t="s">
        <v>673</v>
      </c>
      <c r="Q15" s="66" t="s">
        <v>583</v>
      </c>
      <c r="R15" s="28" t="s">
        <v>25</v>
      </c>
    </row>
    <row r="16" spans="1:18" s="57" customFormat="1" ht="24.95" customHeight="1" x14ac:dyDescent="0.25">
      <c r="A16" s="385">
        <v>5</v>
      </c>
      <c r="B16" s="10" t="s">
        <v>369</v>
      </c>
      <c r="C16" s="33">
        <v>297.29000000000002</v>
      </c>
      <c r="D16" s="56">
        <v>51.18</v>
      </c>
      <c r="E16" s="56">
        <v>51.18</v>
      </c>
      <c r="F16" s="56">
        <v>5.1100000000000003</v>
      </c>
      <c r="G16" s="33">
        <v>124.39</v>
      </c>
      <c r="H16" s="11">
        <f t="shared" si="0"/>
        <v>1.0998436889409926</v>
      </c>
      <c r="I16" s="33">
        <v>635.63</v>
      </c>
      <c r="J16" s="56">
        <v>2.39</v>
      </c>
      <c r="K16" s="12">
        <f t="shared" si="1"/>
        <v>4.6697928878468152E-2</v>
      </c>
      <c r="L16" s="383">
        <f t="shared" si="2"/>
        <v>2.7199999999999993</v>
      </c>
      <c r="M16" s="13">
        <f t="shared" si="3"/>
        <v>5.3145760062524409E-2</v>
      </c>
      <c r="N16" s="384">
        <f t="shared" si="4"/>
        <v>338.34079999999989</v>
      </c>
      <c r="O16" s="66" t="s">
        <v>18</v>
      </c>
      <c r="P16" s="66" t="s">
        <v>673</v>
      </c>
      <c r="Q16" s="66" t="s">
        <v>590</v>
      </c>
      <c r="R16" s="28" t="s">
        <v>78</v>
      </c>
    </row>
    <row r="17" spans="1:18" s="15" customFormat="1" ht="24.95" customHeight="1" x14ac:dyDescent="0.25">
      <c r="A17" s="382">
        <v>6</v>
      </c>
      <c r="B17" s="10" t="s">
        <v>38</v>
      </c>
      <c r="C17" s="33">
        <v>286.45999999999998</v>
      </c>
      <c r="D17" s="56">
        <v>222.15</v>
      </c>
      <c r="E17" s="56">
        <v>222.15</v>
      </c>
      <c r="F17" s="56">
        <v>9.36</v>
      </c>
      <c r="G17" s="33">
        <v>99.12</v>
      </c>
      <c r="H17" s="11">
        <f t="shared" si="0"/>
        <v>1.0421336934503713</v>
      </c>
      <c r="I17" s="33">
        <v>927.76</v>
      </c>
      <c r="J17" s="56">
        <v>2.89</v>
      </c>
      <c r="K17" s="12">
        <f t="shared" si="1"/>
        <v>1.3009227999099707E-2</v>
      </c>
      <c r="L17" s="383">
        <f t="shared" si="2"/>
        <v>6.4699999999999847</v>
      </c>
      <c r="M17" s="13">
        <f t="shared" si="3"/>
        <v>2.9124465451271595E-2</v>
      </c>
      <c r="N17" s="384">
        <f t="shared" si="4"/>
        <v>641.30639999999846</v>
      </c>
      <c r="O17" s="66" t="s">
        <v>584</v>
      </c>
      <c r="P17" s="66" t="s">
        <v>672</v>
      </c>
      <c r="Q17" s="66" t="s">
        <v>585</v>
      </c>
      <c r="R17" s="28" t="s">
        <v>25</v>
      </c>
    </row>
    <row r="18" spans="1:18" s="57" customFormat="1" ht="24.95" customHeight="1" x14ac:dyDescent="0.25">
      <c r="A18" s="385">
        <v>7</v>
      </c>
      <c r="B18" s="10" t="s">
        <v>37</v>
      </c>
      <c r="C18" s="33">
        <v>235.11</v>
      </c>
      <c r="D18" s="56">
        <v>339.98</v>
      </c>
      <c r="E18" s="56">
        <v>339.98</v>
      </c>
      <c r="F18" s="56">
        <v>15.7</v>
      </c>
      <c r="G18" s="33">
        <v>156.74</v>
      </c>
      <c r="H18" s="11">
        <f t="shared" si="0"/>
        <v>1.0461791870110007</v>
      </c>
      <c r="I18" s="33">
        <v>2460.8200000000002</v>
      </c>
      <c r="J18" s="56">
        <v>1.5</v>
      </c>
      <c r="K18" s="12">
        <f t="shared" si="1"/>
        <v>4.4120242367198066E-3</v>
      </c>
      <c r="L18" s="383">
        <f t="shared" si="2"/>
        <v>14.199999999999989</v>
      </c>
      <c r="M18" s="13">
        <f t="shared" si="3"/>
        <v>4.1767162774280803E-2</v>
      </c>
      <c r="N18" s="384">
        <f t="shared" si="4"/>
        <v>2225.7079999999983</v>
      </c>
      <c r="O18" s="66" t="s">
        <v>18</v>
      </c>
      <c r="P18" s="66" t="s">
        <v>673</v>
      </c>
      <c r="Q18" s="66" t="s">
        <v>583</v>
      </c>
      <c r="R18" s="28" t="s">
        <v>25</v>
      </c>
    </row>
    <row r="19" spans="1:18" s="15" customFormat="1" ht="24.95" customHeight="1" x14ac:dyDescent="0.25">
      <c r="A19" s="382">
        <v>8</v>
      </c>
      <c r="B19" s="10" t="s">
        <v>786</v>
      </c>
      <c r="C19" s="33">
        <v>233.74</v>
      </c>
      <c r="D19" s="56">
        <v>12964</v>
      </c>
      <c r="E19" s="56">
        <v>12964</v>
      </c>
      <c r="F19" s="56">
        <v>80.569999999999993</v>
      </c>
      <c r="G19" s="33">
        <v>5.8</v>
      </c>
      <c r="H19" s="11">
        <f t="shared" si="0"/>
        <v>1.0062149028077754</v>
      </c>
      <c r="I19" s="33">
        <v>467.31</v>
      </c>
      <c r="J19" s="56">
        <v>40.299999999999997</v>
      </c>
      <c r="K19" s="12">
        <f t="shared" si="1"/>
        <v>3.1086084541808081E-3</v>
      </c>
      <c r="L19" s="383">
        <f t="shared" si="2"/>
        <v>40.269999999999712</v>
      </c>
      <c r="M19" s="13">
        <f t="shared" si="3"/>
        <v>3.1062943535945472E-3</v>
      </c>
      <c r="N19" s="384">
        <f t="shared" si="4"/>
        <v>233.56599999999833</v>
      </c>
      <c r="O19" s="66" t="s">
        <v>584</v>
      </c>
      <c r="P19" s="66" t="s">
        <v>675</v>
      </c>
      <c r="Q19" s="66" t="s">
        <v>973</v>
      </c>
      <c r="R19" s="28" t="s">
        <v>25</v>
      </c>
    </row>
    <row r="20" spans="1:18" s="15" customFormat="1" ht="24.95" customHeight="1" x14ac:dyDescent="0.25">
      <c r="A20" s="385">
        <v>9</v>
      </c>
      <c r="B20" s="10" t="s">
        <v>787</v>
      </c>
      <c r="C20" s="33">
        <v>231.16</v>
      </c>
      <c r="D20" s="56">
        <v>6347</v>
      </c>
      <c r="E20" s="56">
        <v>6347</v>
      </c>
      <c r="F20" s="56">
        <v>70.760000000000005</v>
      </c>
      <c r="G20" s="33">
        <v>6.58</v>
      </c>
      <c r="H20" s="11">
        <f t="shared" si="0"/>
        <v>1.0111485741295101</v>
      </c>
      <c r="I20" s="33">
        <v>465.6</v>
      </c>
      <c r="J20" s="56">
        <v>35.130000000000003</v>
      </c>
      <c r="K20" s="12">
        <f t="shared" si="1"/>
        <v>5.5348983771860722E-3</v>
      </c>
      <c r="L20" s="383">
        <f t="shared" si="2"/>
        <v>35.630000000000216</v>
      </c>
      <c r="M20" s="13">
        <f t="shared" si="3"/>
        <v>5.6136757523239664E-3</v>
      </c>
      <c r="N20" s="384">
        <f t="shared" si="4"/>
        <v>234.44540000000143</v>
      </c>
      <c r="O20" s="66" t="s">
        <v>18</v>
      </c>
      <c r="P20" s="66" t="s">
        <v>673</v>
      </c>
      <c r="Q20" s="66" t="s">
        <v>974</v>
      </c>
      <c r="R20" s="28" t="s">
        <v>25</v>
      </c>
    </row>
    <row r="21" spans="1:18" s="15" customFormat="1" ht="24.95" customHeight="1" thickBot="1" x14ac:dyDescent="0.3">
      <c r="A21" s="386">
        <v>10</v>
      </c>
      <c r="B21" s="16" t="s">
        <v>34</v>
      </c>
      <c r="C21" s="34">
        <v>220.92</v>
      </c>
      <c r="D21" s="58">
        <v>21.74</v>
      </c>
      <c r="E21" s="58">
        <v>21.74</v>
      </c>
      <c r="F21" s="58">
        <v>2.17</v>
      </c>
      <c r="G21" s="34">
        <v>232.55</v>
      </c>
      <c r="H21" s="17">
        <f t="shared" si="0"/>
        <v>1.0998160073597056</v>
      </c>
      <c r="I21" s="34">
        <v>504.63</v>
      </c>
      <c r="J21" s="58">
        <v>0.95</v>
      </c>
      <c r="K21" s="18">
        <f t="shared" si="1"/>
        <v>4.3698252069917204E-2</v>
      </c>
      <c r="L21" s="387">
        <f t="shared" si="2"/>
        <v>1.2199999999999982</v>
      </c>
      <c r="M21" s="19">
        <f t="shared" si="3"/>
        <v>5.6117755289788331E-2</v>
      </c>
      <c r="N21" s="388">
        <f t="shared" si="4"/>
        <v>283.71099999999961</v>
      </c>
      <c r="O21" s="64" t="s">
        <v>584</v>
      </c>
      <c r="P21" s="64" t="s">
        <v>672</v>
      </c>
      <c r="Q21" s="64" t="s">
        <v>585</v>
      </c>
      <c r="R21" s="29" t="s">
        <v>25</v>
      </c>
    </row>
    <row r="22" spans="1:18" s="62" customFormat="1" ht="24.95" customHeight="1" thickBot="1" x14ac:dyDescent="0.3">
      <c r="A22" s="389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390"/>
      <c r="M22" s="30"/>
      <c r="N22" s="391"/>
      <c r="O22" s="61"/>
      <c r="P22" s="61"/>
      <c r="Q22" s="61"/>
      <c r="R22" s="59"/>
    </row>
    <row r="23" spans="1:18" s="62" customFormat="1" ht="40.5" customHeight="1" x14ac:dyDescent="0.25">
      <c r="A23" s="443" t="s">
        <v>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127</v>
      </c>
      <c r="B24" s="447"/>
      <c r="C24" s="447"/>
      <c r="D24" s="447" t="s">
        <v>128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129</v>
      </c>
      <c r="P24" s="457" t="s">
        <v>604</v>
      </c>
      <c r="Q24" s="456" t="s">
        <v>605</v>
      </c>
      <c r="R24" s="518" t="s">
        <v>131</v>
      </c>
    </row>
    <row r="25" spans="1:18" s="62" customFormat="1" ht="24.95" customHeight="1" x14ac:dyDescent="0.25">
      <c r="A25" s="519" t="s">
        <v>132</v>
      </c>
      <c r="B25" s="461" t="s">
        <v>133</v>
      </c>
      <c r="C25" s="462"/>
      <c r="D25" s="463" t="s">
        <v>134</v>
      </c>
      <c r="E25" s="463"/>
      <c r="F25" s="463"/>
      <c r="G25" s="463"/>
      <c r="H25" s="463"/>
      <c r="I25" s="463"/>
      <c r="J25" s="464" t="s">
        <v>135</v>
      </c>
      <c r="K25" s="464"/>
      <c r="L25" s="464"/>
      <c r="M25" s="465"/>
      <c r="N25" s="465"/>
      <c r="O25" s="456"/>
      <c r="P25" s="456"/>
      <c r="Q25" s="456"/>
      <c r="R25" s="518"/>
    </row>
    <row r="26" spans="1:18" s="62" customFormat="1" ht="24.95" customHeight="1" x14ac:dyDescent="0.3">
      <c r="A26" s="520"/>
      <c r="B26" s="522" t="s">
        <v>136</v>
      </c>
      <c r="C26" s="524" t="s">
        <v>158</v>
      </c>
      <c r="D26" s="526" t="s">
        <v>110</v>
      </c>
      <c r="E26" s="526"/>
      <c r="F26" s="526"/>
      <c r="G26" s="526"/>
      <c r="H26" s="526"/>
      <c r="I26" s="526"/>
      <c r="J26" s="527" t="s">
        <v>138</v>
      </c>
      <c r="K26" s="528"/>
      <c r="L26" s="529"/>
      <c r="M26" s="527" t="s">
        <v>139</v>
      </c>
      <c r="N26" s="529"/>
      <c r="O26" s="456"/>
      <c r="P26" s="456"/>
      <c r="Q26" s="456"/>
      <c r="R26" s="518"/>
    </row>
    <row r="27" spans="1:18" s="62" customFormat="1" ht="50.1" customHeight="1" x14ac:dyDescent="0.25">
      <c r="A27" s="521"/>
      <c r="B27" s="523"/>
      <c r="C27" s="525"/>
      <c r="D27" s="379" t="s">
        <v>140</v>
      </c>
      <c r="E27" s="379" t="s">
        <v>141</v>
      </c>
      <c r="F27" s="379" t="s">
        <v>142</v>
      </c>
      <c r="G27" s="379" t="s">
        <v>143</v>
      </c>
      <c r="H27" s="379" t="s">
        <v>144</v>
      </c>
      <c r="I27" s="379" t="s">
        <v>145</v>
      </c>
      <c r="J27" s="380" t="s">
        <v>146</v>
      </c>
      <c r="K27" s="380" t="s">
        <v>147</v>
      </c>
      <c r="L27" s="381" t="s">
        <v>149</v>
      </c>
      <c r="M27" s="380" t="s">
        <v>146</v>
      </c>
      <c r="N27" s="380" t="s">
        <v>147</v>
      </c>
      <c r="O27" s="456"/>
      <c r="P27" s="456"/>
      <c r="Q27" s="456"/>
      <c r="R27" s="518"/>
    </row>
    <row r="28" spans="1:18" s="62" customFormat="1" ht="24.95" customHeight="1" x14ac:dyDescent="0.25">
      <c r="A28" s="382">
        <v>1</v>
      </c>
      <c r="B28" s="10" t="s">
        <v>36</v>
      </c>
      <c r="C28" s="33">
        <v>2548.4299999999998</v>
      </c>
      <c r="D28" s="56">
        <v>280.20999999999998</v>
      </c>
      <c r="E28" s="56">
        <v>280.20999999999998</v>
      </c>
      <c r="F28" s="56">
        <v>19</v>
      </c>
      <c r="G28" s="33">
        <v>156.72999999999999</v>
      </c>
      <c r="H28" s="35">
        <f t="shared" ref="H28:H37" si="5">(E28+F28)/D28</f>
        <v>1.0678062881410371</v>
      </c>
      <c r="I28" s="33">
        <v>2977.87</v>
      </c>
      <c r="J28" s="56">
        <v>2.74</v>
      </c>
      <c r="K28" s="12">
        <f t="shared" ref="K28:K37" si="6">J28/D28</f>
        <v>9.7783805003390321E-3</v>
      </c>
      <c r="L28" s="384">
        <f t="shared" ref="L28:L37" si="7">J28*G28</f>
        <v>429.4402</v>
      </c>
      <c r="M28" s="383">
        <f t="shared" ref="M28:M37" si="8">((E28+F28)-D28)-J28</f>
        <v>16.259999999999998</v>
      </c>
      <c r="N28" s="13">
        <f t="shared" ref="N28:N37" si="9">M28/D28</f>
        <v>5.8027907640698047E-2</v>
      </c>
      <c r="O28" s="69" t="s">
        <v>22</v>
      </c>
      <c r="P28" s="14" t="s">
        <v>672</v>
      </c>
      <c r="Q28" s="14" t="s">
        <v>65</v>
      </c>
      <c r="R28" s="28" t="s">
        <v>25</v>
      </c>
    </row>
    <row r="29" spans="1:18" s="62" customFormat="1" ht="24.75" customHeight="1" x14ac:dyDescent="0.25">
      <c r="A29" s="385">
        <v>2</v>
      </c>
      <c r="B29" s="10" t="s">
        <v>37</v>
      </c>
      <c r="C29" s="33">
        <v>2225.71</v>
      </c>
      <c r="D29" s="56">
        <v>339.98</v>
      </c>
      <c r="E29" s="56">
        <v>339.98</v>
      </c>
      <c r="F29" s="56">
        <v>15.7</v>
      </c>
      <c r="G29" s="33">
        <v>156.74</v>
      </c>
      <c r="H29" s="35">
        <f t="shared" si="5"/>
        <v>1.0461791870110007</v>
      </c>
      <c r="I29" s="33">
        <v>2460.8200000000002</v>
      </c>
      <c r="J29" s="56">
        <v>1.5</v>
      </c>
      <c r="K29" s="12">
        <f t="shared" si="6"/>
        <v>4.4120242367198066E-3</v>
      </c>
      <c r="L29" s="384">
        <f t="shared" si="7"/>
        <v>235.11</v>
      </c>
      <c r="M29" s="383">
        <f t="shared" si="8"/>
        <v>14.199999999999989</v>
      </c>
      <c r="N29" s="13">
        <f t="shared" si="9"/>
        <v>4.1767162774280803E-2</v>
      </c>
      <c r="O29" s="69" t="s">
        <v>22</v>
      </c>
      <c r="P29" s="14" t="s">
        <v>672</v>
      </c>
      <c r="Q29" s="14" t="s">
        <v>65</v>
      </c>
      <c r="R29" s="28" t="s">
        <v>25</v>
      </c>
    </row>
    <row r="30" spans="1:18" s="62" customFormat="1" ht="24.95" customHeight="1" x14ac:dyDescent="0.25">
      <c r="A30" s="385">
        <v>3</v>
      </c>
      <c r="B30" s="10" t="s">
        <v>706</v>
      </c>
      <c r="C30" s="33">
        <v>1762.8300000000002</v>
      </c>
      <c r="D30" s="56">
        <v>250.39</v>
      </c>
      <c r="E30" s="56">
        <v>250.39</v>
      </c>
      <c r="F30" s="56">
        <v>24.98</v>
      </c>
      <c r="G30" s="33">
        <v>95.34</v>
      </c>
      <c r="H30" s="35">
        <f t="shared" si="5"/>
        <v>1.0997643675865649</v>
      </c>
      <c r="I30" s="33">
        <v>2381.59</v>
      </c>
      <c r="J30" s="32">
        <v>6.49</v>
      </c>
      <c r="K30" s="12">
        <f t="shared" si="6"/>
        <v>2.591956547785455E-2</v>
      </c>
      <c r="L30" s="384">
        <f t="shared" si="7"/>
        <v>618.75660000000005</v>
      </c>
      <c r="M30" s="383">
        <f t="shared" si="8"/>
        <v>18.490000000000016</v>
      </c>
      <c r="N30" s="13">
        <f t="shared" si="9"/>
        <v>7.3844802108710486E-2</v>
      </c>
      <c r="O30" s="69" t="s">
        <v>22</v>
      </c>
      <c r="P30" s="14" t="s">
        <v>672</v>
      </c>
      <c r="Q30" s="14" t="s">
        <v>84</v>
      </c>
      <c r="R30" s="28" t="s">
        <v>25</v>
      </c>
    </row>
    <row r="31" spans="1:18" s="62" customFormat="1" ht="24.95" customHeight="1" x14ac:dyDescent="0.25">
      <c r="A31" s="382">
        <v>4</v>
      </c>
      <c r="B31" s="10" t="s">
        <v>885</v>
      </c>
      <c r="C31" s="33">
        <v>805.99</v>
      </c>
      <c r="D31" s="56">
        <v>444.15</v>
      </c>
      <c r="E31" s="56">
        <v>444.15</v>
      </c>
      <c r="F31" s="56">
        <v>14.94</v>
      </c>
      <c r="G31" s="33">
        <v>59.22</v>
      </c>
      <c r="H31" s="35">
        <f t="shared" si="5"/>
        <v>1.0336372847011144</v>
      </c>
      <c r="I31" s="33">
        <v>884.75</v>
      </c>
      <c r="J31" s="56">
        <v>1.33</v>
      </c>
      <c r="K31" s="12">
        <f t="shared" si="6"/>
        <v>2.9944838455476758E-3</v>
      </c>
      <c r="L31" s="384">
        <f t="shared" si="7"/>
        <v>78.762600000000006</v>
      </c>
      <c r="M31" s="383">
        <f t="shared" si="8"/>
        <v>13.609999999999998</v>
      </c>
      <c r="N31" s="13">
        <f t="shared" si="9"/>
        <v>3.064280085556681E-2</v>
      </c>
      <c r="O31" s="69" t="s">
        <v>22</v>
      </c>
      <c r="P31" s="14" t="s">
        <v>672</v>
      </c>
      <c r="Q31" s="14" t="s">
        <v>892</v>
      </c>
      <c r="R31" s="28" t="s">
        <v>886</v>
      </c>
    </row>
    <row r="32" spans="1:18" s="62" customFormat="1" ht="24.95" customHeight="1" x14ac:dyDescent="0.25">
      <c r="A32" s="385">
        <v>5</v>
      </c>
      <c r="B32" s="10" t="s">
        <v>40</v>
      </c>
      <c r="C32" s="33">
        <v>794.04</v>
      </c>
      <c r="D32" s="56">
        <v>207.81</v>
      </c>
      <c r="E32" s="56">
        <v>207.81</v>
      </c>
      <c r="F32" s="56">
        <v>12.78</v>
      </c>
      <c r="G32" s="33">
        <v>78</v>
      </c>
      <c r="H32" s="35">
        <f t="shared" si="5"/>
        <v>1.061498484192291</v>
      </c>
      <c r="I32" s="33">
        <v>996.84</v>
      </c>
      <c r="J32" s="56">
        <v>2.6</v>
      </c>
      <c r="K32" s="12">
        <f t="shared" si="6"/>
        <v>1.25114287089168E-2</v>
      </c>
      <c r="L32" s="384">
        <f t="shared" si="7"/>
        <v>202.8</v>
      </c>
      <c r="M32" s="383">
        <f t="shared" si="8"/>
        <v>10.180000000000001</v>
      </c>
      <c r="N32" s="13">
        <f t="shared" si="9"/>
        <v>4.8987055483374245E-2</v>
      </c>
      <c r="O32" s="69" t="s">
        <v>22</v>
      </c>
      <c r="P32" s="14" t="s">
        <v>672</v>
      </c>
      <c r="Q32" s="14" t="s">
        <v>891</v>
      </c>
      <c r="R32" s="28" t="s">
        <v>25</v>
      </c>
    </row>
    <row r="33" spans="1:18" s="62" customFormat="1" ht="24.95" customHeight="1" x14ac:dyDescent="0.25">
      <c r="A33" s="382">
        <v>6</v>
      </c>
      <c r="B33" s="10" t="s">
        <v>35</v>
      </c>
      <c r="C33" s="33">
        <v>791.61</v>
      </c>
      <c r="D33" s="56">
        <v>93.24</v>
      </c>
      <c r="E33" s="56">
        <v>93.24</v>
      </c>
      <c r="F33" s="56">
        <v>2.36</v>
      </c>
      <c r="G33" s="33">
        <v>410.16</v>
      </c>
      <c r="H33" s="35">
        <f t="shared" si="5"/>
        <v>1.0253110253110254</v>
      </c>
      <c r="I33" s="33">
        <v>967.98</v>
      </c>
      <c r="J33" s="56">
        <v>0.43</v>
      </c>
      <c r="K33" s="12">
        <f t="shared" si="6"/>
        <v>4.6117546117546123E-3</v>
      </c>
      <c r="L33" s="384">
        <f t="shared" si="7"/>
        <v>176.36880000000002</v>
      </c>
      <c r="M33" s="383">
        <f t="shared" si="8"/>
        <v>1.9299999999999995</v>
      </c>
      <c r="N33" s="13">
        <f t="shared" si="9"/>
        <v>2.0699270699270696E-2</v>
      </c>
      <c r="O33" s="69" t="s">
        <v>22</v>
      </c>
      <c r="P33" s="14" t="s">
        <v>672</v>
      </c>
      <c r="Q33" s="14" t="s">
        <v>67</v>
      </c>
      <c r="R33" s="28" t="s">
        <v>25</v>
      </c>
    </row>
    <row r="34" spans="1:18" s="62" customFormat="1" ht="24.95" customHeight="1" x14ac:dyDescent="0.25">
      <c r="A34" s="385">
        <v>7</v>
      </c>
      <c r="B34" s="10" t="s">
        <v>46</v>
      </c>
      <c r="C34" s="33">
        <v>790.81</v>
      </c>
      <c r="D34" s="56">
        <v>20.89</v>
      </c>
      <c r="E34" s="56">
        <v>20.89</v>
      </c>
      <c r="F34" s="56">
        <v>1.08</v>
      </c>
      <c r="G34" s="33">
        <v>930.36</v>
      </c>
      <c r="H34" s="35">
        <f t="shared" si="5"/>
        <v>1.0516993776926757</v>
      </c>
      <c r="I34" s="33">
        <v>1004.79</v>
      </c>
      <c r="J34" s="56">
        <v>0.23</v>
      </c>
      <c r="K34" s="12">
        <f t="shared" si="6"/>
        <v>1.1010052656773576E-2</v>
      </c>
      <c r="L34" s="384">
        <f t="shared" si="7"/>
        <v>213.98280000000003</v>
      </c>
      <c r="M34" s="383">
        <f t="shared" si="8"/>
        <v>0.84999999999999831</v>
      </c>
      <c r="N34" s="13">
        <f t="shared" si="9"/>
        <v>4.0689325035902266E-2</v>
      </c>
      <c r="O34" s="69" t="s">
        <v>22</v>
      </c>
      <c r="P34" s="14" t="s">
        <v>672</v>
      </c>
      <c r="Q34" s="14" t="s">
        <v>84</v>
      </c>
      <c r="R34" s="28" t="s">
        <v>76</v>
      </c>
    </row>
    <row r="35" spans="1:18" s="62" customFormat="1" ht="24.95" customHeight="1" x14ac:dyDescent="0.25">
      <c r="A35" s="382">
        <v>8</v>
      </c>
      <c r="B35" s="10" t="s">
        <v>45</v>
      </c>
      <c r="C35" s="33">
        <v>773.52</v>
      </c>
      <c r="D35" s="56">
        <v>70.260000000000005</v>
      </c>
      <c r="E35" s="56">
        <v>70.260000000000005</v>
      </c>
      <c r="F35" s="56">
        <v>2.99</v>
      </c>
      <c r="G35" s="33">
        <v>318.32</v>
      </c>
      <c r="H35" s="35">
        <f t="shared" si="5"/>
        <v>1.042556219755195</v>
      </c>
      <c r="I35" s="33">
        <v>951.78</v>
      </c>
      <c r="J35" s="56">
        <v>0.56000000000000005</v>
      </c>
      <c r="K35" s="12">
        <f t="shared" si="6"/>
        <v>7.970395673213778E-3</v>
      </c>
      <c r="L35" s="384">
        <f t="shared" si="7"/>
        <v>178.25920000000002</v>
      </c>
      <c r="M35" s="383">
        <f t="shared" si="8"/>
        <v>2.4299999999999948</v>
      </c>
      <c r="N35" s="13">
        <f t="shared" si="9"/>
        <v>3.4585824081981138E-2</v>
      </c>
      <c r="O35" s="69" t="s">
        <v>22</v>
      </c>
      <c r="P35" s="14" t="s">
        <v>672</v>
      </c>
      <c r="Q35" s="14" t="s">
        <v>67</v>
      </c>
      <c r="R35" s="28" t="s">
        <v>76</v>
      </c>
    </row>
    <row r="36" spans="1:18" s="62" customFormat="1" ht="24.95" customHeight="1" x14ac:dyDescent="0.25">
      <c r="A36" s="385">
        <v>9</v>
      </c>
      <c r="B36" s="10" t="s">
        <v>39</v>
      </c>
      <c r="C36" s="33">
        <v>771.61999999999989</v>
      </c>
      <c r="D36" s="56">
        <v>93.24</v>
      </c>
      <c r="E36" s="56">
        <v>93.24</v>
      </c>
      <c r="F36" s="56">
        <v>9.0500000000000007</v>
      </c>
      <c r="G36" s="33">
        <v>104.84</v>
      </c>
      <c r="H36" s="35">
        <f t="shared" si="5"/>
        <v>1.0970613470613471</v>
      </c>
      <c r="I36" s="33">
        <v>948.8</v>
      </c>
      <c r="J36" s="56">
        <v>1.69</v>
      </c>
      <c r="K36" s="12">
        <f t="shared" si="6"/>
        <v>1.8125268125268126E-2</v>
      </c>
      <c r="L36" s="384">
        <f t="shared" si="7"/>
        <v>177.17959999999999</v>
      </c>
      <c r="M36" s="383">
        <f t="shared" si="8"/>
        <v>7.3599999999999977</v>
      </c>
      <c r="N36" s="13">
        <f t="shared" si="9"/>
        <v>7.8936078936078916E-2</v>
      </c>
      <c r="O36" s="69" t="s">
        <v>22</v>
      </c>
      <c r="P36" s="14" t="s">
        <v>672</v>
      </c>
      <c r="Q36" s="14" t="s">
        <v>408</v>
      </c>
      <c r="R36" s="28" t="s">
        <v>25</v>
      </c>
    </row>
    <row r="37" spans="1:18" s="62" customFormat="1" ht="24.95" customHeight="1" thickBot="1" x14ac:dyDescent="0.3">
      <c r="A37" s="386">
        <v>10</v>
      </c>
      <c r="B37" s="16" t="s">
        <v>824</v>
      </c>
      <c r="C37" s="34">
        <v>771.58999999999992</v>
      </c>
      <c r="D37" s="58">
        <v>226.06</v>
      </c>
      <c r="E37" s="58">
        <v>226.06</v>
      </c>
      <c r="F37" s="58">
        <v>21.15</v>
      </c>
      <c r="G37" s="34">
        <v>44.86</v>
      </c>
      <c r="H37" s="36">
        <f t="shared" si="5"/>
        <v>1.0935592320622844</v>
      </c>
      <c r="I37" s="34">
        <v>948.79</v>
      </c>
      <c r="J37" s="58">
        <v>3.95</v>
      </c>
      <c r="K37" s="18">
        <f t="shared" si="6"/>
        <v>1.7473237193665399E-2</v>
      </c>
      <c r="L37" s="388">
        <f t="shared" si="7"/>
        <v>177.197</v>
      </c>
      <c r="M37" s="387">
        <f t="shared" si="8"/>
        <v>17.200000000000006</v>
      </c>
      <c r="N37" s="19">
        <f t="shared" si="9"/>
        <v>7.6085994868618972E-2</v>
      </c>
      <c r="O37" s="52" t="s">
        <v>22</v>
      </c>
      <c r="P37" s="20" t="s">
        <v>672</v>
      </c>
      <c r="Q37" s="20" t="s">
        <v>894</v>
      </c>
      <c r="R37" s="65" t="s">
        <v>25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127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515" t="s">
        <v>132</v>
      </c>
      <c r="B41" s="450" t="s">
        <v>133</v>
      </c>
      <c r="C41" s="450"/>
      <c r="D41" s="451"/>
      <c r="E41" s="23"/>
      <c r="G41" s="21"/>
      <c r="H41" s="22"/>
    </row>
    <row r="42" spans="1:18" ht="20.45" customHeight="1" x14ac:dyDescent="0.35">
      <c r="A42" s="515"/>
      <c r="B42" s="516" t="s">
        <v>136</v>
      </c>
      <c r="C42" s="517" t="s">
        <v>137</v>
      </c>
      <c r="D42" s="518" t="s">
        <v>174</v>
      </c>
      <c r="E42" s="23"/>
      <c r="G42" s="21"/>
      <c r="H42" s="22"/>
    </row>
    <row r="43" spans="1:18" ht="20.45" customHeight="1" x14ac:dyDescent="0.35">
      <c r="A43" s="515"/>
      <c r="B43" s="516"/>
      <c r="C43" s="517"/>
      <c r="D43" s="518"/>
      <c r="E43" s="23"/>
      <c r="G43" s="21"/>
      <c r="H43" s="22"/>
    </row>
    <row r="44" spans="1:18" s="26" customFormat="1" ht="24.95" customHeight="1" x14ac:dyDescent="0.35">
      <c r="A44" s="392">
        <v>1</v>
      </c>
      <c r="B44" s="10" t="s">
        <v>706</v>
      </c>
      <c r="C44" s="33">
        <v>618.76</v>
      </c>
      <c r="D44" s="24">
        <f t="shared" ref="D44:D53" si="10">C44/$L$5</f>
        <v>9.427646364225041E-2</v>
      </c>
      <c r="E44" s="25"/>
      <c r="G44" s="21"/>
      <c r="H44" s="22"/>
    </row>
    <row r="45" spans="1:18" s="26" customFormat="1" ht="24.95" customHeight="1" x14ac:dyDescent="0.35">
      <c r="A45" s="393">
        <v>2</v>
      </c>
      <c r="B45" s="10" t="s">
        <v>36</v>
      </c>
      <c r="C45" s="33">
        <v>429.44</v>
      </c>
      <c r="D45" s="24">
        <f t="shared" si="10"/>
        <v>6.5430998362091958E-2</v>
      </c>
      <c r="E45" s="25"/>
      <c r="G45" s="21"/>
      <c r="H45" s="22"/>
    </row>
    <row r="46" spans="1:18" s="26" customFormat="1" ht="24.95" customHeight="1" x14ac:dyDescent="0.35">
      <c r="A46" s="393">
        <v>3</v>
      </c>
      <c r="B46" s="10" t="s">
        <v>38</v>
      </c>
      <c r="C46" s="33">
        <v>286.45999999999998</v>
      </c>
      <c r="D46" s="24">
        <f t="shared" si="10"/>
        <v>4.3646059497962138E-2</v>
      </c>
      <c r="E46" s="25"/>
      <c r="G46" s="21"/>
      <c r="H46" s="22"/>
    </row>
    <row r="47" spans="1:18" s="26" customFormat="1" ht="24.95" customHeight="1" x14ac:dyDescent="0.35">
      <c r="A47" s="392">
        <v>4</v>
      </c>
      <c r="B47" s="10" t="s">
        <v>37</v>
      </c>
      <c r="C47" s="33">
        <v>235.11</v>
      </c>
      <c r="D47" s="24">
        <f t="shared" si="10"/>
        <v>3.5822191749514343E-2</v>
      </c>
      <c r="E47" s="25"/>
      <c r="G47" s="21"/>
      <c r="H47" s="22"/>
    </row>
    <row r="48" spans="1:18" s="26" customFormat="1" ht="24.95" customHeight="1" x14ac:dyDescent="0.35">
      <c r="A48" s="393">
        <v>5</v>
      </c>
      <c r="B48" s="10" t="s">
        <v>786</v>
      </c>
      <c r="C48" s="33">
        <v>233.74</v>
      </c>
      <c r="D48" s="24">
        <f t="shared" si="10"/>
        <v>3.5613453700529464E-2</v>
      </c>
      <c r="E48" s="25"/>
      <c r="G48" s="21"/>
      <c r="H48" s="22"/>
    </row>
    <row r="49" spans="1:5" s="26" customFormat="1" ht="24.95" customHeight="1" x14ac:dyDescent="0.25">
      <c r="A49" s="392">
        <v>6</v>
      </c>
      <c r="B49" s="10" t="s">
        <v>787</v>
      </c>
      <c r="C49" s="33">
        <v>231.16</v>
      </c>
      <c r="D49" s="24">
        <f t="shared" si="10"/>
        <v>3.5220355768864509E-2</v>
      </c>
      <c r="E49" s="25"/>
    </row>
    <row r="50" spans="1:5" s="26" customFormat="1" ht="24.95" customHeight="1" x14ac:dyDescent="0.25">
      <c r="A50" s="393">
        <v>7</v>
      </c>
      <c r="B50" s="10" t="s">
        <v>34</v>
      </c>
      <c r="C50" s="33">
        <v>220.92</v>
      </c>
      <c r="D50" s="24">
        <f t="shared" si="10"/>
        <v>3.3660153125357098E-2</v>
      </c>
      <c r="E50" s="25"/>
    </row>
    <row r="51" spans="1:5" s="26" customFormat="1" ht="24.95" customHeight="1" x14ac:dyDescent="0.25">
      <c r="A51" s="392">
        <v>8</v>
      </c>
      <c r="B51" s="10" t="s">
        <v>795</v>
      </c>
      <c r="C51" s="33">
        <v>219.95</v>
      </c>
      <c r="D51" s="24">
        <f t="shared" si="10"/>
        <v>3.3512360492134227E-2</v>
      </c>
      <c r="E51" s="25"/>
    </row>
    <row r="52" spans="1:5" s="26" customFormat="1" ht="24.95" customHeight="1" x14ac:dyDescent="0.25">
      <c r="A52" s="393">
        <v>9</v>
      </c>
      <c r="B52" s="10" t="s">
        <v>33</v>
      </c>
      <c r="C52" s="33">
        <v>213.68</v>
      </c>
      <c r="D52" s="24">
        <f t="shared" si="10"/>
        <v>3.2557041100064757E-2</v>
      </c>
      <c r="E52" s="25"/>
    </row>
    <row r="53" spans="1:5" s="26" customFormat="1" ht="24.95" customHeight="1" thickBot="1" x14ac:dyDescent="0.3">
      <c r="A53" s="394">
        <v>10</v>
      </c>
      <c r="B53" s="16" t="s">
        <v>32</v>
      </c>
      <c r="C53" s="34">
        <v>210.76</v>
      </c>
      <c r="D53" s="27">
        <f t="shared" si="10"/>
        <v>3.2112139565002092E-2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1063" priority="33" operator="containsText" text="024">
      <formula>NOT(ISERROR(SEARCH("024",A12)))</formula>
    </cfRule>
    <cfRule type="containsText" dxfId="1062" priority="34" operator="containsText" text="白醬">
      <formula>NOT(ISERROR(SEARCH("白醬",A12)))</formula>
    </cfRule>
    <cfRule type="containsText" dxfId="1061" priority="35" operator="containsText" text="青蔥">
      <formula>NOT(ISERROR(SEARCH("青蔥",A12)))</formula>
    </cfRule>
    <cfRule type="containsText" dxfId="1060" priority="36" operator="containsText" text=")川燙小青花菜">
      <formula>NOT(ISERROR(SEARCH(")川燙小青花菜",A12)))</formula>
    </cfRule>
    <cfRule type="containsText" dxfId="1059" priority="37" operator="containsText" text="湯凍">
      <formula>NOT(ISERROR(SEARCH("湯凍",A12)))</formula>
    </cfRule>
    <cfRule type="containsText" dxfId="1058" priority="38" operator="containsText" text="中華">
      <formula>NOT(ISERROR(SEARCH("中華",A12)))</formula>
    </cfRule>
  </conditionalFormatting>
  <conditionalFormatting sqref="A12:A22">
    <cfRule type="containsText" dxfId="1057" priority="31" operator="containsText" text="綠豆芽">
      <formula>NOT(ISERROR(SEARCH("綠豆芽",A12)))</formula>
    </cfRule>
    <cfRule type="containsText" dxfId="1056" priority="32" operator="containsText" text="煮白細麵生(方#12)">
      <formula>NOT(ISERROR(SEARCH("煮白細麵生(方#12)",A12)))</formula>
    </cfRule>
  </conditionalFormatting>
  <conditionalFormatting sqref="E5">
    <cfRule type="cellIs" dxfId="1055" priority="16" operator="greaterThan">
      <formula>0.0025</formula>
    </cfRule>
    <cfRule type="cellIs" dxfId="1054" priority="19" operator="greaterThan">
      <formula>0.0025</formula>
    </cfRule>
    <cfRule type="cellIs" dxfId="1053" priority="29" operator="greaterThan">
      <formula>0.072</formula>
    </cfRule>
    <cfRule type="cellIs" dxfId="1052" priority="30" operator="greaterThan">
      <formula>7.2</formula>
    </cfRule>
  </conditionalFormatting>
  <conditionalFormatting sqref="E5">
    <cfRule type="cellIs" dxfId="1051" priority="28" operator="greaterThan">
      <formula>0.0025</formula>
    </cfRule>
  </conditionalFormatting>
  <conditionalFormatting sqref="A44:A53">
    <cfRule type="containsText" dxfId="1050" priority="22" operator="containsText" text="024">
      <formula>NOT(ISERROR(SEARCH("024",A44)))</formula>
    </cfRule>
    <cfRule type="containsText" dxfId="1049" priority="23" operator="containsText" text="白醬">
      <formula>NOT(ISERROR(SEARCH("白醬",A44)))</formula>
    </cfRule>
    <cfRule type="containsText" dxfId="1048" priority="24" operator="containsText" text="青蔥">
      <formula>NOT(ISERROR(SEARCH("青蔥",A44)))</formula>
    </cfRule>
    <cfRule type="containsText" dxfId="1047" priority="25" operator="containsText" text=")川燙小青花菜">
      <formula>NOT(ISERROR(SEARCH(")川燙小青花菜",A44)))</formula>
    </cfRule>
    <cfRule type="containsText" dxfId="1046" priority="26" operator="containsText" text="湯凍">
      <formula>NOT(ISERROR(SEARCH("湯凍",A44)))</formula>
    </cfRule>
    <cfRule type="containsText" dxfId="1045" priority="27" operator="containsText" text="中華">
      <formula>NOT(ISERROR(SEARCH("中華",A44)))</formula>
    </cfRule>
  </conditionalFormatting>
  <conditionalFormatting sqref="A44:A53">
    <cfRule type="containsText" dxfId="1044" priority="20" operator="containsText" text="綠豆芽">
      <formula>NOT(ISERROR(SEARCH("綠豆芽",A44)))</formula>
    </cfRule>
    <cfRule type="containsText" dxfId="1043" priority="21" operator="containsText" text="煮白細麵生(方#12)">
      <formula>NOT(ISERROR(SEARCH("煮白細麵生(方#12)",A44)))</formula>
    </cfRule>
  </conditionalFormatting>
  <conditionalFormatting sqref="D44:D53">
    <cfRule type="cellIs" dxfId="1042" priority="18" operator="greaterThan">
      <formula>0.146</formula>
    </cfRule>
  </conditionalFormatting>
  <conditionalFormatting sqref="H12:H22">
    <cfRule type="cellIs" dxfId="1041" priority="17" operator="greaterThan">
      <formula>1.1</formula>
    </cfRule>
  </conditionalFormatting>
  <conditionalFormatting sqref="I5">
    <cfRule type="cellIs" dxfId="1040" priority="15" operator="greaterThan">
      <formula>0.2</formula>
    </cfRule>
  </conditionalFormatting>
  <conditionalFormatting sqref="A28:A37">
    <cfRule type="containsText" dxfId="1039" priority="9" operator="containsText" text="024">
      <formula>NOT(ISERROR(SEARCH("024",A28)))</formula>
    </cfRule>
    <cfRule type="containsText" dxfId="1038" priority="10" operator="containsText" text="白醬">
      <formula>NOT(ISERROR(SEARCH("白醬",A28)))</formula>
    </cfRule>
    <cfRule type="containsText" dxfId="1037" priority="11" operator="containsText" text="青蔥">
      <formula>NOT(ISERROR(SEARCH("青蔥",A28)))</formula>
    </cfRule>
    <cfRule type="containsText" dxfId="1036" priority="12" operator="containsText" text=")川燙小青花菜">
      <formula>NOT(ISERROR(SEARCH(")川燙小青花菜",A28)))</formula>
    </cfRule>
    <cfRule type="containsText" dxfId="1035" priority="13" operator="containsText" text="湯凍">
      <formula>NOT(ISERROR(SEARCH("湯凍",A28)))</formula>
    </cfRule>
    <cfRule type="containsText" dxfId="1034" priority="14" operator="containsText" text="中華">
      <formula>NOT(ISERROR(SEARCH("中華",A28)))</formula>
    </cfRule>
  </conditionalFormatting>
  <conditionalFormatting sqref="A28:A37">
    <cfRule type="containsText" dxfId="1033" priority="7" operator="containsText" text="綠豆芽">
      <formula>NOT(ISERROR(SEARCH("綠豆芽",A28)))</formula>
    </cfRule>
    <cfRule type="containsText" dxfId="1032" priority="8" operator="containsText" text="煮白細麵生(方#12)">
      <formula>NOT(ISERROR(SEARCH("煮白細麵生(方#12)",A28)))</formula>
    </cfRule>
  </conditionalFormatting>
  <conditionalFormatting sqref="H28:H37">
    <cfRule type="cellIs" dxfId="1031" priority="6" operator="greaterThan">
      <formula>1.1</formula>
    </cfRule>
  </conditionalFormatting>
  <conditionalFormatting sqref="G5">
    <cfRule type="cellIs" dxfId="1030" priority="1" operator="greaterThan">
      <formula>0.0025</formula>
    </cfRule>
    <cfRule type="cellIs" dxfId="1029" priority="2" operator="greaterThan">
      <formula>0.0025</formula>
    </cfRule>
    <cfRule type="cellIs" dxfId="1028" priority="4" operator="greaterThan">
      <formula>0.072</formula>
    </cfRule>
    <cfRule type="cellIs" dxfId="1027" priority="5" operator="greaterThan">
      <formula>7.2</formula>
    </cfRule>
  </conditionalFormatting>
  <conditionalFormatting sqref="G5">
    <cfRule type="cellIs" dxfId="102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0" zoomScale="70" zoomScaleNormal="70" zoomScaleSheetLayoutView="70" workbookViewId="0">
      <selection activeCell="O12" sqref="O1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540" t="s">
        <v>92</v>
      </c>
      <c r="B2" s="541"/>
      <c r="C2" s="359" t="s">
        <v>93</v>
      </c>
      <c r="D2" s="542" t="s">
        <v>94</v>
      </c>
      <c r="E2" s="542"/>
      <c r="F2" s="542" t="s">
        <v>95</v>
      </c>
      <c r="G2" s="542"/>
      <c r="H2" s="542" t="s">
        <v>94</v>
      </c>
      <c r="I2" s="542"/>
      <c r="J2" s="542" t="s">
        <v>95</v>
      </c>
      <c r="K2" s="542"/>
      <c r="L2" s="542" t="s">
        <v>94</v>
      </c>
      <c r="M2" s="543"/>
      <c r="R2" s="54"/>
    </row>
    <row r="3" spans="1:18" s="1" customFormat="1" ht="28.5" x14ac:dyDescent="0.45">
      <c r="A3" s="550">
        <v>45896</v>
      </c>
      <c r="B3" s="551"/>
      <c r="C3" s="552">
        <v>5656058.3600000003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550"/>
      <c r="B4" s="551"/>
      <c r="C4" s="552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544" t="s">
        <v>105</v>
      </c>
      <c r="B5" s="545"/>
      <c r="C5" s="545"/>
      <c r="D5" s="360">
        <v>13725.689999999995</v>
      </c>
      <c r="E5" s="5">
        <f>D5/C3</f>
        <v>2.4267235460420523E-3</v>
      </c>
      <c r="F5" s="360">
        <v>43410.629999999983</v>
      </c>
      <c r="G5" s="44">
        <f>F5/C3</f>
        <v>7.675067553581604E-3</v>
      </c>
      <c r="H5" s="6">
        <f>SUM(C12:C21)</f>
        <v>3800.3999999999996</v>
      </c>
      <c r="I5" s="7">
        <f>H5/D5</f>
        <v>0.27688225509974368</v>
      </c>
      <c r="J5" s="6">
        <f>SUM(C28:C37)</f>
        <v>12041.49</v>
      </c>
      <c r="K5" s="46">
        <f>J5/F5</f>
        <v>0.27738574630223067</v>
      </c>
      <c r="L5" s="8">
        <v>6230.9400000000005</v>
      </c>
      <c r="M5" s="9">
        <f>L5/D5</f>
        <v>0.45396187732638599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1066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127</v>
      </c>
      <c r="B8" s="447"/>
      <c r="C8" s="447"/>
      <c r="D8" s="447" t="s">
        <v>128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1067</v>
      </c>
      <c r="P8" s="457" t="s">
        <v>604</v>
      </c>
      <c r="Q8" s="456" t="s">
        <v>1068</v>
      </c>
      <c r="R8" s="546" t="s">
        <v>1069</v>
      </c>
    </row>
    <row r="9" spans="1:18" ht="20.45" customHeight="1" x14ac:dyDescent="0.25">
      <c r="A9" s="547" t="s">
        <v>1070</v>
      </c>
      <c r="B9" s="461" t="s">
        <v>1071</v>
      </c>
      <c r="C9" s="462"/>
      <c r="D9" s="463" t="s">
        <v>134</v>
      </c>
      <c r="E9" s="463"/>
      <c r="F9" s="463"/>
      <c r="G9" s="463"/>
      <c r="H9" s="463"/>
      <c r="I9" s="463"/>
      <c r="J9" s="464" t="s">
        <v>135</v>
      </c>
      <c r="K9" s="464"/>
      <c r="L9" s="464"/>
      <c r="M9" s="465"/>
      <c r="N9" s="465"/>
      <c r="O9" s="456"/>
      <c r="P9" s="456"/>
      <c r="Q9" s="456"/>
      <c r="R9" s="546"/>
    </row>
    <row r="10" spans="1:18" ht="20.45" customHeight="1" x14ac:dyDescent="0.3">
      <c r="A10" s="548"/>
      <c r="B10" s="553" t="s">
        <v>1072</v>
      </c>
      <c r="C10" s="555" t="s">
        <v>1073</v>
      </c>
      <c r="D10" s="557" t="s">
        <v>110</v>
      </c>
      <c r="E10" s="557"/>
      <c r="F10" s="557"/>
      <c r="G10" s="557"/>
      <c r="H10" s="557"/>
      <c r="I10" s="557"/>
      <c r="J10" s="558" t="s">
        <v>138</v>
      </c>
      <c r="K10" s="559"/>
      <c r="L10" s="560" t="s">
        <v>139</v>
      </c>
      <c r="M10" s="558"/>
      <c r="N10" s="558"/>
      <c r="O10" s="456"/>
      <c r="P10" s="456"/>
      <c r="Q10" s="456"/>
      <c r="R10" s="546"/>
    </row>
    <row r="11" spans="1:18" s="55" customFormat="1" ht="47.25" customHeight="1" x14ac:dyDescent="0.25">
      <c r="A11" s="549"/>
      <c r="B11" s="554"/>
      <c r="C11" s="556"/>
      <c r="D11" s="361" t="s">
        <v>140</v>
      </c>
      <c r="E11" s="361" t="s">
        <v>141</v>
      </c>
      <c r="F11" s="361" t="s">
        <v>142</v>
      </c>
      <c r="G11" s="361" t="s">
        <v>143</v>
      </c>
      <c r="H11" s="361" t="s">
        <v>144</v>
      </c>
      <c r="I11" s="361" t="s">
        <v>145</v>
      </c>
      <c r="J11" s="362" t="s">
        <v>1074</v>
      </c>
      <c r="K11" s="362" t="s">
        <v>1075</v>
      </c>
      <c r="L11" s="362" t="s">
        <v>1076</v>
      </c>
      <c r="M11" s="362" t="s">
        <v>1075</v>
      </c>
      <c r="N11" s="363" t="s">
        <v>149</v>
      </c>
      <c r="O11" s="456"/>
      <c r="P11" s="456"/>
      <c r="Q11" s="456"/>
      <c r="R11" s="546"/>
    </row>
    <row r="12" spans="1:18" s="15" customFormat="1" ht="24.95" customHeight="1" x14ac:dyDescent="0.25">
      <c r="A12" s="364">
        <v>1</v>
      </c>
      <c r="B12" s="10" t="s">
        <v>542</v>
      </c>
      <c r="C12" s="33">
        <v>950.8</v>
      </c>
      <c r="D12" s="56">
        <v>197.73</v>
      </c>
      <c r="E12" s="56">
        <v>197.73</v>
      </c>
      <c r="F12" s="56">
        <v>19.7</v>
      </c>
      <c r="G12" s="33">
        <v>194.04</v>
      </c>
      <c r="H12" s="11">
        <f t="shared" ref="H12:H21" si="0">(E12+F12)/D12</f>
        <v>1.0996308096899812</v>
      </c>
      <c r="I12" s="33">
        <v>3822.59</v>
      </c>
      <c r="J12" s="56">
        <v>4.9000000000000004</v>
      </c>
      <c r="K12" s="12">
        <f t="shared" ref="K12:K21" si="1">J12/D12</f>
        <v>2.4781267384817684E-2</v>
      </c>
      <c r="L12" s="365">
        <f t="shared" ref="L12:L21" si="2">((E12+F12)-D12)-J12</f>
        <v>14.799999999999988</v>
      </c>
      <c r="M12" s="13">
        <f t="shared" ref="M12:M21" si="3">L12/D12</f>
        <v>7.4849542305163552E-2</v>
      </c>
      <c r="N12" s="366">
        <f t="shared" ref="N12:N21" si="4">L12*G12</f>
        <v>2871.7919999999976</v>
      </c>
      <c r="O12" s="66" t="s">
        <v>584</v>
      </c>
      <c r="P12" s="66" t="s">
        <v>672</v>
      </c>
      <c r="Q12" s="66" t="s">
        <v>975</v>
      </c>
      <c r="R12" s="28" t="s">
        <v>543</v>
      </c>
    </row>
    <row r="13" spans="1:18" s="15" customFormat="1" ht="24.95" customHeight="1" x14ac:dyDescent="0.25">
      <c r="A13" s="367">
        <v>2</v>
      </c>
      <c r="B13" s="10" t="s">
        <v>706</v>
      </c>
      <c r="C13" s="33">
        <v>457.63</v>
      </c>
      <c r="D13" s="56">
        <v>277.83999999999997</v>
      </c>
      <c r="E13" s="56">
        <v>277.83999999999997</v>
      </c>
      <c r="F13" s="56">
        <v>23.5</v>
      </c>
      <c r="G13" s="33">
        <v>95.34</v>
      </c>
      <c r="H13" s="11">
        <f t="shared" si="0"/>
        <v>1.0845810538439389</v>
      </c>
      <c r="I13" s="33">
        <v>2240.4899999999998</v>
      </c>
      <c r="J13" s="56">
        <v>4.8</v>
      </c>
      <c r="K13" s="12">
        <f t="shared" si="1"/>
        <v>1.7276130146847108E-2</v>
      </c>
      <c r="L13" s="365">
        <f t="shared" si="2"/>
        <v>18.7</v>
      </c>
      <c r="M13" s="13">
        <f t="shared" si="3"/>
        <v>6.7304923697091859E-2</v>
      </c>
      <c r="N13" s="366">
        <f t="shared" si="4"/>
        <v>1782.8579999999999</v>
      </c>
      <c r="O13" s="66" t="s">
        <v>584</v>
      </c>
      <c r="P13" s="66" t="s">
        <v>672</v>
      </c>
      <c r="Q13" s="66" t="s">
        <v>975</v>
      </c>
      <c r="R13" s="28" t="s">
        <v>25</v>
      </c>
    </row>
    <row r="14" spans="1:18" s="57" customFormat="1" ht="24.95" customHeight="1" x14ac:dyDescent="0.25">
      <c r="A14" s="367">
        <v>3</v>
      </c>
      <c r="B14" s="10" t="s">
        <v>786</v>
      </c>
      <c r="C14" s="33">
        <v>444.69</v>
      </c>
      <c r="D14" s="56">
        <v>13382</v>
      </c>
      <c r="E14" s="56">
        <v>13382</v>
      </c>
      <c r="F14" s="56">
        <v>76.67</v>
      </c>
      <c r="G14" s="33">
        <v>5.8</v>
      </c>
      <c r="H14" s="11">
        <f t="shared" si="0"/>
        <v>1.0057293379166043</v>
      </c>
      <c r="I14" s="33">
        <v>444.69</v>
      </c>
      <c r="J14" s="56">
        <v>76.67</v>
      </c>
      <c r="K14" s="12">
        <f t="shared" si="1"/>
        <v>5.7293379166043941E-3</v>
      </c>
      <c r="L14" s="365">
        <f t="shared" si="2"/>
        <v>0</v>
      </c>
      <c r="M14" s="13">
        <f t="shared" si="3"/>
        <v>0</v>
      </c>
      <c r="N14" s="366">
        <f t="shared" si="4"/>
        <v>0</v>
      </c>
      <c r="O14" s="66" t="s">
        <v>584</v>
      </c>
      <c r="P14" s="66" t="s">
        <v>675</v>
      </c>
      <c r="Q14" s="66" t="s">
        <v>973</v>
      </c>
      <c r="R14" s="28" t="s">
        <v>25</v>
      </c>
    </row>
    <row r="15" spans="1:18" s="15" customFormat="1" ht="24.95" customHeight="1" x14ac:dyDescent="0.25">
      <c r="A15" s="364">
        <v>4</v>
      </c>
      <c r="B15" s="10" t="s">
        <v>787</v>
      </c>
      <c r="C15" s="33">
        <v>393.62</v>
      </c>
      <c r="D15" s="56">
        <v>6628</v>
      </c>
      <c r="E15" s="56">
        <v>6628</v>
      </c>
      <c r="F15" s="56">
        <v>59.82</v>
      </c>
      <c r="G15" s="33">
        <v>6.58</v>
      </c>
      <c r="H15" s="11">
        <f t="shared" si="0"/>
        <v>1.0090253470126735</v>
      </c>
      <c r="I15" s="33">
        <v>393.62</v>
      </c>
      <c r="J15" s="56">
        <v>59.82</v>
      </c>
      <c r="K15" s="12">
        <f t="shared" si="1"/>
        <v>9.0253470126735059E-3</v>
      </c>
      <c r="L15" s="365">
        <f t="shared" si="2"/>
        <v>-2.9132252166164108E-13</v>
      </c>
      <c r="M15" s="13">
        <f t="shared" si="3"/>
        <v>-4.3953307432353816E-17</v>
      </c>
      <c r="N15" s="366">
        <f t="shared" si="4"/>
        <v>-1.9169021925335985E-12</v>
      </c>
      <c r="O15" s="66" t="s">
        <v>18</v>
      </c>
      <c r="P15" s="66" t="s">
        <v>673</v>
      </c>
      <c r="Q15" s="66" t="s">
        <v>974</v>
      </c>
      <c r="R15" s="28" t="s">
        <v>25</v>
      </c>
    </row>
    <row r="16" spans="1:18" s="57" customFormat="1" ht="24.95" customHeight="1" x14ac:dyDescent="0.25">
      <c r="A16" s="367">
        <v>5</v>
      </c>
      <c r="B16" s="10" t="s">
        <v>50</v>
      </c>
      <c r="C16" s="33">
        <v>319.14</v>
      </c>
      <c r="D16" s="56">
        <v>334.5</v>
      </c>
      <c r="E16" s="56">
        <v>334.5</v>
      </c>
      <c r="F16" s="56">
        <v>14.94</v>
      </c>
      <c r="G16" s="33">
        <v>111.2</v>
      </c>
      <c r="H16" s="11">
        <f t="shared" si="0"/>
        <v>1.0446636771300448</v>
      </c>
      <c r="I16" s="33">
        <v>1661.33</v>
      </c>
      <c r="J16" s="56">
        <v>2.87</v>
      </c>
      <c r="K16" s="12">
        <f t="shared" si="1"/>
        <v>8.5799701046337818E-3</v>
      </c>
      <c r="L16" s="365">
        <f t="shared" si="2"/>
        <v>12.069999999999997</v>
      </c>
      <c r="M16" s="13">
        <f t="shared" si="3"/>
        <v>3.6083707025411055E-2</v>
      </c>
      <c r="N16" s="366">
        <f t="shared" si="4"/>
        <v>1342.1839999999997</v>
      </c>
      <c r="O16" s="66" t="s">
        <v>584</v>
      </c>
      <c r="P16" s="66" t="s">
        <v>672</v>
      </c>
      <c r="Q16" s="66" t="s">
        <v>975</v>
      </c>
      <c r="R16" s="28" t="s">
        <v>49</v>
      </c>
    </row>
    <row r="17" spans="1:18" s="15" customFormat="1" ht="24.95" customHeight="1" x14ac:dyDescent="0.25">
      <c r="A17" s="364">
        <v>6</v>
      </c>
      <c r="B17" s="10" t="s">
        <v>36</v>
      </c>
      <c r="C17" s="33">
        <v>300.92</v>
      </c>
      <c r="D17" s="56">
        <v>291.14999999999998</v>
      </c>
      <c r="E17" s="56">
        <v>291.14999999999998</v>
      </c>
      <c r="F17" s="56">
        <v>10.24</v>
      </c>
      <c r="G17" s="33">
        <v>156.72999999999999</v>
      </c>
      <c r="H17" s="11">
        <f t="shared" si="0"/>
        <v>1.0351708741198695</v>
      </c>
      <c r="I17" s="33">
        <v>1604.92</v>
      </c>
      <c r="J17" s="56">
        <v>1.92</v>
      </c>
      <c r="K17" s="12">
        <f t="shared" si="1"/>
        <v>6.5945388974755284E-3</v>
      </c>
      <c r="L17" s="365">
        <f t="shared" si="2"/>
        <v>8.3200000000000092</v>
      </c>
      <c r="M17" s="13">
        <f t="shared" si="3"/>
        <v>2.857633522239399E-2</v>
      </c>
      <c r="N17" s="366">
        <f t="shared" si="4"/>
        <v>1303.9936000000014</v>
      </c>
      <c r="O17" s="66" t="s">
        <v>18</v>
      </c>
      <c r="P17" s="66" t="s">
        <v>673</v>
      </c>
      <c r="Q17" s="66" t="s">
        <v>583</v>
      </c>
      <c r="R17" s="28" t="s">
        <v>25</v>
      </c>
    </row>
    <row r="18" spans="1:18" s="57" customFormat="1" ht="24.95" customHeight="1" x14ac:dyDescent="0.25">
      <c r="A18" s="367">
        <v>7</v>
      </c>
      <c r="B18" s="10" t="s">
        <v>118</v>
      </c>
      <c r="C18" s="33">
        <v>271.57</v>
      </c>
      <c r="D18" s="56">
        <v>39.340000000000003</v>
      </c>
      <c r="E18" s="56">
        <v>39.340000000000003</v>
      </c>
      <c r="F18" s="56">
        <v>2</v>
      </c>
      <c r="G18" s="33">
        <v>271.57</v>
      </c>
      <c r="H18" s="11">
        <f t="shared" si="0"/>
        <v>1.050838840874428</v>
      </c>
      <c r="I18" s="33">
        <v>543.14</v>
      </c>
      <c r="J18" s="56">
        <v>1</v>
      </c>
      <c r="K18" s="12">
        <f t="shared" si="1"/>
        <v>2.541942043721403E-2</v>
      </c>
      <c r="L18" s="365">
        <f t="shared" si="2"/>
        <v>1</v>
      </c>
      <c r="M18" s="13">
        <f t="shared" si="3"/>
        <v>2.541942043721403E-2</v>
      </c>
      <c r="N18" s="366">
        <f t="shared" si="4"/>
        <v>271.57</v>
      </c>
      <c r="O18" s="66" t="s">
        <v>584</v>
      </c>
      <c r="P18" s="66" t="s">
        <v>672</v>
      </c>
      <c r="Q18" s="66" t="s">
        <v>975</v>
      </c>
      <c r="R18" s="28" t="s">
        <v>25</v>
      </c>
    </row>
    <row r="19" spans="1:18" s="15" customFormat="1" ht="24.95" customHeight="1" x14ac:dyDescent="0.25">
      <c r="A19" s="364">
        <v>8</v>
      </c>
      <c r="B19" s="10" t="s">
        <v>368</v>
      </c>
      <c r="C19" s="33">
        <v>259.49</v>
      </c>
      <c r="D19" s="56">
        <v>64.27</v>
      </c>
      <c r="E19" s="56">
        <v>64.27</v>
      </c>
      <c r="F19" s="56">
        <v>6.4</v>
      </c>
      <c r="G19" s="33">
        <v>90.1</v>
      </c>
      <c r="H19" s="11">
        <f t="shared" si="0"/>
        <v>1.0995798973082309</v>
      </c>
      <c r="I19" s="33">
        <v>576.64</v>
      </c>
      <c r="J19" s="56">
        <v>2.88</v>
      </c>
      <c r="K19" s="12">
        <f t="shared" si="1"/>
        <v>4.4810953788703908E-2</v>
      </c>
      <c r="L19" s="365">
        <f t="shared" si="2"/>
        <v>3.5200000000000058</v>
      </c>
      <c r="M19" s="13">
        <f t="shared" si="3"/>
        <v>5.4768943519527089E-2</v>
      </c>
      <c r="N19" s="366">
        <f t="shared" si="4"/>
        <v>317.1520000000005</v>
      </c>
      <c r="O19" s="66" t="s">
        <v>18</v>
      </c>
      <c r="P19" s="66" t="s">
        <v>673</v>
      </c>
      <c r="Q19" s="66" t="s">
        <v>590</v>
      </c>
      <c r="R19" s="28" t="s">
        <v>78</v>
      </c>
    </row>
    <row r="20" spans="1:18" s="15" customFormat="1" ht="24.95" customHeight="1" x14ac:dyDescent="0.25">
      <c r="A20" s="367">
        <v>9</v>
      </c>
      <c r="B20" s="10" t="s">
        <v>1055</v>
      </c>
      <c r="C20" s="33">
        <v>202.52</v>
      </c>
      <c r="D20" s="56">
        <v>36.979999999999997</v>
      </c>
      <c r="E20" s="56">
        <v>36.979999999999997</v>
      </c>
      <c r="F20" s="56">
        <v>3.6</v>
      </c>
      <c r="G20" s="33">
        <v>118.43</v>
      </c>
      <c r="H20" s="11">
        <f t="shared" si="0"/>
        <v>1.0973499188750677</v>
      </c>
      <c r="I20" s="33">
        <v>426.35</v>
      </c>
      <c r="J20" s="56">
        <v>1.71</v>
      </c>
      <c r="K20" s="12">
        <f t="shared" si="1"/>
        <v>4.6241211465657114E-2</v>
      </c>
      <c r="L20" s="365">
        <f t="shared" si="2"/>
        <v>1.8900000000000015</v>
      </c>
      <c r="M20" s="13">
        <f t="shared" si="3"/>
        <v>5.1108707409410536E-2</v>
      </c>
      <c r="N20" s="366">
        <f t="shared" si="4"/>
        <v>223.83270000000019</v>
      </c>
      <c r="O20" s="66" t="s">
        <v>584</v>
      </c>
      <c r="P20" s="66" t="s">
        <v>672</v>
      </c>
      <c r="Q20" s="66" t="s">
        <v>891</v>
      </c>
      <c r="R20" s="28" t="s">
        <v>1056</v>
      </c>
    </row>
    <row r="21" spans="1:18" s="15" customFormat="1" ht="24.95" customHeight="1" thickBot="1" x14ac:dyDescent="0.3">
      <c r="A21" s="368">
        <v>10</v>
      </c>
      <c r="B21" s="16" t="s">
        <v>41</v>
      </c>
      <c r="C21" s="34">
        <v>200.02</v>
      </c>
      <c r="D21" s="58">
        <v>145.81</v>
      </c>
      <c r="E21" s="58">
        <v>145.81</v>
      </c>
      <c r="F21" s="58">
        <v>8.58</v>
      </c>
      <c r="G21" s="34">
        <v>127.4</v>
      </c>
      <c r="H21" s="17">
        <f t="shared" si="0"/>
        <v>1.0588437007063989</v>
      </c>
      <c r="I21" s="34">
        <v>1093.0899999999999</v>
      </c>
      <c r="J21" s="58">
        <v>1.57</v>
      </c>
      <c r="K21" s="18">
        <f t="shared" si="1"/>
        <v>1.076743707564639E-2</v>
      </c>
      <c r="L21" s="369">
        <f t="shared" si="2"/>
        <v>7.0100000000000122</v>
      </c>
      <c r="M21" s="19">
        <f t="shared" si="3"/>
        <v>4.807626363075243E-2</v>
      </c>
      <c r="N21" s="370">
        <f t="shared" si="4"/>
        <v>893.07400000000155</v>
      </c>
      <c r="O21" s="64" t="s">
        <v>584</v>
      </c>
      <c r="P21" s="64" t="s">
        <v>672</v>
      </c>
      <c r="Q21" s="64" t="s">
        <v>975</v>
      </c>
      <c r="R21" s="29" t="s">
        <v>25</v>
      </c>
    </row>
    <row r="22" spans="1:18" s="62" customFormat="1" ht="24.95" customHeight="1" thickBot="1" x14ac:dyDescent="0.3">
      <c r="A22" s="371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372"/>
      <c r="M22" s="30"/>
      <c r="N22" s="373"/>
      <c r="O22" s="61"/>
      <c r="P22" s="61"/>
      <c r="Q22" s="61"/>
      <c r="R22" s="59"/>
    </row>
    <row r="23" spans="1:18" s="62" customFormat="1" ht="40.5" customHeight="1" x14ac:dyDescent="0.25">
      <c r="A23" s="443" t="s">
        <v>1077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127</v>
      </c>
      <c r="B24" s="447"/>
      <c r="C24" s="447"/>
      <c r="D24" s="447" t="s">
        <v>1078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1079</v>
      </c>
      <c r="P24" s="457" t="s">
        <v>604</v>
      </c>
      <c r="Q24" s="456" t="s">
        <v>605</v>
      </c>
      <c r="R24" s="546" t="s">
        <v>131</v>
      </c>
    </row>
    <row r="25" spans="1:18" s="62" customFormat="1" ht="24.95" customHeight="1" x14ac:dyDescent="0.25">
      <c r="A25" s="547" t="s">
        <v>1080</v>
      </c>
      <c r="B25" s="461" t="s">
        <v>1081</v>
      </c>
      <c r="C25" s="462"/>
      <c r="D25" s="463" t="s">
        <v>1082</v>
      </c>
      <c r="E25" s="463"/>
      <c r="F25" s="463"/>
      <c r="G25" s="463"/>
      <c r="H25" s="463"/>
      <c r="I25" s="463"/>
      <c r="J25" s="464" t="s">
        <v>135</v>
      </c>
      <c r="K25" s="464"/>
      <c r="L25" s="464"/>
      <c r="M25" s="465"/>
      <c r="N25" s="465"/>
      <c r="O25" s="456"/>
      <c r="P25" s="456"/>
      <c r="Q25" s="456"/>
      <c r="R25" s="546"/>
    </row>
    <row r="26" spans="1:18" s="62" customFormat="1" ht="24.95" customHeight="1" x14ac:dyDescent="0.3">
      <c r="A26" s="548"/>
      <c r="B26" s="553" t="s">
        <v>1072</v>
      </c>
      <c r="C26" s="555" t="s">
        <v>158</v>
      </c>
      <c r="D26" s="557" t="s">
        <v>1083</v>
      </c>
      <c r="E26" s="557"/>
      <c r="F26" s="557"/>
      <c r="G26" s="557"/>
      <c r="H26" s="557"/>
      <c r="I26" s="557"/>
      <c r="J26" s="558" t="s">
        <v>138</v>
      </c>
      <c r="K26" s="561"/>
      <c r="L26" s="559"/>
      <c r="M26" s="558" t="s">
        <v>139</v>
      </c>
      <c r="N26" s="559"/>
      <c r="O26" s="456"/>
      <c r="P26" s="456"/>
      <c r="Q26" s="456"/>
      <c r="R26" s="546"/>
    </row>
    <row r="27" spans="1:18" s="62" customFormat="1" ht="50.1" customHeight="1" x14ac:dyDescent="0.25">
      <c r="A27" s="549"/>
      <c r="B27" s="554"/>
      <c r="C27" s="556"/>
      <c r="D27" s="361" t="s">
        <v>140</v>
      </c>
      <c r="E27" s="361" t="s">
        <v>141</v>
      </c>
      <c r="F27" s="361" t="s">
        <v>142</v>
      </c>
      <c r="G27" s="361" t="s">
        <v>1084</v>
      </c>
      <c r="H27" s="361" t="s">
        <v>144</v>
      </c>
      <c r="I27" s="361" t="s">
        <v>145</v>
      </c>
      <c r="J27" s="362" t="s">
        <v>146</v>
      </c>
      <c r="K27" s="362" t="s">
        <v>147</v>
      </c>
      <c r="L27" s="363" t="s">
        <v>1085</v>
      </c>
      <c r="M27" s="362" t="s">
        <v>146</v>
      </c>
      <c r="N27" s="362" t="s">
        <v>147</v>
      </c>
      <c r="O27" s="456"/>
      <c r="P27" s="456"/>
      <c r="Q27" s="456"/>
      <c r="R27" s="546"/>
    </row>
    <row r="28" spans="1:18" s="62" customFormat="1" ht="24.95" customHeight="1" x14ac:dyDescent="0.25">
      <c r="A28" s="364">
        <v>1</v>
      </c>
      <c r="B28" s="10" t="s">
        <v>542</v>
      </c>
      <c r="C28" s="33">
        <v>2871.79</v>
      </c>
      <c r="D28" s="56">
        <v>197.73</v>
      </c>
      <c r="E28" s="56">
        <v>197.73</v>
      </c>
      <c r="F28" s="56">
        <v>19.7</v>
      </c>
      <c r="G28" s="33">
        <v>194.04</v>
      </c>
      <c r="H28" s="35">
        <f t="shared" ref="H28:H37" si="5">(E28+F28)/D28</f>
        <v>1.0996308096899812</v>
      </c>
      <c r="I28" s="33">
        <v>3822.59</v>
      </c>
      <c r="J28" s="56">
        <v>4.9000000000000004</v>
      </c>
      <c r="K28" s="12">
        <f t="shared" ref="K28:K37" si="6">J28/D28</f>
        <v>2.4781267384817684E-2</v>
      </c>
      <c r="L28" s="366">
        <f t="shared" ref="L28:L37" si="7">J28*G28</f>
        <v>950.79600000000005</v>
      </c>
      <c r="M28" s="365">
        <f t="shared" ref="M28:M37" si="8">((E28+F28)-D28)-J28</f>
        <v>14.799999999999988</v>
      </c>
      <c r="N28" s="13">
        <f t="shared" ref="N28:N37" si="9">M28/D28</f>
        <v>7.4849542305163552E-2</v>
      </c>
      <c r="O28" s="69" t="s">
        <v>22</v>
      </c>
      <c r="P28" s="14" t="s">
        <v>672</v>
      </c>
      <c r="Q28" s="14" t="s">
        <v>84</v>
      </c>
      <c r="R28" s="28" t="s">
        <v>543</v>
      </c>
    </row>
    <row r="29" spans="1:18" s="62" customFormat="1" ht="24.75" customHeight="1" x14ac:dyDescent="0.25">
      <c r="A29" s="367">
        <v>2</v>
      </c>
      <c r="B29" s="10" t="s">
        <v>706</v>
      </c>
      <c r="C29" s="33">
        <v>1782.8599999999997</v>
      </c>
      <c r="D29" s="56">
        <v>277.83999999999997</v>
      </c>
      <c r="E29" s="56">
        <v>277.83999999999997</v>
      </c>
      <c r="F29" s="56">
        <v>23.5</v>
      </c>
      <c r="G29" s="33">
        <v>95.34</v>
      </c>
      <c r="H29" s="35">
        <f t="shared" si="5"/>
        <v>1.0845810538439389</v>
      </c>
      <c r="I29" s="33">
        <v>2240.4899999999998</v>
      </c>
      <c r="J29" s="56">
        <v>4.8</v>
      </c>
      <c r="K29" s="12">
        <f t="shared" si="6"/>
        <v>1.7276130146847108E-2</v>
      </c>
      <c r="L29" s="366">
        <f t="shared" si="7"/>
        <v>457.63200000000001</v>
      </c>
      <c r="M29" s="365">
        <f t="shared" si="8"/>
        <v>18.7</v>
      </c>
      <c r="N29" s="13">
        <f t="shared" si="9"/>
        <v>6.7304923697091859E-2</v>
      </c>
      <c r="O29" s="69" t="s">
        <v>22</v>
      </c>
      <c r="P29" s="14" t="s">
        <v>672</v>
      </c>
      <c r="Q29" s="14" t="s">
        <v>84</v>
      </c>
      <c r="R29" s="28" t="s">
        <v>25</v>
      </c>
    </row>
    <row r="30" spans="1:18" s="62" customFormat="1" ht="24.95" customHeight="1" x14ac:dyDescent="0.25">
      <c r="A30" s="367">
        <v>3</v>
      </c>
      <c r="B30" s="10" t="s">
        <v>50</v>
      </c>
      <c r="C30" s="33">
        <v>1342.19</v>
      </c>
      <c r="D30" s="56">
        <v>334.5</v>
      </c>
      <c r="E30" s="56">
        <v>334.5</v>
      </c>
      <c r="F30" s="56">
        <v>14.94</v>
      </c>
      <c r="G30" s="33">
        <v>111.2</v>
      </c>
      <c r="H30" s="35">
        <f t="shared" si="5"/>
        <v>1.0446636771300448</v>
      </c>
      <c r="I30" s="33">
        <v>1661.33</v>
      </c>
      <c r="J30" s="32">
        <v>2.87</v>
      </c>
      <c r="K30" s="12">
        <f t="shared" si="6"/>
        <v>8.5799701046337818E-3</v>
      </c>
      <c r="L30" s="366">
        <f t="shared" si="7"/>
        <v>319.14400000000001</v>
      </c>
      <c r="M30" s="365">
        <f t="shared" si="8"/>
        <v>12.069999999999997</v>
      </c>
      <c r="N30" s="13">
        <f t="shared" si="9"/>
        <v>3.6083707025411055E-2</v>
      </c>
      <c r="O30" s="69" t="s">
        <v>22</v>
      </c>
      <c r="P30" s="14" t="s">
        <v>672</v>
      </c>
      <c r="Q30" s="14" t="s">
        <v>84</v>
      </c>
      <c r="R30" s="28" t="s">
        <v>49</v>
      </c>
    </row>
    <row r="31" spans="1:18" s="62" customFormat="1" ht="24.95" customHeight="1" x14ac:dyDescent="0.25">
      <c r="A31" s="364">
        <v>4</v>
      </c>
      <c r="B31" s="10" t="s">
        <v>36</v>
      </c>
      <c r="C31" s="33">
        <v>1304</v>
      </c>
      <c r="D31" s="56">
        <v>291.14999999999998</v>
      </c>
      <c r="E31" s="56">
        <v>291.14999999999998</v>
      </c>
      <c r="F31" s="56">
        <v>10.24</v>
      </c>
      <c r="G31" s="33">
        <v>156.72999999999999</v>
      </c>
      <c r="H31" s="35">
        <f t="shared" si="5"/>
        <v>1.0351708741198695</v>
      </c>
      <c r="I31" s="33">
        <v>1604.92</v>
      </c>
      <c r="J31" s="56">
        <v>1.92</v>
      </c>
      <c r="K31" s="12">
        <f t="shared" si="6"/>
        <v>6.5945388974755284E-3</v>
      </c>
      <c r="L31" s="366">
        <f t="shared" si="7"/>
        <v>300.92159999999996</v>
      </c>
      <c r="M31" s="365">
        <f t="shared" si="8"/>
        <v>8.3200000000000092</v>
      </c>
      <c r="N31" s="13">
        <f t="shared" si="9"/>
        <v>2.857633522239399E-2</v>
      </c>
      <c r="O31" s="69" t="s">
        <v>22</v>
      </c>
      <c r="P31" s="14" t="s">
        <v>672</v>
      </c>
      <c r="Q31" s="14" t="s">
        <v>65</v>
      </c>
      <c r="R31" s="28" t="s">
        <v>25</v>
      </c>
    </row>
    <row r="32" spans="1:18" s="62" customFormat="1" ht="24.95" customHeight="1" x14ac:dyDescent="0.25">
      <c r="A32" s="367">
        <v>5</v>
      </c>
      <c r="B32" s="10" t="s">
        <v>41</v>
      </c>
      <c r="C32" s="33">
        <v>893.06999999999994</v>
      </c>
      <c r="D32" s="56">
        <v>145.81</v>
      </c>
      <c r="E32" s="56">
        <v>145.81</v>
      </c>
      <c r="F32" s="56">
        <v>8.58</v>
      </c>
      <c r="G32" s="33">
        <v>127.4</v>
      </c>
      <c r="H32" s="35">
        <f t="shared" si="5"/>
        <v>1.0588437007063989</v>
      </c>
      <c r="I32" s="33">
        <v>1093.0899999999999</v>
      </c>
      <c r="J32" s="56">
        <v>1.57</v>
      </c>
      <c r="K32" s="12">
        <f t="shared" si="6"/>
        <v>1.076743707564639E-2</v>
      </c>
      <c r="L32" s="366">
        <f t="shared" si="7"/>
        <v>200.01800000000003</v>
      </c>
      <c r="M32" s="365">
        <f t="shared" si="8"/>
        <v>7.0100000000000122</v>
      </c>
      <c r="N32" s="13">
        <f t="shared" si="9"/>
        <v>4.807626363075243E-2</v>
      </c>
      <c r="O32" s="69" t="s">
        <v>22</v>
      </c>
      <c r="P32" s="14" t="s">
        <v>672</v>
      </c>
      <c r="Q32" s="14" t="s">
        <v>84</v>
      </c>
      <c r="R32" s="28" t="s">
        <v>25</v>
      </c>
    </row>
    <row r="33" spans="1:18" s="62" customFormat="1" ht="24.95" customHeight="1" x14ac:dyDescent="0.25">
      <c r="A33" s="364">
        <v>6</v>
      </c>
      <c r="B33" s="10" t="s">
        <v>38</v>
      </c>
      <c r="C33" s="33">
        <v>796.03</v>
      </c>
      <c r="D33" s="56">
        <v>231.98</v>
      </c>
      <c r="E33" s="56">
        <v>231.98</v>
      </c>
      <c r="F33" s="56">
        <v>8.76</v>
      </c>
      <c r="G33" s="33">
        <v>99.12</v>
      </c>
      <c r="H33" s="35">
        <f t="shared" si="5"/>
        <v>1.0377618760237952</v>
      </c>
      <c r="I33" s="33">
        <v>868.29</v>
      </c>
      <c r="J33" s="56">
        <v>0.72899999999999998</v>
      </c>
      <c r="K33" s="12">
        <f t="shared" si="6"/>
        <v>3.1425122855418572E-3</v>
      </c>
      <c r="L33" s="366">
        <f t="shared" si="7"/>
        <v>72.258480000000006</v>
      </c>
      <c r="M33" s="365">
        <f t="shared" si="8"/>
        <v>8.0309999999999917</v>
      </c>
      <c r="N33" s="13">
        <f t="shared" si="9"/>
        <v>3.4619363738253264E-2</v>
      </c>
      <c r="O33" s="69" t="s">
        <v>22</v>
      </c>
      <c r="P33" s="14" t="s">
        <v>672</v>
      </c>
      <c r="Q33" s="14" t="s">
        <v>408</v>
      </c>
      <c r="R33" s="28" t="s">
        <v>25</v>
      </c>
    </row>
    <row r="34" spans="1:18" s="62" customFormat="1" ht="24.95" customHeight="1" x14ac:dyDescent="0.25">
      <c r="A34" s="367">
        <v>7</v>
      </c>
      <c r="B34" s="10" t="s">
        <v>40</v>
      </c>
      <c r="C34" s="33">
        <v>787.02</v>
      </c>
      <c r="D34" s="56">
        <v>224.44</v>
      </c>
      <c r="E34" s="56">
        <v>224.44</v>
      </c>
      <c r="F34" s="56">
        <v>12.28</v>
      </c>
      <c r="G34" s="33">
        <v>78</v>
      </c>
      <c r="H34" s="35">
        <f t="shared" si="5"/>
        <v>1.054713954731777</v>
      </c>
      <c r="I34" s="33">
        <v>957.84</v>
      </c>
      <c r="J34" s="56">
        <v>2.19</v>
      </c>
      <c r="K34" s="12">
        <f t="shared" si="6"/>
        <v>9.7576189627517369E-3</v>
      </c>
      <c r="L34" s="366">
        <f t="shared" si="7"/>
        <v>170.82</v>
      </c>
      <c r="M34" s="365">
        <f t="shared" si="8"/>
        <v>10.090000000000002</v>
      </c>
      <c r="N34" s="13">
        <f t="shared" si="9"/>
        <v>4.4956335769025135E-2</v>
      </c>
      <c r="O34" s="69" t="s">
        <v>22</v>
      </c>
      <c r="P34" s="14" t="s">
        <v>672</v>
      </c>
      <c r="Q34" s="14" t="s">
        <v>891</v>
      </c>
      <c r="R34" s="28" t="s">
        <v>25</v>
      </c>
    </row>
    <row r="35" spans="1:18" s="62" customFormat="1" ht="24.95" customHeight="1" x14ac:dyDescent="0.25">
      <c r="A35" s="364">
        <v>8</v>
      </c>
      <c r="B35" s="10" t="s">
        <v>35</v>
      </c>
      <c r="C35" s="33">
        <v>762.89</v>
      </c>
      <c r="D35" s="56">
        <v>96.06</v>
      </c>
      <c r="E35" s="56">
        <v>96.06</v>
      </c>
      <c r="F35" s="56">
        <v>2.2799999999999998</v>
      </c>
      <c r="G35" s="33">
        <v>410.16</v>
      </c>
      <c r="H35" s="35">
        <f t="shared" si="5"/>
        <v>1.023735165521549</v>
      </c>
      <c r="I35" s="33">
        <v>935.16</v>
      </c>
      <c r="J35" s="56">
        <v>0.42</v>
      </c>
      <c r="K35" s="12">
        <f t="shared" si="6"/>
        <v>4.3722673329169267E-3</v>
      </c>
      <c r="L35" s="366">
        <f t="shared" si="7"/>
        <v>172.2672</v>
      </c>
      <c r="M35" s="365">
        <f t="shared" si="8"/>
        <v>1.8600000000000012</v>
      </c>
      <c r="N35" s="13">
        <f t="shared" si="9"/>
        <v>1.9362898188632117E-2</v>
      </c>
      <c r="O35" s="69" t="s">
        <v>22</v>
      </c>
      <c r="P35" s="14" t="s">
        <v>672</v>
      </c>
      <c r="Q35" s="14" t="s">
        <v>67</v>
      </c>
      <c r="R35" s="28" t="s">
        <v>25</v>
      </c>
    </row>
    <row r="36" spans="1:18" s="62" customFormat="1" ht="24.95" customHeight="1" x14ac:dyDescent="0.25">
      <c r="A36" s="367">
        <v>9</v>
      </c>
      <c r="B36" s="10" t="s">
        <v>46</v>
      </c>
      <c r="C36" s="33">
        <v>753.58999999999992</v>
      </c>
      <c r="D36" s="56">
        <v>23.34</v>
      </c>
      <c r="E36" s="56">
        <v>23.34</v>
      </c>
      <c r="F36" s="56">
        <v>1.01</v>
      </c>
      <c r="G36" s="33">
        <v>930.36</v>
      </c>
      <c r="H36" s="35">
        <f t="shared" si="5"/>
        <v>1.0432733504712939</v>
      </c>
      <c r="I36" s="33">
        <v>939.66</v>
      </c>
      <c r="J36" s="56">
        <v>0.2</v>
      </c>
      <c r="K36" s="12">
        <f t="shared" si="6"/>
        <v>8.5689802913453302E-3</v>
      </c>
      <c r="L36" s="366">
        <f t="shared" si="7"/>
        <v>186.072</v>
      </c>
      <c r="M36" s="365">
        <f t="shared" si="8"/>
        <v>0.81000000000000161</v>
      </c>
      <c r="N36" s="13">
        <f t="shared" si="9"/>
        <v>3.4704370179948658E-2</v>
      </c>
      <c r="O36" s="69" t="s">
        <v>22</v>
      </c>
      <c r="P36" s="14" t="s">
        <v>672</v>
      </c>
      <c r="Q36" s="14" t="s">
        <v>84</v>
      </c>
      <c r="R36" s="28" t="s">
        <v>76</v>
      </c>
    </row>
    <row r="37" spans="1:18" s="62" customFormat="1" ht="24.95" customHeight="1" thickBot="1" x14ac:dyDescent="0.3">
      <c r="A37" s="368">
        <v>10</v>
      </c>
      <c r="B37" s="16" t="s">
        <v>45</v>
      </c>
      <c r="C37" s="34">
        <v>748.05000000000007</v>
      </c>
      <c r="D37" s="58">
        <v>78.510000000000005</v>
      </c>
      <c r="E37" s="58">
        <v>78.510000000000005</v>
      </c>
      <c r="F37" s="58">
        <v>2.89</v>
      </c>
      <c r="G37" s="34">
        <v>318.32</v>
      </c>
      <c r="H37" s="36">
        <f t="shared" si="5"/>
        <v>1.0368105973761303</v>
      </c>
      <c r="I37" s="34">
        <v>919.94</v>
      </c>
      <c r="J37" s="58">
        <v>0.54</v>
      </c>
      <c r="K37" s="18">
        <f t="shared" si="6"/>
        <v>6.8781047000382118E-3</v>
      </c>
      <c r="L37" s="370">
        <f t="shared" si="7"/>
        <v>171.89279999999999</v>
      </c>
      <c r="M37" s="369">
        <f t="shared" si="8"/>
        <v>2.3500000000000005</v>
      </c>
      <c r="N37" s="19">
        <f t="shared" si="9"/>
        <v>2.9932492676092222E-2</v>
      </c>
      <c r="O37" s="52" t="s">
        <v>22</v>
      </c>
      <c r="P37" s="20" t="s">
        <v>672</v>
      </c>
      <c r="Q37" s="20" t="s">
        <v>67</v>
      </c>
      <c r="R37" s="65" t="s">
        <v>76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1086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1087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562" t="s">
        <v>132</v>
      </c>
      <c r="B41" s="450" t="s">
        <v>133</v>
      </c>
      <c r="C41" s="450"/>
      <c r="D41" s="451"/>
      <c r="E41" s="23"/>
      <c r="G41" s="21"/>
      <c r="H41" s="22"/>
    </row>
    <row r="42" spans="1:18" ht="20.45" customHeight="1" x14ac:dyDescent="0.35">
      <c r="A42" s="562"/>
      <c r="B42" s="563" t="s">
        <v>1088</v>
      </c>
      <c r="C42" s="564" t="s">
        <v>1073</v>
      </c>
      <c r="D42" s="546" t="s">
        <v>174</v>
      </c>
      <c r="E42" s="23"/>
      <c r="G42" s="21"/>
      <c r="H42" s="22"/>
    </row>
    <row r="43" spans="1:18" ht="20.45" customHeight="1" x14ac:dyDescent="0.35">
      <c r="A43" s="562"/>
      <c r="B43" s="563"/>
      <c r="C43" s="564"/>
      <c r="D43" s="546"/>
      <c r="E43" s="23"/>
      <c r="G43" s="21"/>
      <c r="H43" s="22"/>
    </row>
    <row r="44" spans="1:18" s="26" customFormat="1" ht="24.95" customHeight="1" x14ac:dyDescent="0.35">
      <c r="A44" s="374">
        <v>1</v>
      </c>
      <c r="B44" s="10" t="s">
        <v>706</v>
      </c>
      <c r="C44" s="33">
        <v>457.63</v>
      </c>
      <c r="D44" s="24">
        <f t="shared" ref="D44:D53" si="10">C44/$L$5</f>
        <v>7.3444777192526317E-2</v>
      </c>
      <c r="E44" s="25"/>
      <c r="G44" s="21"/>
      <c r="H44" s="22"/>
    </row>
    <row r="45" spans="1:18" s="26" customFormat="1" ht="24.95" customHeight="1" x14ac:dyDescent="0.35">
      <c r="A45" s="375">
        <v>2</v>
      </c>
      <c r="B45" s="10" t="s">
        <v>786</v>
      </c>
      <c r="C45" s="33">
        <v>444.69</v>
      </c>
      <c r="D45" s="24">
        <f t="shared" si="10"/>
        <v>7.1368043986942575E-2</v>
      </c>
      <c r="E45" s="25"/>
      <c r="G45" s="21"/>
      <c r="H45" s="22"/>
    </row>
    <row r="46" spans="1:18" s="26" customFormat="1" ht="24.95" customHeight="1" x14ac:dyDescent="0.35">
      <c r="A46" s="375">
        <v>3</v>
      </c>
      <c r="B46" s="10" t="s">
        <v>787</v>
      </c>
      <c r="C46" s="33">
        <v>393.62</v>
      </c>
      <c r="D46" s="24">
        <f t="shared" si="10"/>
        <v>6.3171848870314906E-2</v>
      </c>
      <c r="E46" s="25"/>
      <c r="G46" s="21"/>
      <c r="H46" s="22"/>
    </row>
    <row r="47" spans="1:18" s="26" customFormat="1" ht="24.95" customHeight="1" x14ac:dyDescent="0.35">
      <c r="A47" s="374">
        <v>4</v>
      </c>
      <c r="B47" s="10" t="s">
        <v>36</v>
      </c>
      <c r="C47" s="33">
        <v>300.92</v>
      </c>
      <c r="D47" s="24">
        <f t="shared" si="10"/>
        <v>4.829447884267863E-2</v>
      </c>
      <c r="E47" s="25"/>
      <c r="G47" s="21"/>
      <c r="H47" s="22"/>
    </row>
    <row r="48" spans="1:18" s="26" customFormat="1" ht="24.95" customHeight="1" x14ac:dyDescent="0.35">
      <c r="A48" s="375">
        <v>5</v>
      </c>
      <c r="B48" s="10" t="s">
        <v>118</v>
      </c>
      <c r="C48" s="33">
        <v>271.57</v>
      </c>
      <c r="D48" s="24">
        <f t="shared" si="10"/>
        <v>4.3584114114403279E-2</v>
      </c>
      <c r="E48" s="25"/>
      <c r="G48" s="21"/>
      <c r="H48" s="22"/>
    </row>
    <row r="49" spans="1:5" s="26" customFormat="1" ht="24.95" customHeight="1" x14ac:dyDescent="0.25">
      <c r="A49" s="374">
        <v>6</v>
      </c>
      <c r="B49" s="10" t="s">
        <v>41</v>
      </c>
      <c r="C49" s="33">
        <v>200.02</v>
      </c>
      <c r="D49" s="24">
        <f t="shared" si="10"/>
        <v>3.2101095500839359E-2</v>
      </c>
      <c r="E49" s="25"/>
    </row>
    <row r="50" spans="1:5" s="26" customFormat="1" ht="24.95" customHeight="1" x14ac:dyDescent="0.25">
      <c r="A50" s="375">
        <v>7</v>
      </c>
      <c r="B50" s="10" t="s">
        <v>567</v>
      </c>
      <c r="C50" s="33">
        <v>199.35</v>
      </c>
      <c r="D50" s="24">
        <f t="shared" si="10"/>
        <v>3.199356758370326E-2</v>
      </c>
      <c r="E50" s="25"/>
    </row>
    <row r="51" spans="1:5" s="26" customFormat="1" ht="24.95" customHeight="1" x14ac:dyDescent="0.25">
      <c r="A51" s="374">
        <v>8</v>
      </c>
      <c r="B51" s="10" t="s">
        <v>34</v>
      </c>
      <c r="C51" s="33">
        <v>197.67</v>
      </c>
      <c r="D51" s="24">
        <f t="shared" si="10"/>
        <v>3.1723945343720202E-2</v>
      </c>
      <c r="E51" s="25"/>
    </row>
    <row r="52" spans="1:5" s="26" customFormat="1" ht="24.95" customHeight="1" x14ac:dyDescent="0.25">
      <c r="A52" s="375">
        <v>9</v>
      </c>
      <c r="B52" s="10" t="s">
        <v>30</v>
      </c>
      <c r="C52" s="33">
        <v>194.21</v>
      </c>
      <c r="D52" s="24">
        <f t="shared" si="10"/>
        <v>3.1168651920897968E-2</v>
      </c>
      <c r="E52" s="25"/>
    </row>
    <row r="53" spans="1:5" s="26" customFormat="1" ht="24.95" customHeight="1" thickBot="1" x14ac:dyDescent="0.3">
      <c r="A53" s="376">
        <v>10</v>
      </c>
      <c r="B53" s="16" t="s">
        <v>35</v>
      </c>
      <c r="C53" s="34">
        <v>172.27</v>
      </c>
      <c r="D53" s="27">
        <f t="shared" si="10"/>
        <v>2.7647513858262154E-2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1089</v>
      </c>
      <c r="B56" s="442"/>
      <c r="C56" s="442"/>
      <c r="D56" s="442"/>
      <c r="E56" s="442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1025" priority="33" operator="containsText" text="024">
      <formula>NOT(ISERROR(SEARCH("024",A12)))</formula>
    </cfRule>
    <cfRule type="containsText" dxfId="1024" priority="34" operator="containsText" text="白醬">
      <formula>NOT(ISERROR(SEARCH("白醬",A12)))</formula>
    </cfRule>
    <cfRule type="containsText" dxfId="1023" priority="35" operator="containsText" text="青蔥">
      <formula>NOT(ISERROR(SEARCH("青蔥",A12)))</formula>
    </cfRule>
    <cfRule type="containsText" dxfId="1022" priority="36" operator="containsText" text=")川燙小青花菜">
      <formula>NOT(ISERROR(SEARCH(")川燙小青花菜",A12)))</formula>
    </cfRule>
    <cfRule type="containsText" dxfId="1021" priority="37" operator="containsText" text="湯凍">
      <formula>NOT(ISERROR(SEARCH("湯凍",A12)))</formula>
    </cfRule>
    <cfRule type="containsText" dxfId="1020" priority="38" operator="containsText" text="中華">
      <formula>NOT(ISERROR(SEARCH("中華",A12)))</formula>
    </cfRule>
  </conditionalFormatting>
  <conditionalFormatting sqref="A12:A22">
    <cfRule type="containsText" dxfId="1019" priority="31" operator="containsText" text="綠豆芽">
      <formula>NOT(ISERROR(SEARCH("綠豆芽",A12)))</formula>
    </cfRule>
    <cfRule type="containsText" dxfId="1018" priority="32" operator="containsText" text="煮白細麵生(方#12)">
      <formula>NOT(ISERROR(SEARCH("煮白細麵生(方#12)",A12)))</formula>
    </cfRule>
  </conditionalFormatting>
  <conditionalFormatting sqref="E5">
    <cfRule type="cellIs" dxfId="1017" priority="16" operator="greaterThan">
      <formula>0.0025</formula>
    </cfRule>
    <cfRule type="cellIs" dxfId="1016" priority="19" operator="greaterThan">
      <formula>0.0025</formula>
    </cfRule>
    <cfRule type="cellIs" dxfId="1015" priority="29" operator="greaterThan">
      <formula>0.072</formula>
    </cfRule>
    <cfRule type="cellIs" dxfId="1014" priority="30" operator="greaterThan">
      <formula>7.2</formula>
    </cfRule>
  </conditionalFormatting>
  <conditionalFormatting sqref="E5">
    <cfRule type="cellIs" dxfId="1013" priority="28" operator="greaterThan">
      <formula>0.0025</formula>
    </cfRule>
  </conditionalFormatting>
  <conditionalFormatting sqref="A44:A53">
    <cfRule type="containsText" dxfId="1012" priority="22" operator="containsText" text="024">
      <formula>NOT(ISERROR(SEARCH("024",A44)))</formula>
    </cfRule>
    <cfRule type="containsText" dxfId="1011" priority="23" operator="containsText" text="白醬">
      <formula>NOT(ISERROR(SEARCH("白醬",A44)))</formula>
    </cfRule>
    <cfRule type="containsText" dxfId="1010" priority="24" operator="containsText" text="青蔥">
      <formula>NOT(ISERROR(SEARCH("青蔥",A44)))</formula>
    </cfRule>
    <cfRule type="containsText" dxfId="1009" priority="25" operator="containsText" text=")川燙小青花菜">
      <formula>NOT(ISERROR(SEARCH(")川燙小青花菜",A44)))</formula>
    </cfRule>
    <cfRule type="containsText" dxfId="1008" priority="26" operator="containsText" text="湯凍">
      <formula>NOT(ISERROR(SEARCH("湯凍",A44)))</formula>
    </cfRule>
    <cfRule type="containsText" dxfId="1007" priority="27" operator="containsText" text="中華">
      <formula>NOT(ISERROR(SEARCH("中華",A44)))</formula>
    </cfRule>
  </conditionalFormatting>
  <conditionalFormatting sqref="A44:A53">
    <cfRule type="containsText" dxfId="1006" priority="20" operator="containsText" text="綠豆芽">
      <formula>NOT(ISERROR(SEARCH("綠豆芽",A44)))</formula>
    </cfRule>
    <cfRule type="containsText" dxfId="1005" priority="21" operator="containsText" text="煮白細麵生(方#12)">
      <formula>NOT(ISERROR(SEARCH("煮白細麵生(方#12)",A44)))</formula>
    </cfRule>
  </conditionalFormatting>
  <conditionalFormatting sqref="D44:D53">
    <cfRule type="cellIs" dxfId="1004" priority="18" operator="greaterThan">
      <formula>0.146</formula>
    </cfRule>
  </conditionalFormatting>
  <conditionalFormatting sqref="H12:H22">
    <cfRule type="cellIs" dxfId="1003" priority="17" operator="greaterThan">
      <formula>1.1</formula>
    </cfRule>
  </conditionalFormatting>
  <conditionalFormatting sqref="I5">
    <cfRule type="cellIs" dxfId="1002" priority="15" operator="greaterThan">
      <formula>0.2</formula>
    </cfRule>
  </conditionalFormatting>
  <conditionalFormatting sqref="A28:A37">
    <cfRule type="containsText" dxfId="1001" priority="9" operator="containsText" text="024">
      <formula>NOT(ISERROR(SEARCH("024",A28)))</formula>
    </cfRule>
    <cfRule type="containsText" dxfId="1000" priority="10" operator="containsText" text="白醬">
      <formula>NOT(ISERROR(SEARCH("白醬",A28)))</formula>
    </cfRule>
    <cfRule type="containsText" dxfId="999" priority="11" operator="containsText" text="青蔥">
      <formula>NOT(ISERROR(SEARCH("青蔥",A28)))</formula>
    </cfRule>
    <cfRule type="containsText" dxfId="998" priority="12" operator="containsText" text=")川燙小青花菜">
      <formula>NOT(ISERROR(SEARCH(")川燙小青花菜",A28)))</formula>
    </cfRule>
    <cfRule type="containsText" dxfId="997" priority="13" operator="containsText" text="湯凍">
      <formula>NOT(ISERROR(SEARCH("湯凍",A28)))</formula>
    </cfRule>
    <cfRule type="containsText" dxfId="996" priority="14" operator="containsText" text="中華">
      <formula>NOT(ISERROR(SEARCH("中華",A28)))</formula>
    </cfRule>
  </conditionalFormatting>
  <conditionalFormatting sqref="A28:A37">
    <cfRule type="containsText" dxfId="995" priority="7" operator="containsText" text="綠豆芽">
      <formula>NOT(ISERROR(SEARCH("綠豆芽",A28)))</formula>
    </cfRule>
    <cfRule type="containsText" dxfId="994" priority="8" operator="containsText" text="煮白細麵生(方#12)">
      <formula>NOT(ISERROR(SEARCH("煮白細麵生(方#12)",A28)))</formula>
    </cfRule>
  </conditionalFormatting>
  <conditionalFormatting sqref="H28:H37">
    <cfRule type="cellIs" dxfId="993" priority="6" operator="greaterThan">
      <formula>1.1</formula>
    </cfRule>
  </conditionalFormatting>
  <conditionalFormatting sqref="G5">
    <cfRule type="cellIs" dxfId="992" priority="1" operator="greaterThan">
      <formula>0.0025</formula>
    </cfRule>
    <cfRule type="cellIs" dxfId="991" priority="2" operator="greaterThan">
      <formula>0.0025</formula>
    </cfRule>
    <cfRule type="cellIs" dxfId="990" priority="4" operator="greaterThan">
      <formula>0.072</formula>
    </cfRule>
    <cfRule type="cellIs" dxfId="989" priority="5" operator="greaterThan">
      <formula>7.2</formula>
    </cfRule>
  </conditionalFormatting>
  <conditionalFormatting sqref="G5">
    <cfRule type="cellIs" dxfId="98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1" zoomScale="70" zoomScaleNormal="70" zoomScaleSheetLayoutView="70" workbookViewId="0">
      <selection activeCell="Q14" sqref="Q1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586" t="s">
        <v>92</v>
      </c>
      <c r="B2" s="587"/>
      <c r="C2" s="341" t="s">
        <v>93</v>
      </c>
      <c r="D2" s="588" t="s">
        <v>94</v>
      </c>
      <c r="E2" s="588"/>
      <c r="F2" s="588" t="s">
        <v>95</v>
      </c>
      <c r="G2" s="588"/>
      <c r="H2" s="588" t="s">
        <v>94</v>
      </c>
      <c r="I2" s="588"/>
      <c r="J2" s="588" t="s">
        <v>95</v>
      </c>
      <c r="K2" s="588"/>
      <c r="L2" s="588" t="s">
        <v>94</v>
      </c>
      <c r="M2" s="589"/>
      <c r="R2" s="54"/>
    </row>
    <row r="3" spans="1:18" s="1" customFormat="1" ht="28.5" x14ac:dyDescent="0.45">
      <c r="A3" s="583">
        <v>45895</v>
      </c>
      <c r="B3" s="584"/>
      <c r="C3" s="585">
        <v>5751890.8200000003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583"/>
      <c r="B4" s="584"/>
      <c r="C4" s="58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581" t="s">
        <v>105</v>
      </c>
      <c r="B5" s="582"/>
      <c r="C5" s="582"/>
      <c r="D5" s="342">
        <v>13980.759999999997</v>
      </c>
      <c r="E5" s="5">
        <f>D5/C3</f>
        <v>2.4306372352178958E-3</v>
      </c>
      <c r="F5" s="342">
        <v>44448.189999999995</v>
      </c>
      <c r="G5" s="44">
        <f>F5/C3</f>
        <v>7.7275788764015509E-3</v>
      </c>
      <c r="H5" s="6">
        <f>SUM(C12:C21)</f>
        <v>4161.68</v>
      </c>
      <c r="I5" s="7">
        <f>H5/D5</f>
        <v>0.2976719434422736</v>
      </c>
      <c r="J5" s="6">
        <f>SUM(C28:C37)</f>
        <v>10846.39</v>
      </c>
      <c r="K5" s="46">
        <f>J5/F5</f>
        <v>0.24402320994398199</v>
      </c>
      <c r="L5" s="8">
        <v>8407.66</v>
      </c>
      <c r="M5" s="9">
        <f>L5/D5</f>
        <v>0.60137360200733025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1035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1036</v>
      </c>
      <c r="B8" s="447"/>
      <c r="C8" s="447"/>
      <c r="D8" s="447" t="s">
        <v>128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1037</v>
      </c>
      <c r="P8" s="457" t="s">
        <v>1038</v>
      </c>
      <c r="Q8" s="456" t="s">
        <v>687</v>
      </c>
      <c r="R8" s="568" t="s">
        <v>1039</v>
      </c>
    </row>
    <row r="9" spans="1:18" ht="20.45" customHeight="1" x14ac:dyDescent="0.25">
      <c r="A9" s="569" t="s">
        <v>1040</v>
      </c>
      <c r="B9" s="461" t="s">
        <v>133</v>
      </c>
      <c r="C9" s="462"/>
      <c r="D9" s="463" t="s">
        <v>1041</v>
      </c>
      <c r="E9" s="463"/>
      <c r="F9" s="463"/>
      <c r="G9" s="463"/>
      <c r="H9" s="463"/>
      <c r="I9" s="463"/>
      <c r="J9" s="464" t="s">
        <v>1042</v>
      </c>
      <c r="K9" s="464"/>
      <c r="L9" s="464"/>
      <c r="M9" s="465"/>
      <c r="N9" s="465"/>
      <c r="O9" s="456"/>
      <c r="P9" s="456"/>
      <c r="Q9" s="456"/>
      <c r="R9" s="568"/>
    </row>
    <row r="10" spans="1:18" ht="20.45" customHeight="1" x14ac:dyDescent="0.3">
      <c r="A10" s="570"/>
      <c r="B10" s="572" t="s">
        <v>1043</v>
      </c>
      <c r="C10" s="574" t="s">
        <v>1044</v>
      </c>
      <c r="D10" s="576" t="s">
        <v>110</v>
      </c>
      <c r="E10" s="576"/>
      <c r="F10" s="576"/>
      <c r="G10" s="576"/>
      <c r="H10" s="576"/>
      <c r="I10" s="576"/>
      <c r="J10" s="577" t="s">
        <v>1045</v>
      </c>
      <c r="K10" s="579"/>
      <c r="L10" s="580" t="s">
        <v>1046</v>
      </c>
      <c r="M10" s="577"/>
      <c r="N10" s="577"/>
      <c r="O10" s="456"/>
      <c r="P10" s="456"/>
      <c r="Q10" s="456"/>
      <c r="R10" s="568"/>
    </row>
    <row r="11" spans="1:18" s="55" customFormat="1" ht="47.25" customHeight="1" x14ac:dyDescent="0.25">
      <c r="A11" s="571"/>
      <c r="B11" s="573"/>
      <c r="C11" s="575"/>
      <c r="D11" s="343" t="s">
        <v>1047</v>
      </c>
      <c r="E11" s="343" t="s">
        <v>1048</v>
      </c>
      <c r="F11" s="343" t="s">
        <v>142</v>
      </c>
      <c r="G11" s="343" t="s">
        <v>1049</v>
      </c>
      <c r="H11" s="343" t="s">
        <v>1050</v>
      </c>
      <c r="I11" s="343" t="s">
        <v>1051</v>
      </c>
      <c r="J11" s="344" t="s">
        <v>1052</v>
      </c>
      <c r="K11" s="344" t="s">
        <v>1053</v>
      </c>
      <c r="L11" s="344" t="s">
        <v>146</v>
      </c>
      <c r="M11" s="344" t="s">
        <v>1053</v>
      </c>
      <c r="N11" s="345" t="s">
        <v>1054</v>
      </c>
      <c r="O11" s="456"/>
      <c r="P11" s="456"/>
      <c r="Q11" s="456"/>
      <c r="R11" s="568"/>
    </row>
    <row r="12" spans="1:18" s="15" customFormat="1" ht="24.95" customHeight="1" x14ac:dyDescent="0.25">
      <c r="A12" s="346">
        <v>1</v>
      </c>
      <c r="B12" s="10" t="s">
        <v>786</v>
      </c>
      <c r="C12" s="33">
        <v>1447.16</v>
      </c>
      <c r="D12" s="56">
        <v>13613</v>
      </c>
      <c r="E12" s="56">
        <v>13613</v>
      </c>
      <c r="F12" s="56">
        <v>249.51</v>
      </c>
      <c r="G12" s="33">
        <v>5.8</v>
      </c>
      <c r="H12" s="11">
        <f t="shared" ref="H12:H21" si="0">(E12+F12)/D12</f>
        <v>1.0183288033497393</v>
      </c>
      <c r="I12" s="33">
        <v>1447.16</v>
      </c>
      <c r="J12" s="56">
        <v>249.51</v>
      </c>
      <c r="K12" s="12">
        <f t="shared" ref="K12:K21" si="1">J12/D12</f>
        <v>1.8328803349739218E-2</v>
      </c>
      <c r="L12" s="347">
        <f t="shared" ref="L12:L21" si="2">((E12+F12)-D12)-J12</f>
        <v>2.2737367544323206E-13</v>
      </c>
      <c r="M12" s="13">
        <f t="shared" ref="M12:M21" si="3">L12/D12</f>
        <v>1.6702686802558736E-17</v>
      </c>
      <c r="N12" s="348">
        <f t="shared" ref="N12:N21" si="4">L12*G12</f>
        <v>1.3187673175707459E-12</v>
      </c>
      <c r="O12" s="66" t="s">
        <v>584</v>
      </c>
      <c r="P12" s="66" t="s">
        <v>675</v>
      </c>
      <c r="Q12" s="66" t="s">
        <v>973</v>
      </c>
      <c r="R12" s="28" t="s">
        <v>25</v>
      </c>
    </row>
    <row r="13" spans="1:18" s="15" customFormat="1" ht="24.95" customHeight="1" x14ac:dyDescent="0.25">
      <c r="A13" s="349">
        <v>2</v>
      </c>
      <c r="B13" s="10" t="s">
        <v>706</v>
      </c>
      <c r="C13" s="33">
        <v>656.89</v>
      </c>
      <c r="D13" s="56">
        <v>281.55</v>
      </c>
      <c r="E13" s="56">
        <v>281.55</v>
      </c>
      <c r="F13" s="56">
        <v>27.95</v>
      </c>
      <c r="G13" s="33">
        <v>95.34</v>
      </c>
      <c r="H13" s="11">
        <f t="shared" si="0"/>
        <v>1.0992718877641627</v>
      </c>
      <c r="I13" s="33">
        <v>2664.75</v>
      </c>
      <c r="J13" s="56">
        <v>6.89</v>
      </c>
      <c r="K13" s="12">
        <f t="shared" si="1"/>
        <v>2.4471674658142425E-2</v>
      </c>
      <c r="L13" s="347">
        <f t="shared" si="2"/>
        <v>21.059999999999988</v>
      </c>
      <c r="M13" s="13">
        <f t="shared" si="3"/>
        <v>7.4800213106020197E-2</v>
      </c>
      <c r="N13" s="348">
        <f t="shared" si="4"/>
        <v>2007.8603999999989</v>
      </c>
      <c r="O13" s="66" t="s">
        <v>584</v>
      </c>
      <c r="P13" s="66" t="s">
        <v>672</v>
      </c>
      <c r="Q13" s="66" t="s">
        <v>975</v>
      </c>
      <c r="R13" s="28" t="s">
        <v>25</v>
      </c>
    </row>
    <row r="14" spans="1:18" s="57" customFormat="1" ht="24.95" customHeight="1" x14ac:dyDescent="0.25">
      <c r="A14" s="349">
        <v>3</v>
      </c>
      <c r="B14" s="10" t="s">
        <v>787</v>
      </c>
      <c r="C14" s="33">
        <v>392.56</v>
      </c>
      <c r="D14" s="56">
        <v>6694</v>
      </c>
      <c r="E14" s="56">
        <v>6694</v>
      </c>
      <c r="F14" s="56">
        <v>59.66</v>
      </c>
      <c r="G14" s="33">
        <v>6.58</v>
      </c>
      <c r="H14" s="11">
        <f t="shared" si="0"/>
        <v>1.0089124589184344</v>
      </c>
      <c r="I14" s="33">
        <v>392.56</v>
      </c>
      <c r="J14" s="56">
        <v>59.66</v>
      </c>
      <c r="K14" s="12">
        <f t="shared" si="1"/>
        <v>8.9124589184344186E-3</v>
      </c>
      <c r="L14" s="347">
        <f t="shared" si="2"/>
        <v>-1.4210854715202004E-13</v>
      </c>
      <c r="M14" s="13">
        <f t="shared" si="3"/>
        <v>-2.1229242179865558E-17</v>
      </c>
      <c r="N14" s="348">
        <f t="shared" si="4"/>
        <v>-9.350742402602918E-13</v>
      </c>
      <c r="O14" s="66" t="s">
        <v>18</v>
      </c>
      <c r="P14" s="66" t="s">
        <v>673</v>
      </c>
      <c r="Q14" s="66" t="s">
        <v>974</v>
      </c>
      <c r="R14" s="28" t="s">
        <v>25</v>
      </c>
    </row>
    <row r="15" spans="1:18" s="15" customFormat="1" ht="24.95" customHeight="1" x14ac:dyDescent="0.25">
      <c r="A15" s="346">
        <v>4</v>
      </c>
      <c r="B15" s="10" t="s">
        <v>42</v>
      </c>
      <c r="C15" s="33">
        <v>365.42</v>
      </c>
      <c r="D15" s="56">
        <v>72.64</v>
      </c>
      <c r="E15" s="56">
        <v>72.64</v>
      </c>
      <c r="F15" s="56">
        <v>6.69</v>
      </c>
      <c r="G15" s="33">
        <v>159.57</v>
      </c>
      <c r="H15" s="11">
        <f t="shared" si="0"/>
        <v>1.0920980176211454</v>
      </c>
      <c r="I15" s="33">
        <v>1067.52</v>
      </c>
      <c r="J15" s="56">
        <v>2.29</v>
      </c>
      <c r="K15" s="12">
        <f t="shared" si="1"/>
        <v>3.1525330396475773E-2</v>
      </c>
      <c r="L15" s="347">
        <f t="shared" si="2"/>
        <v>4.3999999999999977</v>
      </c>
      <c r="M15" s="13">
        <f t="shared" si="3"/>
        <v>6.0572687224669575E-2</v>
      </c>
      <c r="N15" s="348">
        <f t="shared" si="4"/>
        <v>702.10799999999961</v>
      </c>
      <c r="O15" s="66" t="s">
        <v>584</v>
      </c>
      <c r="P15" s="66" t="s">
        <v>672</v>
      </c>
      <c r="Q15" s="66" t="s">
        <v>975</v>
      </c>
      <c r="R15" s="28" t="s">
        <v>25</v>
      </c>
    </row>
    <row r="16" spans="1:18" s="57" customFormat="1" ht="24.95" customHeight="1" x14ac:dyDescent="0.25">
      <c r="A16" s="349">
        <v>5</v>
      </c>
      <c r="B16" s="10" t="s">
        <v>118</v>
      </c>
      <c r="C16" s="33">
        <v>233.55</v>
      </c>
      <c r="D16" s="56">
        <v>39.18</v>
      </c>
      <c r="E16" s="56">
        <v>39.18</v>
      </c>
      <c r="F16" s="56">
        <v>3.63</v>
      </c>
      <c r="G16" s="33">
        <v>271.57</v>
      </c>
      <c r="H16" s="11">
        <f t="shared" si="0"/>
        <v>1.0926493108728943</v>
      </c>
      <c r="I16" s="33">
        <v>985.8</v>
      </c>
      <c r="J16" s="56">
        <v>0.86</v>
      </c>
      <c r="K16" s="12">
        <f t="shared" si="1"/>
        <v>2.1949974476773864E-2</v>
      </c>
      <c r="L16" s="347">
        <f t="shared" si="2"/>
        <v>2.7700000000000027</v>
      </c>
      <c r="M16" s="13">
        <f t="shared" si="3"/>
        <v>7.0699336396120541E-2</v>
      </c>
      <c r="N16" s="348">
        <f t="shared" si="4"/>
        <v>752.24890000000073</v>
      </c>
      <c r="O16" s="66" t="s">
        <v>584</v>
      </c>
      <c r="P16" s="66" t="s">
        <v>672</v>
      </c>
      <c r="Q16" s="66" t="s">
        <v>975</v>
      </c>
      <c r="R16" s="28" t="s">
        <v>25</v>
      </c>
    </row>
    <row r="17" spans="1:18" s="15" customFormat="1" ht="24.95" customHeight="1" x14ac:dyDescent="0.25">
      <c r="A17" s="346">
        <v>6</v>
      </c>
      <c r="B17" s="10" t="s">
        <v>37</v>
      </c>
      <c r="C17" s="33">
        <v>227.27</v>
      </c>
      <c r="D17" s="56">
        <v>355.16</v>
      </c>
      <c r="E17" s="56">
        <v>355.16</v>
      </c>
      <c r="F17" s="56">
        <v>7.07</v>
      </c>
      <c r="G17" s="33">
        <v>156.74</v>
      </c>
      <c r="H17" s="11">
        <f t="shared" si="0"/>
        <v>1.0199065210046176</v>
      </c>
      <c r="I17" s="33">
        <v>1108.1500000000001</v>
      </c>
      <c r="J17" s="56">
        <v>1.45</v>
      </c>
      <c r="K17" s="12">
        <f t="shared" si="1"/>
        <v>4.082666967000788E-3</v>
      </c>
      <c r="L17" s="347">
        <f t="shared" si="2"/>
        <v>5.619999999999993</v>
      </c>
      <c r="M17" s="13">
        <f t="shared" si="3"/>
        <v>1.5823854037616828E-2</v>
      </c>
      <c r="N17" s="348">
        <f t="shared" si="4"/>
        <v>880.87879999999893</v>
      </c>
      <c r="O17" s="66" t="s">
        <v>18</v>
      </c>
      <c r="P17" s="66" t="s">
        <v>673</v>
      </c>
      <c r="Q17" s="66" t="s">
        <v>583</v>
      </c>
      <c r="R17" s="28" t="s">
        <v>25</v>
      </c>
    </row>
    <row r="18" spans="1:18" s="57" customFormat="1" ht="24.95" customHeight="1" x14ac:dyDescent="0.25">
      <c r="A18" s="349">
        <v>7</v>
      </c>
      <c r="B18" s="10" t="s">
        <v>1055</v>
      </c>
      <c r="C18" s="33">
        <v>218.5</v>
      </c>
      <c r="D18" s="56">
        <v>37.340000000000003</v>
      </c>
      <c r="E18" s="56">
        <v>37.340000000000003</v>
      </c>
      <c r="F18" s="56">
        <v>3.69</v>
      </c>
      <c r="G18" s="33">
        <v>118.43</v>
      </c>
      <c r="H18" s="11">
        <f t="shared" si="0"/>
        <v>1.098821638993037</v>
      </c>
      <c r="I18" s="33">
        <v>437.01</v>
      </c>
      <c r="J18" s="56">
        <v>1.8449999999999989</v>
      </c>
      <c r="K18" s="12">
        <f t="shared" si="1"/>
        <v>4.9410819496518446E-2</v>
      </c>
      <c r="L18" s="347">
        <f t="shared" si="2"/>
        <v>1.8449999999999989</v>
      </c>
      <c r="M18" s="13">
        <f t="shared" si="3"/>
        <v>4.9410819496518446E-2</v>
      </c>
      <c r="N18" s="348">
        <f t="shared" si="4"/>
        <v>218.50334999999987</v>
      </c>
      <c r="O18" s="66" t="s">
        <v>584</v>
      </c>
      <c r="P18" s="66" t="s">
        <v>672</v>
      </c>
      <c r="Q18" s="66" t="s">
        <v>891</v>
      </c>
      <c r="R18" s="28" t="s">
        <v>1056</v>
      </c>
    </row>
    <row r="19" spans="1:18" s="15" customFormat="1" ht="24.95" customHeight="1" x14ac:dyDescent="0.25">
      <c r="A19" s="346">
        <v>8</v>
      </c>
      <c r="B19" s="10" t="s">
        <v>53</v>
      </c>
      <c r="C19" s="33">
        <v>207.02</v>
      </c>
      <c r="D19" s="56">
        <v>74.05</v>
      </c>
      <c r="E19" s="56">
        <v>74.05</v>
      </c>
      <c r="F19" s="56">
        <v>3.08</v>
      </c>
      <c r="G19" s="33">
        <v>333.9</v>
      </c>
      <c r="H19" s="11">
        <f t="shared" si="0"/>
        <v>1.0415935178933153</v>
      </c>
      <c r="I19" s="33">
        <v>1028.4100000000001</v>
      </c>
      <c r="J19" s="56">
        <v>0.62</v>
      </c>
      <c r="K19" s="12">
        <f t="shared" si="1"/>
        <v>8.3727211343686703E-3</v>
      </c>
      <c r="L19" s="347">
        <f t="shared" si="2"/>
        <v>2.4599999999999982</v>
      </c>
      <c r="M19" s="13">
        <f t="shared" si="3"/>
        <v>3.3220796758946632E-2</v>
      </c>
      <c r="N19" s="348">
        <f t="shared" si="4"/>
        <v>821.39399999999932</v>
      </c>
      <c r="O19" s="66" t="s">
        <v>584</v>
      </c>
      <c r="P19" s="66" t="s">
        <v>672</v>
      </c>
      <c r="Q19" s="66" t="s">
        <v>67</v>
      </c>
      <c r="R19" s="28" t="s">
        <v>78</v>
      </c>
    </row>
    <row r="20" spans="1:18" s="15" customFormat="1" ht="24.95" customHeight="1" x14ac:dyDescent="0.25">
      <c r="A20" s="349">
        <v>9</v>
      </c>
      <c r="B20" s="10" t="s">
        <v>45</v>
      </c>
      <c r="C20" s="33">
        <v>206.91</v>
      </c>
      <c r="D20" s="56">
        <v>92.28</v>
      </c>
      <c r="E20" s="56">
        <v>92.28</v>
      </c>
      <c r="F20" s="56">
        <v>3.7</v>
      </c>
      <c r="G20" s="33">
        <v>318.32</v>
      </c>
      <c r="H20" s="11">
        <f t="shared" si="0"/>
        <v>1.040095361941916</v>
      </c>
      <c r="I20" s="33">
        <v>1177.78</v>
      </c>
      <c r="J20" s="56">
        <v>0.65</v>
      </c>
      <c r="K20" s="12">
        <f t="shared" si="1"/>
        <v>7.0437798006068491E-3</v>
      </c>
      <c r="L20" s="347">
        <f t="shared" si="2"/>
        <v>3.0500000000000029</v>
      </c>
      <c r="M20" s="13">
        <f t="shared" si="3"/>
        <v>3.3051582141309092E-2</v>
      </c>
      <c r="N20" s="348">
        <f t="shared" si="4"/>
        <v>970.87600000000089</v>
      </c>
      <c r="O20" s="66" t="s">
        <v>584</v>
      </c>
      <c r="P20" s="66" t="s">
        <v>672</v>
      </c>
      <c r="Q20" s="66" t="s">
        <v>67</v>
      </c>
      <c r="R20" s="28" t="s">
        <v>76</v>
      </c>
    </row>
    <row r="21" spans="1:18" s="15" customFormat="1" ht="24.95" customHeight="1" thickBot="1" x14ac:dyDescent="0.3">
      <c r="A21" s="350">
        <v>10</v>
      </c>
      <c r="B21" s="16" t="s">
        <v>730</v>
      </c>
      <c r="C21" s="34">
        <v>206.4</v>
      </c>
      <c r="D21" s="58">
        <v>12.64</v>
      </c>
      <c r="E21" s="58">
        <v>12.64</v>
      </c>
      <c r="F21" s="58">
        <v>1.25</v>
      </c>
      <c r="G21" s="34">
        <v>469.08</v>
      </c>
      <c r="H21" s="17">
        <f t="shared" si="0"/>
        <v>1.0988924050632911</v>
      </c>
      <c r="I21" s="34">
        <v>586.35</v>
      </c>
      <c r="J21" s="58">
        <v>0.44</v>
      </c>
      <c r="K21" s="18">
        <f t="shared" si="1"/>
        <v>3.4810126582278479E-2</v>
      </c>
      <c r="L21" s="351">
        <f t="shared" si="2"/>
        <v>0.81</v>
      </c>
      <c r="M21" s="19">
        <f t="shared" si="3"/>
        <v>6.4082278481012653E-2</v>
      </c>
      <c r="N21" s="352">
        <f t="shared" si="4"/>
        <v>379.95480000000003</v>
      </c>
      <c r="O21" s="64" t="s">
        <v>18</v>
      </c>
      <c r="P21" s="64" t="s">
        <v>673</v>
      </c>
      <c r="Q21" s="64" t="s">
        <v>583</v>
      </c>
      <c r="R21" s="29" t="s">
        <v>51</v>
      </c>
    </row>
    <row r="22" spans="1:18" s="62" customFormat="1" ht="24.95" customHeight="1" thickBot="1" x14ac:dyDescent="0.3">
      <c r="A22" s="353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354"/>
      <c r="M22" s="30"/>
      <c r="N22" s="355"/>
      <c r="O22" s="61"/>
      <c r="P22" s="61"/>
      <c r="Q22" s="61"/>
      <c r="R22" s="59"/>
    </row>
    <row r="23" spans="1:18" s="62" customFormat="1" ht="40.5" customHeight="1" x14ac:dyDescent="0.25">
      <c r="A23" s="443" t="s">
        <v>1057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1036</v>
      </c>
      <c r="B24" s="447"/>
      <c r="C24" s="447"/>
      <c r="D24" s="447" t="s">
        <v>1058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1037</v>
      </c>
      <c r="P24" s="457" t="s">
        <v>1038</v>
      </c>
      <c r="Q24" s="456" t="s">
        <v>1059</v>
      </c>
      <c r="R24" s="568" t="s">
        <v>1039</v>
      </c>
    </row>
    <row r="25" spans="1:18" s="62" customFormat="1" ht="24.95" customHeight="1" x14ac:dyDescent="0.25">
      <c r="A25" s="569" t="s">
        <v>1040</v>
      </c>
      <c r="B25" s="461" t="s">
        <v>1060</v>
      </c>
      <c r="C25" s="462"/>
      <c r="D25" s="463" t="s">
        <v>1041</v>
      </c>
      <c r="E25" s="463"/>
      <c r="F25" s="463"/>
      <c r="G25" s="463"/>
      <c r="H25" s="463"/>
      <c r="I25" s="463"/>
      <c r="J25" s="464" t="s">
        <v>1042</v>
      </c>
      <c r="K25" s="464"/>
      <c r="L25" s="464"/>
      <c r="M25" s="465"/>
      <c r="N25" s="465"/>
      <c r="O25" s="456"/>
      <c r="P25" s="456"/>
      <c r="Q25" s="456"/>
      <c r="R25" s="568"/>
    </row>
    <row r="26" spans="1:18" s="62" customFormat="1" ht="24.95" customHeight="1" x14ac:dyDescent="0.3">
      <c r="A26" s="570"/>
      <c r="B26" s="572" t="s">
        <v>1043</v>
      </c>
      <c r="C26" s="574" t="s">
        <v>1061</v>
      </c>
      <c r="D26" s="576" t="s">
        <v>110</v>
      </c>
      <c r="E26" s="576"/>
      <c r="F26" s="576"/>
      <c r="G26" s="576"/>
      <c r="H26" s="576"/>
      <c r="I26" s="576"/>
      <c r="J26" s="577" t="s">
        <v>1045</v>
      </c>
      <c r="K26" s="578"/>
      <c r="L26" s="579"/>
      <c r="M26" s="577" t="s">
        <v>1046</v>
      </c>
      <c r="N26" s="579"/>
      <c r="O26" s="456"/>
      <c r="P26" s="456"/>
      <c r="Q26" s="456"/>
      <c r="R26" s="568"/>
    </row>
    <row r="27" spans="1:18" s="62" customFormat="1" ht="50.1" customHeight="1" x14ac:dyDescent="0.25">
      <c r="A27" s="571"/>
      <c r="B27" s="573"/>
      <c r="C27" s="575"/>
      <c r="D27" s="343" t="s">
        <v>140</v>
      </c>
      <c r="E27" s="343" t="s">
        <v>1048</v>
      </c>
      <c r="F27" s="343" t="s">
        <v>1062</v>
      </c>
      <c r="G27" s="343" t="s">
        <v>1049</v>
      </c>
      <c r="H27" s="343" t="s">
        <v>1050</v>
      </c>
      <c r="I27" s="343" t="s">
        <v>1051</v>
      </c>
      <c r="J27" s="344" t="s">
        <v>1052</v>
      </c>
      <c r="K27" s="344" t="s">
        <v>1053</v>
      </c>
      <c r="L27" s="345" t="s">
        <v>1054</v>
      </c>
      <c r="M27" s="344" t="s">
        <v>146</v>
      </c>
      <c r="N27" s="344" t="s">
        <v>1053</v>
      </c>
      <c r="O27" s="456"/>
      <c r="P27" s="456"/>
      <c r="Q27" s="456"/>
      <c r="R27" s="568"/>
    </row>
    <row r="28" spans="1:18" s="62" customFormat="1" ht="24.95" customHeight="1" x14ac:dyDescent="0.25">
      <c r="A28" s="346">
        <v>1</v>
      </c>
      <c r="B28" s="10" t="s">
        <v>706</v>
      </c>
      <c r="C28" s="33">
        <v>2007.8600000000001</v>
      </c>
      <c r="D28" s="56">
        <v>281.55</v>
      </c>
      <c r="E28" s="56">
        <v>281.55</v>
      </c>
      <c r="F28" s="56">
        <v>27.95</v>
      </c>
      <c r="G28" s="33">
        <v>95.34</v>
      </c>
      <c r="H28" s="35">
        <f t="shared" ref="H28:H37" si="5">(E28+F28)/D28</f>
        <v>1.0992718877641627</v>
      </c>
      <c r="I28" s="33">
        <v>2664.75</v>
      </c>
      <c r="J28" s="56">
        <v>6.89</v>
      </c>
      <c r="K28" s="12">
        <f t="shared" ref="K28:K37" si="6">J28/D28</f>
        <v>2.4471674658142425E-2</v>
      </c>
      <c r="L28" s="348">
        <f t="shared" ref="L28:L37" si="7">J28*G28</f>
        <v>656.89260000000002</v>
      </c>
      <c r="M28" s="347">
        <f t="shared" ref="M28:M37" si="8">((E28+F28)-D28)-J28</f>
        <v>21.059999999999988</v>
      </c>
      <c r="N28" s="13">
        <f t="shared" ref="N28:N37" si="9">M28/D28</f>
        <v>7.4800213106020197E-2</v>
      </c>
      <c r="O28" s="69" t="s">
        <v>22</v>
      </c>
      <c r="P28" s="14" t="s">
        <v>672</v>
      </c>
      <c r="Q28" s="14" t="s">
        <v>84</v>
      </c>
      <c r="R28" s="28" t="s">
        <v>25</v>
      </c>
    </row>
    <row r="29" spans="1:18" s="62" customFormat="1" ht="24.75" customHeight="1" x14ac:dyDescent="0.25">
      <c r="A29" s="349">
        <v>2</v>
      </c>
      <c r="B29" s="10" t="s">
        <v>40</v>
      </c>
      <c r="C29" s="33">
        <v>1021.8000000000001</v>
      </c>
      <c r="D29" s="56">
        <v>229</v>
      </c>
      <c r="E29" s="56">
        <v>229</v>
      </c>
      <c r="F29" s="56">
        <v>15.73</v>
      </c>
      <c r="G29" s="33">
        <v>78</v>
      </c>
      <c r="H29" s="35">
        <f t="shared" si="5"/>
        <v>1.0686899563318777</v>
      </c>
      <c r="I29" s="33">
        <v>1226.94</v>
      </c>
      <c r="J29" s="56">
        <v>2.63</v>
      </c>
      <c r="K29" s="12">
        <f t="shared" si="6"/>
        <v>1.1484716157205239E-2</v>
      </c>
      <c r="L29" s="348">
        <f t="shared" si="7"/>
        <v>205.14</v>
      </c>
      <c r="M29" s="347">
        <f t="shared" si="8"/>
        <v>13.099999999999991</v>
      </c>
      <c r="N29" s="13">
        <f t="shared" si="9"/>
        <v>5.7205240174672448E-2</v>
      </c>
      <c r="O29" s="69" t="s">
        <v>22</v>
      </c>
      <c r="P29" s="14" t="s">
        <v>672</v>
      </c>
      <c r="Q29" s="14" t="s">
        <v>891</v>
      </c>
      <c r="R29" s="28" t="s">
        <v>25</v>
      </c>
    </row>
    <row r="30" spans="1:18" s="62" customFormat="1" ht="24.95" customHeight="1" x14ac:dyDescent="0.25">
      <c r="A30" s="349">
        <v>3</v>
      </c>
      <c r="B30" s="10" t="s">
        <v>46</v>
      </c>
      <c r="C30" s="33">
        <v>1014.0899999999999</v>
      </c>
      <c r="D30" s="56">
        <v>27.43</v>
      </c>
      <c r="E30" s="56">
        <v>27.43</v>
      </c>
      <c r="F30" s="56">
        <v>1.31</v>
      </c>
      <c r="G30" s="33">
        <v>930.36</v>
      </c>
      <c r="H30" s="35">
        <f t="shared" si="5"/>
        <v>1.0477579292745169</v>
      </c>
      <c r="I30" s="33">
        <v>1218.77</v>
      </c>
      <c r="J30" s="32">
        <v>0.22</v>
      </c>
      <c r="K30" s="12">
        <f t="shared" si="6"/>
        <v>8.0204156033539913E-3</v>
      </c>
      <c r="L30" s="348">
        <f t="shared" si="7"/>
        <v>204.67920000000001</v>
      </c>
      <c r="M30" s="347">
        <f t="shared" si="8"/>
        <v>1.0899999999999987</v>
      </c>
      <c r="N30" s="13">
        <f t="shared" si="9"/>
        <v>3.9737513671162912E-2</v>
      </c>
      <c r="O30" s="69" t="s">
        <v>22</v>
      </c>
      <c r="P30" s="14" t="s">
        <v>672</v>
      </c>
      <c r="Q30" s="14" t="s">
        <v>84</v>
      </c>
      <c r="R30" s="28" t="s">
        <v>76</v>
      </c>
    </row>
    <row r="31" spans="1:18" s="62" customFormat="1" ht="24.95" customHeight="1" x14ac:dyDescent="0.25">
      <c r="A31" s="346">
        <v>4</v>
      </c>
      <c r="B31" s="10" t="s">
        <v>35</v>
      </c>
      <c r="C31" s="33">
        <v>992.59</v>
      </c>
      <c r="D31" s="56">
        <v>96.84</v>
      </c>
      <c r="E31" s="56">
        <v>96.84</v>
      </c>
      <c r="F31" s="56">
        <v>2.92</v>
      </c>
      <c r="G31" s="33">
        <v>410.16</v>
      </c>
      <c r="H31" s="35">
        <f t="shared" si="5"/>
        <v>1.0301528294093349</v>
      </c>
      <c r="I31" s="33">
        <v>1197.67</v>
      </c>
      <c r="J31" s="56">
        <v>0.5</v>
      </c>
      <c r="K31" s="12">
        <f t="shared" si="6"/>
        <v>5.1631557207765383E-3</v>
      </c>
      <c r="L31" s="348">
        <f t="shared" si="7"/>
        <v>205.08</v>
      </c>
      <c r="M31" s="347">
        <f t="shared" si="8"/>
        <v>2.4200000000000017</v>
      </c>
      <c r="N31" s="13">
        <f t="shared" si="9"/>
        <v>2.4989673688558464E-2</v>
      </c>
      <c r="O31" s="69" t="s">
        <v>22</v>
      </c>
      <c r="P31" s="14" t="s">
        <v>672</v>
      </c>
      <c r="Q31" s="14" t="s">
        <v>67</v>
      </c>
      <c r="R31" s="28" t="s">
        <v>25</v>
      </c>
    </row>
    <row r="32" spans="1:18" s="62" customFormat="1" ht="24.95" customHeight="1" x14ac:dyDescent="0.25">
      <c r="A32" s="349">
        <v>5</v>
      </c>
      <c r="B32" s="10" t="s">
        <v>41</v>
      </c>
      <c r="C32" s="33">
        <v>991.18</v>
      </c>
      <c r="D32" s="56">
        <v>147.27000000000001</v>
      </c>
      <c r="E32" s="56">
        <v>147.27000000000001</v>
      </c>
      <c r="F32" s="56">
        <v>9.39</v>
      </c>
      <c r="G32" s="33">
        <v>127.4</v>
      </c>
      <c r="H32" s="35">
        <f t="shared" si="5"/>
        <v>1.0637604400081484</v>
      </c>
      <c r="I32" s="33">
        <v>1196.29</v>
      </c>
      <c r="J32" s="56">
        <v>1.61</v>
      </c>
      <c r="K32" s="12">
        <f t="shared" si="6"/>
        <v>1.0932301215454607E-2</v>
      </c>
      <c r="L32" s="348">
        <f t="shared" si="7"/>
        <v>205.11400000000003</v>
      </c>
      <c r="M32" s="347">
        <f t="shared" si="8"/>
        <v>7.7800000000000145</v>
      </c>
      <c r="N32" s="13">
        <f t="shared" si="9"/>
        <v>5.2828138792693789E-2</v>
      </c>
      <c r="O32" s="69" t="s">
        <v>22</v>
      </c>
      <c r="P32" s="14" t="s">
        <v>672</v>
      </c>
      <c r="Q32" s="14" t="s">
        <v>84</v>
      </c>
      <c r="R32" s="28" t="s">
        <v>25</v>
      </c>
    </row>
    <row r="33" spans="1:18" s="62" customFormat="1" ht="24.95" customHeight="1" x14ac:dyDescent="0.25">
      <c r="A33" s="346">
        <v>6</v>
      </c>
      <c r="B33" s="10" t="s">
        <v>45</v>
      </c>
      <c r="C33" s="33">
        <v>970.87</v>
      </c>
      <c r="D33" s="56">
        <v>92.28</v>
      </c>
      <c r="E33" s="56">
        <v>92.28</v>
      </c>
      <c r="F33" s="56">
        <v>3.7</v>
      </c>
      <c r="G33" s="33">
        <v>318.32</v>
      </c>
      <c r="H33" s="35">
        <f t="shared" si="5"/>
        <v>1.040095361941916</v>
      </c>
      <c r="I33" s="33">
        <v>1177.78</v>
      </c>
      <c r="J33" s="56">
        <v>0.65</v>
      </c>
      <c r="K33" s="12">
        <f t="shared" si="6"/>
        <v>7.0437798006068491E-3</v>
      </c>
      <c r="L33" s="348">
        <f t="shared" si="7"/>
        <v>206.90800000000002</v>
      </c>
      <c r="M33" s="347">
        <f t="shared" si="8"/>
        <v>3.0500000000000029</v>
      </c>
      <c r="N33" s="13">
        <f t="shared" si="9"/>
        <v>3.3051582141309092E-2</v>
      </c>
      <c r="O33" s="69" t="s">
        <v>22</v>
      </c>
      <c r="P33" s="14" t="s">
        <v>672</v>
      </c>
      <c r="Q33" s="14" t="s">
        <v>67</v>
      </c>
      <c r="R33" s="28" t="s">
        <v>76</v>
      </c>
    </row>
    <row r="34" spans="1:18" s="62" customFormat="1" ht="24.95" customHeight="1" x14ac:dyDescent="0.25">
      <c r="A34" s="349">
        <v>7</v>
      </c>
      <c r="B34" s="10" t="s">
        <v>36</v>
      </c>
      <c r="C34" s="33">
        <v>963.8900000000001</v>
      </c>
      <c r="D34" s="56">
        <v>283.89</v>
      </c>
      <c r="E34" s="56">
        <v>283.89</v>
      </c>
      <c r="F34" s="56">
        <v>7.46</v>
      </c>
      <c r="G34" s="33">
        <v>156.72999999999999</v>
      </c>
      <c r="H34" s="35">
        <f t="shared" si="5"/>
        <v>1.0262777836485961</v>
      </c>
      <c r="I34" s="33">
        <v>1169.21</v>
      </c>
      <c r="J34" s="56">
        <v>1.31</v>
      </c>
      <c r="K34" s="12">
        <f t="shared" si="6"/>
        <v>4.6144633484800452E-3</v>
      </c>
      <c r="L34" s="348">
        <f t="shared" si="7"/>
        <v>205.31629999999998</v>
      </c>
      <c r="M34" s="347">
        <f t="shared" si="8"/>
        <v>6.149999999999979</v>
      </c>
      <c r="N34" s="13">
        <f t="shared" si="9"/>
        <v>2.1663320300116168E-2</v>
      </c>
      <c r="O34" s="69" t="s">
        <v>22</v>
      </c>
      <c r="P34" s="14" t="s">
        <v>672</v>
      </c>
      <c r="Q34" s="14" t="s">
        <v>65</v>
      </c>
      <c r="R34" s="28" t="s">
        <v>25</v>
      </c>
    </row>
    <row r="35" spans="1:18" s="62" customFormat="1" ht="24.95" customHeight="1" x14ac:dyDescent="0.25">
      <c r="A35" s="346">
        <v>8</v>
      </c>
      <c r="B35" s="10" t="s">
        <v>824</v>
      </c>
      <c r="C35" s="33">
        <v>963.13999999999987</v>
      </c>
      <c r="D35" s="56">
        <v>264.54000000000002</v>
      </c>
      <c r="E35" s="56">
        <v>264.54000000000002</v>
      </c>
      <c r="F35" s="56">
        <v>26.05</v>
      </c>
      <c r="G35" s="33">
        <v>44.86</v>
      </c>
      <c r="H35" s="35">
        <f t="shared" si="5"/>
        <v>1.0984728207454451</v>
      </c>
      <c r="I35" s="33">
        <v>1168.5999999999999</v>
      </c>
      <c r="J35" s="56">
        <v>4.58</v>
      </c>
      <c r="K35" s="12">
        <f t="shared" si="6"/>
        <v>1.731307174718379E-2</v>
      </c>
      <c r="L35" s="348">
        <f t="shared" si="7"/>
        <v>205.4588</v>
      </c>
      <c r="M35" s="347">
        <f t="shared" si="8"/>
        <v>21.470000000000013</v>
      </c>
      <c r="N35" s="13">
        <f t="shared" si="9"/>
        <v>8.1159748998261172E-2</v>
      </c>
      <c r="O35" s="69" t="s">
        <v>22</v>
      </c>
      <c r="P35" s="14" t="s">
        <v>672</v>
      </c>
      <c r="Q35" s="14" t="s">
        <v>894</v>
      </c>
      <c r="R35" s="28" t="s">
        <v>25</v>
      </c>
    </row>
    <row r="36" spans="1:18" s="62" customFormat="1" ht="24.95" customHeight="1" x14ac:dyDescent="0.25">
      <c r="A36" s="349">
        <v>9</v>
      </c>
      <c r="B36" s="10" t="s">
        <v>90</v>
      </c>
      <c r="C36" s="33">
        <v>961.05000000000007</v>
      </c>
      <c r="D36" s="56">
        <v>135.80000000000001</v>
      </c>
      <c r="E36" s="56">
        <v>135.80000000000001</v>
      </c>
      <c r="F36" s="56">
        <v>7</v>
      </c>
      <c r="G36" s="33">
        <v>166.56</v>
      </c>
      <c r="H36" s="35">
        <f t="shared" si="5"/>
        <v>1.0515463917525774</v>
      </c>
      <c r="I36" s="33">
        <v>1165.92</v>
      </c>
      <c r="J36" s="56">
        <v>1.23</v>
      </c>
      <c r="K36" s="12">
        <f t="shared" si="6"/>
        <v>9.0574374079528709E-3</v>
      </c>
      <c r="L36" s="348">
        <f t="shared" si="7"/>
        <v>204.86879999999999</v>
      </c>
      <c r="M36" s="347">
        <f t="shared" si="8"/>
        <v>5.77</v>
      </c>
      <c r="N36" s="13">
        <f t="shared" si="9"/>
        <v>4.2488954344624442E-2</v>
      </c>
      <c r="O36" s="69" t="s">
        <v>22</v>
      </c>
      <c r="P36" s="14" t="s">
        <v>672</v>
      </c>
      <c r="Q36" s="14" t="s">
        <v>84</v>
      </c>
      <c r="R36" s="28" t="s">
        <v>89</v>
      </c>
    </row>
    <row r="37" spans="1:18" s="62" customFormat="1" ht="24.95" customHeight="1" thickBot="1" x14ac:dyDescent="0.3">
      <c r="A37" s="350">
        <v>10</v>
      </c>
      <c r="B37" s="16" t="s">
        <v>52</v>
      </c>
      <c r="C37" s="34">
        <v>959.92</v>
      </c>
      <c r="D37" s="58">
        <v>335.24</v>
      </c>
      <c r="E37" s="58">
        <v>335.24</v>
      </c>
      <c r="F37" s="58">
        <v>8.6999999999999993</v>
      </c>
      <c r="G37" s="34">
        <v>133.88</v>
      </c>
      <c r="H37" s="36">
        <f t="shared" si="5"/>
        <v>1.0259515570934257</v>
      </c>
      <c r="I37" s="34">
        <v>1164.76</v>
      </c>
      <c r="J37" s="58">
        <v>1.53</v>
      </c>
      <c r="K37" s="18">
        <f t="shared" si="6"/>
        <v>4.5638945233265719E-3</v>
      </c>
      <c r="L37" s="352">
        <f t="shared" si="7"/>
        <v>204.8364</v>
      </c>
      <c r="M37" s="351">
        <f t="shared" si="8"/>
        <v>7.1699999999999884</v>
      </c>
      <c r="N37" s="19">
        <f t="shared" si="9"/>
        <v>2.1387662570098998E-2</v>
      </c>
      <c r="O37" s="52" t="s">
        <v>22</v>
      </c>
      <c r="P37" s="20" t="s">
        <v>672</v>
      </c>
      <c r="Q37" s="20" t="s">
        <v>892</v>
      </c>
      <c r="R37" s="65" t="s">
        <v>77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1063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1036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565" t="s">
        <v>1040</v>
      </c>
      <c r="B41" s="450" t="s">
        <v>1060</v>
      </c>
      <c r="C41" s="450"/>
      <c r="D41" s="451"/>
      <c r="E41" s="23"/>
      <c r="G41" s="21"/>
      <c r="H41" s="22"/>
    </row>
    <row r="42" spans="1:18" ht="20.45" customHeight="1" x14ac:dyDescent="0.35">
      <c r="A42" s="565"/>
      <c r="B42" s="566" t="s">
        <v>1043</v>
      </c>
      <c r="C42" s="567" t="s">
        <v>1044</v>
      </c>
      <c r="D42" s="568" t="s">
        <v>1064</v>
      </c>
      <c r="E42" s="23"/>
      <c r="G42" s="21"/>
      <c r="H42" s="22"/>
    </row>
    <row r="43" spans="1:18" ht="20.45" customHeight="1" x14ac:dyDescent="0.35">
      <c r="A43" s="565"/>
      <c r="B43" s="566"/>
      <c r="C43" s="567"/>
      <c r="D43" s="568"/>
      <c r="E43" s="23"/>
      <c r="G43" s="21"/>
      <c r="H43" s="22"/>
    </row>
    <row r="44" spans="1:18" s="26" customFormat="1" ht="24.95" customHeight="1" x14ac:dyDescent="0.35">
      <c r="A44" s="356">
        <v>1</v>
      </c>
      <c r="B44" s="10" t="s">
        <v>786</v>
      </c>
      <c r="C44" s="33">
        <v>1447.16</v>
      </c>
      <c r="D44" s="24">
        <f t="shared" ref="D44:D53" si="10">C44/$L$5</f>
        <v>0.17212399169328924</v>
      </c>
      <c r="E44" s="25"/>
      <c r="G44" s="21"/>
      <c r="H44" s="22"/>
    </row>
    <row r="45" spans="1:18" s="26" customFormat="1" ht="24.95" customHeight="1" x14ac:dyDescent="0.35">
      <c r="A45" s="357">
        <v>2</v>
      </c>
      <c r="B45" s="10" t="s">
        <v>706</v>
      </c>
      <c r="C45" s="33">
        <v>656.89</v>
      </c>
      <c r="D45" s="24">
        <f t="shared" si="10"/>
        <v>7.8129943408748695E-2</v>
      </c>
      <c r="E45" s="25"/>
      <c r="G45" s="21"/>
      <c r="H45" s="22"/>
    </row>
    <row r="46" spans="1:18" s="26" customFormat="1" ht="24.95" customHeight="1" x14ac:dyDescent="0.35">
      <c r="A46" s="357">
        <v>3</v>
      </c>
      <c r="B46" s="10" t="s">
        <v>787</v>
      </c>
      <c r="C46" s="33">
        <v>392.56</v>
      </c>
      <c r="D46" s="24">
        <f t="shared" si="10"/>
        <v>4.6690755810772561E-2</v>
      </c>
      <c r="E46" s="25"/>
      <c r="G46" s="21"/>
      <c r="H46" s="22"/>
    </row>
    <row r="47" spans="1:18" s="26" customFormat="1" ht="24.95" customHeight="1" x14ac:dyDescent="0.35">
      <c r="A47" s="356">
        <v>4</v>
      </c>
      <c r="B47" s="10" t="s">
        <v>42</v>
      </c>
      <c r="C47" s="33">
        <v>365.42</v>
      </c>
      <c r="D47" s="24">
        <f t="shared" si="10"/>
        <v>4.3462747066365673E-2</v>
      </c>
      <c r="E47" s="25"/>
      <c r="G47" s="21"/>
      <c r="H47" s="22"/>
    </row>
    <row r="48" spans="1:18" s="26" customFormat="1" ht="24.95" customHeight="1" x14ac:dyDescent="0.35">
      <c r="A48" s="357">
        <v>5</v>
      </c>
      <c r="B48" s="10" t="s">
        <v>118</v>
      </c>
      <c r="C48" s="33">
        <v>233.55</v>
      </c>
      <c r="D48" s="24">
        <f t="shared" si="10"/>
        <v>2.7778240318947246E-2</v>
      </c>
      <c r="E48" s="25"/>
      <c r="G48" s="21"/>
      <c r="H48" s="22"/>
    </row>
    <row r="49" spans="1:5" s="26" customFormat="1" ht="24.95" customHeight="1" x14ac:dyDescent="0.25">
      <c r="A49" s="356">
        <v>6</v>
      </c>
      <c r="B49" s="10" t="s">
        <v>37</v>
      </c>
      <c r="C49" s="33">
        <v>227.27</v>
      </c>
      <c r="D49" s="24">
        <f t="shared" si="10"/>
        <v>2.7031302407566436E-2</v>
      </c>
      <c r="E49" s="25"/>
    </row>
    <row r="50" spans="1:5" s="26" customFormat="1" ht="24.95" customHeight="1" x14ac:dyDescent="0.25">
      <c r="A50" s="357">
        <v>7</v>
      </c>
      <c r="B50" s="10" t="s">
        <v>116</v>
      </c>
      <c r="C50" s="33">
        <v>205.84</v>
      </c>
      <c r="D50" s="24">
        <f t="shared" si="10"/>
        <v>2.4482436254558343E-2</v>
      </c>
      <c r="E50" s="25"/>
    </row>
    <row r="51" spans="1:5" s="26" customFormat="1" ht="24.95" customHeight="1" x14ac:dyDescent="0.25">
      <c r="A51" s="356">
        <v>8</v>
      </c>
      <c r="B51" s="10" t="s">
        <v>665</v>
      </c>
      <c r="C51" s="33">
        <v>205.74</v>
      </c>
      <c r="D51" s="24">
        <f t="shared" si="10"/>
        <v>2.4470542338772026E-2</v>
      </c>
      <c r="E51" s="25"/>
    </row>
    <row r="52" spans="1:5" s="26" customFormat="1" ht="24.95" customHeight="1" x14ac:dyDescent="0.25">
      <c r="A52" s="357">
        <v>9</v>
      </c>
      <c r="B52" s="10" t="s">
        <v>117</v>
      </c>
      <c r="C52" s="33">
        <v>205.7</v>
      </c>
      <c r="D52" s="24">
        <f t="shared" si="10"/>
        <v>2.4465784772457495E-2</v>
      </c>
      <c r="E52" s="25"/>
    </row>
    <row r="53" spans="1:5" s="26" customFormat="1" ht="24.95" customHeight="1" thickBot="1" x14ac:dyDescent="0.3">
      <c r="A53" s="358">
        <v>10</v>
      </c>
      <c r="B53" s="16" t="s">
        <v>33</v>
      </c>
      <c r="C53" s="34">
        <v>205.54</v>
      </c>
      <c r="D53" s="27">
        <f t="shared" si="10"/>
        <v>2.4446754507199388E-2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1065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987" priority="33" operator="containsText" text="024">
      <formula>NOT(ISERROR(SEARCH("024",A12)))</formula>
    </cfRule>
    <cfRule type="containsText" dxfId="986" priority="34" operator="containsText" text="白醬">
      <formula>NOT(ISERROR(SEARCH("白醬",A12)))</formula>
    </cfRule>
    <cfRule type="containsText" dxfId="985" priority="35" operator="containsText" text="青蔥">
      <formula>NOT(ISERROR(SEARCH("青蔥",A12)))</formula>
    </cfRule>
    <cfRule type="containsText" dxfId="984" priority="36" operator="containsText" text=")川燙小青花菜">
      <formula>NOT(ISERROR(SEARCH(")川燙小青花菜",A12)))</formula>
    </cfRule>
    <cfRule type="containsText" dxfId="983" priority="37" operator="containsText" text="湯凍">
      <formula>NOT(ISERROR(SEARCH("湯凍",A12)))</formula>
    </cfRule>
    <cfRule type="containsText" dxfId="982" priority="38" operator="containsText" text="中華">
      <formula>NOT(ISERROR(SEARCH("中華",A12)))</formula>
    </cfRule>
  </conditionalFormatting>
  <conditionalFormatting sqref="A12:A22">
    <cfRule type="containsText" dxfId="981" priority="31" operator="containsText" text="綠豆芽">
      <formula>NOT(ISERROR(SEARCH("綠豆芽",A12)))</formula>
    </cfRule>
    <cfRule type="containsText" dxfId="980" priority="32" operator="containsText" text="煮白細麵生(方#12)">
      <formula>NOT(ISERROR(SEARCH("煮白細麵生(方#12)",A12)))</formula>
    </cfRule>
  </conditionalFormatting>
  <conditionalFormatting sqref="E5">
    <cfRule type="cellIs" dxfId="979" priority="16" operator="greaterThan">
      <formula>0.0025</formula>
    </cfRule>
    <cfRule type="cellIs" dxfId="978" priority="19" operator="greaterThan">
      <formula>0.0025</formula>
    </cfRule>
    <cfRule type="cellIs" dxfId="977" priority="29" operator="greaterThan">
      <formula>0.072</formula>
    </cfRule>
    <cfRule type="cellIs" dxfId="976" priority="30" operator="greaterThan">
      <formula>7.2</formula>
    </cfRule>
  </conditionalFormatting>
  <conditionalFormatting sqref="E5">
    <cfRule type="cellIs" dxfId="975" priority="28" operator="greaterThan">
      <formula>0.0025</formula>
    </cfRule>
  </conditionalFormatting>
  <conditionalFormatting sqref="A44:A53">
    <cfRule type="containsText" dxfId="974" priority="22" operator="containsText" text="024">
      <formula>NOT(ISERROR(SEARCH("024",A44)))</formula>
    </cfRule>
    <cfRule type="containsText" dxfId="973" priority="23" operator="containsText" text="白醬">
      <formula>NOT(ISERROR(SEARCH("白醬",A44)))</formula>
    </cfRule>
    <cfRule type="containsText" dxfId="972" priority="24" operator="containsText" text="青蔥">
      <formula>NOT(ISERROR(SEARCH("青蔥",A44)))</formula>
    </cfRule>
    <cfRule type="containsText" dxfId="971" priority="25" operator="containsText" text=")川燙小青花菜">
      <formula>NOT(ISERROR(SEARCH(")川燙小青花菜",A44)))</formula>
    </cfRule>
    <cfRule type="containsText" dxfId="970" priority="26" operator="containsText" text="湯凍">
      <formula>NOT(ISERROR(SEARCH("湯凍",A44)))</formula>
    </cfRule>
    <cfRule type="containsText" dxfId="969" priority="27" operator="containsText" text="中華">
      <formula>NOT(ISERROR(SEARCH("中華",A44)))</formula>
    </cfRule>
  </conditionalFormatting>
  <conditionalFormatting sqref="A44:A53">
    <cfRule type="containsText" dxfId="968" priority="20" operator="containsText" text="綠豆芽">
      <formula>NOT(ISERROR(SEARCH("綠豆芽",A44)))</formula>
    </cfRule>
    <cfRule type="containsText" dxfId="967" priority="21" operator="containsText" text="煮白細麵生(方#12)">
      <formula>NOT(ISERROR(SEARCH("煮白細麵生(方#12)",A44)))</formula>
    </cfRule>
  </conditionalFormatting>
  <conditionalFormatting sqref="D44:D53">
    <cfRule type="cellIs" dxfId="966" priority="18" operator="greaterThan">
      <formula>0.146</formula>
    </cfRule>
  </conditionalFormatting>
  <conditionalFormatting sqref="H12:H22">
    <cfRule type="cellIs" dxfId="965" priority="17" operator="greaterThan">
      <formula>1.1</formula>
    </cfRule>
  </conditionalFormatting>
  <conditionalFormatting sqref="I5">
    <cfRule type="cellIs" dxfId="964" priority="15" operator="greaterThan">
      <formula>0.2</formula>
    </cfRule>
  </conditionalFormatting>
  <conditionalFormatting sqref="A28:A37">
    <cfRule type="containsText" dxfId="963" priority="9" operator="containsText" text="024">
      <formula>NOT(ISERROR(SEARCH("024",A28)))</formula>
    </cfRule>
    <cfRule type="containsText" dxfId="962" priority="10" operator="containsText" text="白醬">
      <formula>NOT(ISERROR(SEARCH("白醬",A28)))</formula>
    </cfRule>
    <cfRule type="containsText" dxfId="961" priority="11" operator="containsText" text="青蔥">
      <formula>NOT(ISERROR(SEARCH("青蔥",A28)))</formula>
    </cfRule>
    <cfRule type="containsText" dxfId="960" priority="12" operator="containsText" text=")川燙小青花菜">
      <formula>NOT(ISERROR(SEARCH(")川燙小青花菜",A28)))</formula>
    </cfRule>
    <cfRule type="containsText" dxfId="959" priority="13" operator="containsText" text="湯凍">
      <formula>NOT(ISERROR(SEARCH("湯凍",A28)))</formula>
    </cfRule>
    <cfRule type="containsText" dxfId="958" priority="14" operator="containsText" text="中華">
      <formula>NOT(ISERROR(SEARCH("中華",A28)))</formula>
    </cfRule>
  </conditionalFormatting>
  <conditionalFormatting sqref="A28:A37">
    <cfRule type="containsText" dxfId="957" priority="7" operator="containsText" text="綠豆芽">
      <formula>NOT(ISERROR(SEARCH("綠豆芽",A28)))</formula>
    </cfRule>
    <cfRule type="containsText" dxfId="956" priority="8" operator="containsText" text="煮白細麵生(方#12)">
      <formula>NOT(ISERROR(SEARCH("煮白細麵生(方#12)",A28)))</formula>
    </cfRule>
  </conditionalFormatting>
  <conditionalFormatting sqref="H28:H37">
    <cfRule type="cellIs" dxfId="955" priority="6" operator="greaterThan">
      <formula>1.1</formula>
    </cfRule>
  </conditionalFormatting>
  <conditionalFormatting sqref="G5">
    <cfRule type="cellIs" dxfId="954" priority="1" operator="greaterThan">
      <formula>0.0025</formula>
    </cfRule>
    <cfRule type="cellIs" dxfId="953" priority="2" operator="greaterThan">
      <formula>0.0025</formula>
    </cfRule>
    <cfRule type="cellIs" dxfId="952" priority="4" operator="greaterThan">
      <formula>0.072</formula>
    </cfRule>
    <cfRule type="cellIs" dxfId="951" priority="5" operator="greaterThan">
      <formula>7.2</formula>
    </cfRule>
  </conditionalFormatting>
  <conditionalFormatting sqref="G5">
    <cfRule type="cellIs" dxfId="95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4" zoomScale="55" zoomScaleNormal="55" zoomScaleSheetLayoutView="70" workbookViewId="0">
      <selection activeCell="U15" sqref="U1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590" t="s">
        <v>92</v>
      </c>
      <c r="B2" s="591"/>
      <c r="C2" s="323" t="s">
        <v>93</v>
      </c>
      <c r="D2" s="592" t="s">
        <v>94</v>
      </c>
      <c r="E2" s="592"/>
      <c r="F2" s="592" t="s">
        <v>95</v>
      </c>
      <c r="G2" s="592"/>
      <c r="H2" s="592" t="s">
        <v>94</v>
      </c>
      <c r="I2" s="592"/>
      <c r="J2" s="592" t="s">
        <v>95</v>
      </c>
      <c r="K2" s="592"/>
      <c r="L2" s="592" t="s">
        <v>94</v>
      </c>
      <c r="M2" s="593"/>
      <c r="R2" s="54"/>
    </row>
    <row r="3" spans="1:18" s="1" customFormat="1" ht="28.5" x14ac:dyDescent="0.45">
      <c r="A3" s="600">
        <v>45894</v>
      </c>
      <c r="B3" s="601"/>
      <c r="C3" s="602">
        <v>6110563.6299999999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600"/>
      <c r="B4" s="601"/>
      <c r="C4" s="602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594" t="s">
        <v>105</v>
      </c>
      <c r="B5" s="595"/>
      <c r="C5" s="595"/>
      <c r="D5" s="324">
        <v>14920.72</v>
      </c>
      <c r="E5" s="5">
        <f>D5/C3</f>
        <v>2.4417911183751144E-3</v>
      </c>
      <c r="F5" s="324">
        <v>48957.46</v>
      </c>
      <c r="G5" s="44">
        <f>F5/C3</f>
        <v>8.0119384993622925E-3</v>
      </c>
      <c r="H5" s="6">
        <f>SUM(C12:C21)</f>
        <v>4555.26</v>
      </c>
      <c r="I5" s="7">
        <f>H5/D5</f>
        <v>0.30529759957964497</v>
      </c>
      <c r="J5" s="6">
        <f>SUM(C28:C37)</f>
        <v>9093.9500000000007</v>
      </c>
      <c r="K5" s="46">
        <f>J5/F5</f>
        <v>0.18575207945837061</v>
      </c>
      <c r="L5" s="8">
        <v>7181.7900000000009</v>
      </c>
      <c r="M5" s="9">
        <f>L5/D5</f>
        <v>0.4813299894375071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979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980</v>
      </c>
      <c r="B8" s="447"/>
      <c r="C8" s="447"/>
      <c r="D8" s="447" t="s">
        <v>981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982</v>
      </c>
      <c r="P8" s="457" t="s">
        <v>983</v>
      </c>
      <c r="Q8" s="456" t="s">
        <v>984</v>
      </c>
      <c r="R8" s="596" t="s">
        <v>985</v>
      </c>
    </row>
    <row r="9" spans="1:18" ht="20.45" customHeight="1" x14ac:dyDescent="0.25">
      <c r="A9" s="597" t="s">
        <v>986</v>
      </c>
      <c r="B9" s="461" t="s">
        <v>987</v>
      </c>
      <c r="C9" s="462"/>
      <c r="D9" s="463" t="s">
        <v>988</v>
      </c>
      <c r="E9" s="463"/>
      <c r="F9" s="463"/>
      <c r="G9" s="463"/>
      <c r="H9" s="463"/>
      <c r="I9" s="463"/>
      <c r="J9" s="464" t="s">
        <v>989</v>
      </c>
      <c r="K9" s="464"/>
      <c r="L9" s="464"/>
      <c r="M9" s="465"/>
      <c r="N9" s="465"/>
      <c r="O9" s="456"/>
      <c r="P9" s="456"/>
      <c r="Q9" s="456"/>
      <c r="R9" s="596"/>
    </row>
    <row r="10" spans="1:18" ht="20.45" customHeight="1" x14ac:dyDescent="0.3">
      <c r="A10" s="598"/>
      <c r="B10" s="603" t="s">
        <v>990</v>
      </c>
      <c r="C10" s="605" t="s">
        <v>991</v>
      </c>
      <c r="D10" s="607" t="s">
        <v>992</v>
      </c>
      <c r="E10" s="607"/>
      <c r="F10" s="607"/>
      <c r="G10" s="607"/>
      <c r="H10" s="607"/>
      <c r="I10" s="607"/>
      <c r="J10" s="608" t="s">
        <v>993</v>
      </c>
      <c r="K10" s="609"/>
      <c r="L10" s="610" t="s">
        <v>994</v>
      </c>
      <c r="M10" s="608"/>
      <c r="N10" s="608"/>
      <c r="O10" s="456"/>
      <c r="P10" s="456"/>
      <c r="Q10" s="456"/>
      <c r="R10" s="596"/>
    </row>
    <row r="11" spans="1:18" s="55" customFormat="1" ht="47.25" customHeight="1" x14ac:dyDescent="0.25">
      <c r="A11" s="599"/>
      <c r="B11" s="604"/>
      <c r="C11" s="606"/>
      <c r="D11" s="325" t="s">
        <v>995</v>
      </c>
      <c r="E11" s="325" t="s">
        <v>996</v>
      </c>
      <c r="F11" s="325" t="s">
        <v>997</v>
      </c>
      <c r="G11" s="325" t="s">
        <v>998</v>
      </c>
      <c r="H11" s="325" t="s">
        <v>999</v>
      </c>
      <c r="I11" s="325" t="s">
        <v>1000</v>
      </c>
      <c r="J11" s="326" t="s">
        <v>1001</v>
      </c>
      <c r="K11" s="326" t="s">
        <v>1002</v>
      </c>
      <c r="L11" s="326" t="s">
        <v>1001</v>
      </c>
      <c r="M11" s="326" t="s">
        <v>1002</v>
      </c>
      <c r="N11" s="327" t="s">
        <v>1003</v>
      </c>
      <c r="O11" s="456"/>
      <c r="P11" s="456"/>
      <c r="Q11" s="456"/>
      <c r="R11" s="596"/>
    </row>
    <row r="12" spans="1:18" s="15" customFormat="1" ht="24.95" customHeight="1" x14ac:dyDescent="0.25">
      <c r="A12" s="328">
        <v>1</v>
      </c>
      <c r="B12" s="10" t="s">
        <v>542</v>
      </c>
      <c r="C12" s="33">
        <v>1086.6199999999999</v>
      </c>
      <c r="D12" s="56">
        <v>203.85</v>
      </c>
      <c r="E12" s="56">
        <v>203.85</v>
      </c>
      <c r="F12" s="56">
        <v>11.16</v>
      </c>
      <c r="G12" s="33">
        <v>194.04</v>
      </c>
      <c r="H12" s="11">
        <f t="shared" ref="H12:H21" si="0">(E12+F12)/D12</f>
        <v>1.0547461368653421</v>
      </c>
      <c r="I12" s="33">
        <v>2165.4899999999998</v>
      </c>
      <c r="J12" s="56">
        <v>5.6</v>
      </c>
      <c r="K12" s="12">
        <f t="shared" ref="K12:K21" si="1">J12/D12</f>
        <v>2.7471179789060583E-2</v>
      </c>
      <c r="L12" s="329">
        <f t="shared" ref="L12:L21" si="2">((E12+F12)-D12)-J12</f>
        <v>5.5599999999999969</v>
      </c>
      <c r="M12" s="13">
        <f t="shared" ref="M12:M21" si="3">L12/D12</f>
        <v>2.7274957076281567E-2</v>
      </c>
      <c r="N12" s="330">
        <f t="shared" ref="N12:N21" si="4">L12*G12</f>
        <v>1078.8623999999993</v>
      </c>
      <c r="O12" s="66" t="s">
        <v>584</v>
      </c>
      <c r="P12" s="66" t="s">
        <v>672</v>
      </c>
      <c r="Q12" s="66" t="s">
        <v>975</v>
      </c>
      <c r="R12" s="28" t="s">
        <v>543</v>
      </c>
    </row>
    <row r="13" spans="1:18" s="15" customFormat="1" ht="24.95" customHeight="1" x14ac:dyDescent="0.25">
      <c r="A13" s="331">
        <v>2</v>
      </c>
      <c r="B13" s="10" t="s">
        <v>786</v>
      </c>
      <c r="C13" s="33">
        <v>795.53</v>
      </c>
      <c r="D13" s="56">
        <v>13519</v>
      </c>
      <c r="E13" s="56">
        <v>13519</v>
      </c>
      <c r="F13" s="56">
        <v>137.16</v>
      </c>
      <c r="G13" s="33">
        <v>5.8</v>
      </c>
      <c r="H13" s="11">
        <f t="shared" si="0"/>
        <v>1.0101457208373401</v>
      </c>
      <c r="I13" s="33">
        <v>795.53</v>
      </c>
      <c r="J13" s="56">
        <v>137.16</v>
      </c>
      <c r="K13" s="12">
        <f t="shared" si="1"/>
        <v>1.014572083734004E-2</v>
      </c>
      <c r="L13" s="329">
        <f t="shared" si="2"/>
        <v>0</v>
      </c>
      <c r="M13" s="13">
        <f t="shared" si="3"/>
        <v>0</v>
      </c>
      <c r="N13" s="330">
        <f t="shared" si="4"/>
        <v>0</v>
      </c>
      <c r="O13" s="66" t="s">
        <v>584</v>
      </c>
      <c r="P13" s="66" t="s">
        <v>675</v>
      </c>
      <c r="Q13" s="66" t="s">
        <v>973</v>
      </c>
      <c r="R13" s="28" t="s">
        <v>25</v>
      </c>
    </row>
    <row r="14" spans="1:18" s="57" customFormat="1" ht="24.95" customHeight="1" x14ac:dyDescent="0.25">
      <c r="A14" s="331">
        <v>3</v>
      </c>
      <c r="B14" s="10" t="s">
        <v>42</v>
      </c>
      <c r="C14" s="33">
        <v>603.16999999999996</v>
      </c>
      <c r="D14" s="56">
        <v>76.819999999999993</v>
      </c>
      <c r="E14" s="56">
        <v>76.819999999999993</v>
      </c>
      <c r="F14" s="56">
        <v>7.68</v>
      </c>
      <c r="G14" s="33">
        <v>159.57</v>
      </c>
      <c r="H14" s="11">
        <f t="shared" si="0"/>
        <v>1.0999739651132519</v>
      </c>
      <c r="I14" s="33">
        <v>1225.5</v>
      </c>
      <c r="J14" s="56">
        <v>3.78</v>
      </c>
      <c r="K14" s="12">
        <f t="shared" si="1"/>
        <v>4.9205935954178603E-2</v>
      </c>
      <c r="L14" s="329">
        <f t="shared" si="2"/>
        <v>3.900000000000007</v>
      </c>
      <c r="M14" s="13">
        <f t="shared" si="3"/>
        <v>5.0768029159073254E-2</v>
      </c>
      <c r="N14" s="330">
        <f t="shared" si="4"/>
        <v>622.32300000000112</v>
      </c>
      <c r="O14" s="66" t="s">
        <v>584</v>
      </c>
      <c r="P14" s="66" t="s">
        <v>672</v>
      </c>
      <c r="Q14" s="66" t="s">
        <v>975</v>
      </c>
      <c r="R14" s="28" t="s">
        <v>25</v>
      </c>
    </row>
    <row r="15" spans="1:18" s="15" customFormat="1" ht="24.95" customHeight="1" x14ac:dyDescent="0.25">
      <c r="A15" s="328">
        <v>4</v>
      </c>
      <c r="B15" s="10" t="s">
        <v>46</v>
      </c>
      <c r="C15" s="33">
        <v>465.18</v>
      </c>
      <c r="D15" s="56">
        <v>26.8</v>
      </c>
      <c r="E15" s="56">
        <v>27.02</v>
      </c>
      <c r="F15" s="56">
        <v>1.23</v>
      </c>
      <c r="G15" s="33">
        <v>930.36</v>
      </c>
      <c r="H15" s="11">
        <f t="shared" si="0"/>
        <v>1.0541044776119404</v>
      </c>
      <c r="I15" s="33">
        <v>1349.02</v>
      </c>
      <c r="J15" s="56">
        <v>0.5</v>
      </c>
      <c r="K15" s="12">
        <f t="shared" si="1"/>
        <v>1.8656716417910446E-2</v>
      </c>
      <c r="L15" s="329">
        <f t="shared" si="2"/>
        <v>0.94999999999999929</v>
      </c>
      <c r="M15" s="13">
        <f t="shared" si="3"/>
        <v>3.5447761194029821E-2</v>
      </c>
      <c r="N15" s="330">
        <f t="shared" si="4"/>
        <v>883.8419999999993</v>
      </c>
      <c r="O15" s="66" t="s">
        <v>584</v>
      </c>
      <c r="P15" s="66" t="s">
        <v>672</v>
      </c>
      <c r="Q15" s="66" t="s">
        <v>975</v>
      </c>
      <c r="R15" s="28" t="s">
        <v>76</v>
      </c>
    </row>
    <row r="16" spans="1:18" s="57" customFormat="1" ht="24.95" customHeight="1" x14ac:dyDescent="0.25">
      <c r="A16" s="331">
        <v>5</v>
      </c>
      <c r="B16" s="10" t="s">
        <v>787</v>
      </c>
      <c r="C16" s="33">
        <v>375.98</v>
      </c>
      <c r="D16" s="56">
        <v>7063</v>
      </c>
      <c r="E16" s="56">
        <v>7063</v>
      </c>
      <c r="F16" s="56">
        <v>57.14</v>
      </c>
      <c r="G16" s="33">
        <v>6.58</v>
      </c>
      <c r="H16" s="11">
        <f t="shared" si="0"/>
        <v>1.0080900467223559</v>
      </c>
      <c r="I16" s="33">
        <v>375.98</v>
      </c>
      <c r="J16" s="56">
        <v>57.14</v>
      </c>
      <c r="K16" s="12">
        <f t="shared" si="1"/>
        <v>8.090046722355939E-3</v>
      </c>
      <c r="L16" s="329">
        <f t="shared" si="2"/>
        <v>3.2684965844964609E-13</v>
      </c>
      <c r="M16" s="13">
        <f t="shared" si="3"/>
        <v>4.62763214568379E-17</v>
      </c>
      <c r="N16" s="330">
        <f t="shared" si="4"/>
        <v>2.1506707525986713E-12</v>
      </c>
      <c r="O16" s="66" t="s">
        <v>18</v>
      </c>
      <c r="P16" s="66" t="s">
        <v>673</v>
      </c>
      <c r="Q16" s="66" t="s">
        <v>974</v>
      </c>
      <c r="R16" s="28" t="s">
        <v>25</v>
      </c>
    </row>
    <row r="17" spans="1:18" s="15" customFormat="1" ht="24.95" customHeight="1" x14ac:dyDescent="0.25">
      <c r="A17" s="328">
        <v>6</v>
      </c>
      <c r="B17" s="10" t="s">
        <v>788</v>
      </c>
      <c r="C17" s="33">
        <v>342.42</v>
      </c>
      <c r="D17" s="56">
        <v>74.8</v>
      </c>
      <c r="E17" s="56">
        <v>74.8</v>
      </c>
      <c r="F17" s="56">
        <v>7.48</v>
      </c>
      <c r="G17" s="33">
        <v>114.14</v>
      </c>
      <c r="H17" s="11">
        <f t="shared" si="0"/>
        <v>1.1000000000000001</v>
      </c>
      <c r="I17" s="33">
        <v>853.77</v>
      </c>
      <c r="J17" s="56">
        <v>3</v>
      </c>
      <c r="K17" s="12">
        <f t="shared" si="1"/>
        <v>4.0106951871657755E-2</v>
      </c>
      <c r="L17" s="329">
        <f t="shared" si="2"/>
        <v>4.480000000000004</v>
      </c>
      <c r="M17" s="13">
        <f t="shared" si="3"/>
        <v>5.9893048128342299E-2</v>
      </c>
      <c r="N17" s="330">
        <f t="shared" si="4"/>
        <v>511.34720000000044</v>
      </c>
      <c r="O17" s="66" t="s">
        <v>584</v>
      </c>
      <c r="P17" s="66" t="s">
        <v>672</v>
      </c>
      <c r="Q17" s="66" t="s">
        <v>975</v>
      </c>
      <c r="R17" s="28" t="s">
        <v>789</v>
      </c>
    </row>
    <row r="18" spans="1:18" s="57" customFormat="1" ht="24.95" customHeight="1" x14ac:dyDescent="0.25">
      <c r="A18" s="331">
        <v>7</v>
      </c>
      <c r="B18" s="10" t="s">
        <v>108</v>
      </c>
      <c r="C18" s="33">
        <v>303.42</v>
      </c>
      <c r="D18" s="56">
        <v>51.15</v>
      </c>
      <c r="E18" s="56">
        <v>51.15</v>
      </c>
      <c r="F18" s="56">
        <v>5.1100000000000003</v>
      </c>
      <c r="G18" s="33">
        <v>118.99</v>
      </c>
      <c r="H18" s="11">
        <f t="shared" si="0"/>
        <v>1.099902248289345</v>
      </c>
      <c r="I18" s="33">
        <v>608.04</v>
      </c>
      <c r="J18" s="56">
        <v>2.5499999999999998</v>
      </c>
      <c r="K18" s="12">
        <f t="shared" si="1"/>
        <v>4.9853372434017593E-2</v>
      </c>
      <c r="L18" s="329">
        <f t="shared" si="2"/>
        <v>2.5599999999999996</v>
      </c>
      <c r="M18" s="13">
        <f t="shared" si="3"/>
        <v>5.0048875855327461E-2</v>
      </c>
      <c r="N18" s="330">
        <f t="shared" si="4"/>
        <v>304.61439999999993</v>
      </c>
      <c r="O18" s="66" t="s">
        <v>584</v>
      </c>
      <c r="P18" s="66" t="s">
        <v>672</v>
      </c>
      <c r="Q18" s="66" t="s">
        <v>585</v>
      </c>
      <c r="R18" s="28" t="s">
        <v>51</v>
      </c>
    </row>
    <row r="19" spans="1:18" s="15" customFormat="1" ht="24.95" customHeight="1" x14ac:dyDescent="0.25">
      <c r="A19" s="328">
        <v>8</v>
      </c>
      <c r="B19" s="10" t="s">
        <v>48</v>
      </c>
      <c r="C19" s="33">
        <v>194.68</v>
      </c>
      <c r="D19" s="56">
        <v>16.27</v>
      </c>
      <c r="E19" s="56">
        <v>16.27</v>
      </c>
      <c r="F19" s="56">
        <v>1.1399999999999999</v>
      </c>
      <c r="G19" s="33">
        <v>846.44</v>
      </c>
      <c r="H19" s="11">
        <f t="shared" si="0"/>
        <v>1.0700676090964967</v>
      </c>
      <c r="I19" s="33">
        <v>964.94</v>
      </c>
      <c r="J19" s="56">
        <v>0.23</v>
      </c>
      <c r="K19" s="12">
        <f t="shared" si="1"/>
        <v>1.4136447449293179E-2</v>
      </c>
      <c r="L19" s="329">
        <f t="shared" si="2"/>
        <v>0.91000000000000059</v>
      </c>
      <c r="M19" s="13">
        <f t="shared" si="3"/>
        <v>5.5931161647203478E-2</v>
      </c>
      <c r="N19" s="330">
        <f t="shared" si="4"/>
        <v>770.26040000000057</v>
      </c>
      <c r="O19" s="66" t="s">
        <v>584</v>
      </c>
      <c r="P19" s="66" t="s">
        <v>672</v>
      </c>
      <c r="Q19" s="66" t="s">
        <v>975</v>
      </c>
      <c r="R19" s="28" t="s">
        <v>73</v>
      </c>
    </row>
    <row r="20" spans="1:18" s="15" customFormat="1" ht="24.95" customHeight="1" x14ac:dyDescent="0.25">
      <c r="A20" s="331">
        <v>9</v>
      </c>
      <c r="B20" s="10" t="s">
        <v>45</v>
      </c>
      <c r="C20" s="33">
        <v>194.18</v>
      </c>
      <c r="D20" s="56">
        <v>90.13</v>
      </c>
      <c r="E20" s="56">
        <v>90.13</v>
      </c>
      <c r="F20" s="56">
        <v>3.36</v>
      </c>
      <c r="G20" s="33">
        <v>318.32</v>
      </c>
      <c r="H20" s="11">
        <f t="shared" si="0"/>
        <v>1.0372794851880618</v>
      </c>
      <c r="I20" s="33">
        <v>1069.56</v>
      </c>
      <c r="J20" s="56">
        <v>0.61</v>
      </c>
      <c r="K20" s="12">
        <f t="shared" si="1"/>
        <v>6.7680017752135809E-3</v>
      </c>
      <c r="L20" s="329">
        <f t="shared" si="2"/>
        <v>2.7499999999999996</v>
      </c>
      <c r="M20" s="13">
        <f t="shared" si="3"/>
        <v>3.0511483412848105E-2</v>
      </c>
      <c r="N20" s="330">
        <f t="shared" si="4"/>
        <v>875.37999999999988</v>
      </c>
      <c r="O20" s="66" t="s">
        <v>584</v>
      </c>
      <c r="P20" s="66" t="s">
        <v>672</v>
      </c>
      <c r="Q20" s="66" t="s">
        <v>67</v>
      </c>
      <c r="R20" s="28" t="s">
        <v>76</v>
      </c>
    </row>
    <row r="21" spans="1:18" s="15" customFormat="1" ht="24.95" customHeight="1" thickBot="1" x14ac:dyDescent="0.3">
      <c r="A21" s="332">
        <v>10</v>
      </c>
      <c r="B21" s="16" t="s">
        <v>630</v>
      </c>
      <c r="C21" s="34">
        <v>194.08</v>
      </c>
      <c r="D21" s="58">
        <v>35.51</v>
      </c>
      <c r="E21" s="58">
        <v>35.51</v>
      </c>
      <c r="F21" s="58">
        <v>3.55</v>
      </c>
      <c r="G21" s="34">
        <v>194.08</v>
      </c>
      <c r="H21" s="17">
        <f t="shared" si="0"/>
        <v>1.0999718389186144</v>
      </c>
      <c r="I21" s="34">
        <v>688.98</v>
      </c>
      <c r="J21" s="58">
        <v>1</v>
      </c>
      <c r="K21" s="18">
        <f t="shared" si="1"/>
        <v>2.8161081385525207E-2</v>
      </c>
      <c r="L21" s="333">
        <f t="shared" si="2"/>
        <v>2.5499999999999972</v>
      </c>
      <c r="M21" s="19">
        <f t="shared" si="3"/>
        <v>7.1810757533089201E-2</v>
      </c>
      <c r="N21" s="334">
        <f t="shared" si="4"/>
        <v>494.90399999999948</v>
      </c>
      <c r="O21" s="64" t="s">
        <v>584</v>
      </c>
      <c r="P21" s="64" t="s">
        <v>672</v>
      </c>
      <c r="Q21" s="64" t="s">
        <v>585</v>
      </c>
      <c r="R21" s="29" t="s">
        <v>89</v>
      </c>
    </row>
    <row r="22" spans="1:18" s="62" customFormat="1" ht="24.95" customHeight="1" thickBot="1" x14ac:dyDescent="0.3">
      <c r="A22" s="335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336"/>
      <c r="M22" s="30"/>
      <c r="N22" s="337"/>
      <c r="O22" s="61"/>
      <c r="P22" s="61"/>
      <c r="Q22" s="61"/>
      <c r="R22" s="59"/>
    </row>
    <row r="23" spans="1:18" s="62" customFormat="1" ht="40.5" customHeight="1" x14ac:dyDescent="0.25">
      <c r="A23" s="443" t="s">
        <v>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127</v>
      </c>
      <c r="B24" s="447"/>
      <c r="C24" s="447"/>
      <c r="D24" s="447" t="s">
        <v>128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129</v>
      </c>
      <c r="P24" s="457" t="s">
        <v>604</v>
      </c>
      <c r="Q24" s="456" t="s">
        <v>605</v>
      </c>
      <c r="R24" s="596" t="s">
        <v>131</v>
      </c>
    </row>
    <row r="25" spans="1:18" s="62" customFormat="1" ht="24.95" customHeight="1" x14ac:dyDescent="0.25">
      <c r="A25" s="597" t="s">
        <v>986</v>
      </c>
      <c r="B25" s="461" t="s">
        <v>133</v>
      </c>
      <c r="C25" s="462"/>
      <c r="D25" s="463" t="s">
        <v>988</v>
      </c>
      <c r="E25" s="463"/>
      <c r="F25" s="463"/>
      <c r="G25" s="463"/>
      <c r="H25" s="463"/>
      <c r="I25" s="463"/>
      <c r="J25" s="464" t="s">
        <v>135</v>
      </c>
      <c r="K25" s="464"/>
      <c r="L25" s="464"/>
      <c r="M25" s="465"/>
      <c r="N25" s="465"/>
      <c r="O25" s="456"/>
      <c r="P25" s="456"/>
      <c r="Q25" s="456"/>
      <c r="R25" s="596"/>
    </row>
    <row r="26" spans="1:18" s="62" customFormat="1" ht="24.95" customHeight="1" x14ac:dyDescent="0.3">
      <c r="A26" s="598"/>
      <c r="B26" s="603" t="s">
        <v>990</v>
      </c>
      <c r="C26" s="605" t="s">
        <v>158</v>
      </c>
      <c r="D26" s="607" t="s">
        <v>110</v>
      </c>
      <c r="E26" s="607"/>
      <c r="F26" s="607"/>
      <c r="G26" s="607"/>
      <c r="H26" s="607"/>
      <c r="I26" s="607"/>
      <c r="J26" s="608" t="s">
        <v>138</v>
      </c>
      <c r="K26" s="611"/>
      <c r="L26" s="609"/>
      <c r="M26" s="608" t="s">
        <v>139</v>
      </c>
      <c r="N26" s="609"/>
      <c r="O26" s="456"/>
      <c r="P26" s="456"/>
      <c r="Q26" s="456"/>
      <c r="R26" s="596"/>
    </row>
    <row r="27" spans="1:18" s="62" customFormat="1" ht="50.1" customHeight="1" x14ac:dyDescent="0.25">
      <c r="A27" s="599"/>
      <c r="B27" s="604"/>
      <c r="C27" s="606"/>
      <c r="D27" s="325" t="s">
        <v>995</v>
      </c>
      <c r="E27" s="325" t="s">
        <v>141</v>
      </c>
      <c r="F27" s="325" t="s">
        <v>997</v>
      </c>
      <c r="G27" s="325" t="s">
        <v>143</v>
      </c>
      <c r="H27" s="325" t="s">
        <v>144</v>
      </c>
      <c r="I27" s="325" t="s">
        <v>1000</v>
      </c>
      <c r="J27" s="326" t="s">
        <v>146</v>
      </c>
      <c r="K27" s="326" t="s">
        <v>1002</v>
      </c>
      <c r="L27" s="327" t="s">
        <v>149</v>
      </c>
      <c r="M27" s="326" t="s">
        <v>146</v>
      </c>
      <c r="N27" s="326" t="s">
        <v>147</v>
      </c>
      <c r="O27" s="456"/>
      <c r="P27" s="456"/>
      <c r="Q27" s="456"/>
      <c r="R27" s="596"/>
    </row>
    <row r="28" spans="1:18" s="62" customFormat="1" ht="24.95" customHeight="1" x14ac:dyDescent="0.25">
      <c r="A28" s="328">
        <v>1</v>
      </c>
      <c r="B28" s="10" t="s">
        <v>542</v>
      </c>
      <c r="C28" s="33">
        <v>1078.8699999999999</v>
      </c>
      <c r="D28" s="56">
        <v>203.85</v>
      </c>
      <c r="E28" s="56">
        <v>203.85</v>
      </c>
      <c r="F28" s="56">
        <v>11.16</v>
      </c>
      <c r="G28" s="33">
        <v>194.04</v>
      </c>
      <c r="H28" s="35">
        <f t="shared" ref="H28:H37" si="5">(E28+F28)/D28</f>
        <v>1.0547461368653421</v>
      </c>
      <c r="I28" s="33">
        <v>2165.4899999999998</v>
      </c>
      <c r="J28" s="56">
        <v>5.6</v>
      </c>
      <c r="K28" s="12">
        <f t="shared" ref="K28:K37" si="6">J28/D28</f>
        <v>2.7471179789060583E-2</v>
      </c>
      <c r="L28" s="330">
        <f t="shared" ref="L28:L37" si="7">J28*G28</f>
        <v>1086.6239999999998</v>
      </c>
      <c r="M28" s="329">
        <f t="shared" ref="M28:M37" si="8">((E28+F28)-D28)-J28</f>
        <v>5.5599999999999969</v>
      </c>
      <c r="N28" s="13">
        <f t="shared" ref="N28:N37" si="9">M28/D28</f>
        <v>2.7274957076281567E-2</v>
      </c>
      <c r="O28" s="69" t="s">
        <v>22</v>
      </c>
      <c r="P28" s="14" t="s">
        <v>672</v>
      </c>
      <c r="Q28" s="14" t="s">
        <v>84</v>
      </c>
      <c r="R28" s="28" t="s">
        <v>543</v>
      </c>
    </row>
    <row r="29" spans="1:18" s="62" customFormat="1" ht="24.75" customHeight="1" x14ac:dyDescent="0.25">
      <c r="A29" s="331">
        <v>2</v>
      </c>
      <c r="B29" s="10" t="s">
        <v>40</v>
      </c>
      <c r="C29" s="33">
        <v>928.2</v>
      </c>
      <c r="D29" s="56">
        <v>234.39</v>
      </c>
      <c r="E29" s="56">
        <v>234.39</v>
      </c>
      <c r="F29" s="56">
        <v>14.38</v>
      </c>
      <c r="G29" s="33">
        <v>78</v>
      </c>
      <c r="H29" s="35">
        <f t="shared" si="5"/>
        <v>1.0613507402192925</v>
      </c>
      <c r="I29" s="33">
        <v>1121.6400000000001</v>
      </c>
      <c r="J29" s="56">
        <v>2.48</v>
      </c>
      <c r="K29" s="12">
        <f t="shared" si="6"/>
        <v>1.0580656171338368E-2</v>
      </c>
      <c r="L29" s="330">
        <f t="shared" si="7"/>
        <v>193.44</v>
      </c>
      <c r="M29" s="329">
        <f t="shared" si="8"/>
        <v>11.899999999999995</v>
      </c>
      <c r="N29" s="13">
        <f t="shared" si="9"/>
        <v>5.0770084047954245E-2</v>
      </c>
      <c r="O29" s="69" t="s">
        <v>22</v>
      </c>
      <c r="P29" s="14" t="s">
        <v>672</v>
      </c>
      <c r="Q29" s="14" t="s">
        <v>891</v>
      </c>
      <c r="R29" s="28" t="s">
        <v>25</v>
      </c>
    </row>
    <row r="30" spans="1:18" s="62" customFormat="1" ht="24.95" customHeight="1" x14ac:dyDescent="0.25">
      <c r="A30" s="331">
        <v>3</v>
      </c>
      <c r="B30" s="10" t="s">
        <v>41</v>
      </c>
      <c r="C30" s="33">
        <v>903.2600000000001</v>
      </c>
      <c r="D30" s="56">
        <v>155.38</v>
      </c>
      <c r="E30" s="56">
        <v>155.38</v>
      </c>
      <c r="F30" s="56">
        <v>8.61</v>
      </c>
      <c r="G30" s="33">
        <v>127.4</v>
      </c>
      <c r="H30" s="35">
        <f t="shared" si="5"/>
        <v>1.0554125370060499</v>
      </c>
      <c r="I30" s="33">
        <v>1096.9100000000001</v>
      </c>
      <c r="J30" s="32">
        <v>1.52</v>
      </c>
      <c r="K30" s="12">
        <f t="shared" si="6"/>
        <v>9.7824687862015699E-3</v>
      </c>
      <c r="L30" s="330">
        <f t="shared" si="7"/>
        <v>193.64800000000002</v>
      </c>
      <c r="M30" s="329">
        <f t="shared" si="8"/>
        <v>7.0900000000000141</v>
      </c>
      <c r="N30" s="13">
        <f t="shared" si="9"/>
        <v>4.5630068219848205E-2</v>
      </c>
      <c r="O30" s="69" t="s">
        <v>22</v>
      </c>
      <c r="P30" s="14" t="s">
        <v>672</v>
      </c>
      <c r="Q30" s="14" t="s">
        <v>84</v>
      </c>
      <c r="R30" s="28" t="s">
        <v>25</v>
      </c>
    </row>
    <row r="31" spans="1:18" s="62" customFormat="1" ht="24.95" customHeight="1" x14ac:dyDescent="0.25">
      <c r="A31" s="328">
        <v>4</v>
      </c>
      <c r="B31" s="10" t="s">
        <v>35</v>
      </c>
      <c r="C31" s="33">
        <v>902.35000000000014</v>
      </c>
      <c r="D31" s="56">
        <v>102.42</v>
      </c>
      <c r="E31" s="56">
        <v>102.42</v>
      </c>
      <c r="F31" s="56">
        <v>2.67</v>
      </c>
      <c r="G31" s="33">
        <v>410.16</v>
      </c>
      <c r="H31" s="35">
        <f t="shared" si="5"/>
        <v>1.0260691271236086</v>
      </c>
      <c r="I31" s="33">
        <v>1095.1300000000001</v>
      </c>
      <c r="J31" s="56">
        <v>0.47</v>
      </c>
      <c r="K31" s="12">
        <f t="shared" si="6"/>
        <v>4.5889474711970314E-3</v>
      </c>
      <c r="L31" s="330">
        <f t="shared" si="7"/>
        <v>192.77520000000001</v>
      </c>
      <c r="M31" s="329">
        <f t="shared" si="8"/>
        <v>2.200000000000002</v>
      </c>
      <c r="N31" s="13">
        <f t="shared" si="9"/>
        <v>2.1480179652411658E-2</v>
      </c>
      <c r="O31" s="69" t="s">
        <v>22</v>
      </c>
      <c r="P31" s="14" t="s">
        <v>672</v>
      </c>
      <c r="Q31" s="14" t="s">
        <v>67</v>
      </c>
      <c r="R31" s="28" t="s">
        <v>25</v>
      </c>
    </row>
    <row r="32" spans="1:18" s="62" customFormat="1" ht="24.95" customHeight="1" x14ac:dyDescent="0.25">
      <c r="A32" s="331">
        <v>5</v>
      </c>
      <c r="B32" s="10" t="s">
        <v>706</v>
      </c>
      <c r="C32" s="33">
        <v>900.96</v>
      </c>
      <c r="D32" s="56">
        <v>281.33999999999997</v>
      </c>
      <c r="E32" s="56">
        <v>281.33999999999997</v>
      </c>
      <c r="F32" s="56">
        <v>11.48</v>
      </c>
      <c r="G32" s="33">
        <v>95.34</v>
      </c>
      <c r="H32" s="35">
        <f t="shared" si="5"/>
        <v>1.0408047202672923</v>
      </c>
      <c r="I32" s="33">
        <v>1094.5</v>
      </c>
      <c r="J32" s="56">
        <v>2.0299999999999998</v>
      </c>
      <c r="K32" s="12">
        <f t="shared" si="6"/>
        <v>7.2154688277528967E-3</v>
      </c>
      <c r="L32" s="330">
        <f t="shared" si="7"/>
        <v>193.5402</v>
      </c>
      <c r="M32" s="329">
        <f t="shared" si="8"/>
        <v>9.4500000000000188</v>
      </c>
      <c r="N32" s="13">
        <f t="shared" si="9"/>
        <v>3.3589251439539419E-2</v>
      </c>
      <c r="O32" s="69" t="s">
        <v>22</v>
      </c>
      <c r="P32" s="14" t="s">
        <v>672</v>
      </c>
      <c r="Q32" s="14" t="s">
        <v>84</v>
      </c>
      <c r="R32" s="28" t="s">
        <v>25</v>
      </c>
    </row>
    <row r="33" spans="1:18" s="62" customFormat="1" ht="24.95" customHeight="1" x14ac:dyDescent="0.25">
      <c r="A33" s="328">
        <v>6</v>
      </c>
      <c r="B33" s="10" t="s">
        <v>46</v>
      </c>
      <c r="C33" s="33">
        <v>883.83999999999992</v>
      </c>
      <c r="D33" s="56">
        <v>26.8</v>
      </c>
      <c r="E33" s="56">
        <v>27.02</v>
      </c>
      <c r="F33" s="56">
        <v>1.23</v>
      </c>
      <c r="G33" s="33">
        <v>930.36</v>
      </c>
      <c r="H33" s="35">
        <f t="shared" si="5"/>
        <v>1.0541044776119404</v>
      </c>
      <c r="I33" s="33">
        <v>1349.02</v>
      </c>
      <c r="J33" s="56">
        <v>0.5</v>
      </c>
      <c r="K33" s="12">
        <f t="shared" si="6"/>
        <v>1.8656716417910446E-2</v>
      </c>
      <c r="L33" s="330">
        <f t="shared" si="7"/>
        <v>465.18</v>
      </c>
      <c r="M33" s="329">
        <f t="shared" si="8"/>
        <v>0.94999999999999929</v>
      </c>
      <c r="N33" s="13">
        <f t="shared" si="9"/>
        <v>3.5447761194029821E-2</v>
      </c>
      <c r="O33" s="69" t="s">
        <v>22</v>
      </c>
      <c r="P33" s="14" t="s">
        <v>672</v>
      </c>
      <c r="Q33" s="14" t="s">
        <v>84</v>
      </c>
      <c r="R33" s="28" t="s">
        <v>76</v>
      </c>
    </row>
    <row r="34" spans="1:18" s="62" customFormat="1" ht="24.95" customHeight="1" x14ac:dyDescent="0.25">
      <c r="A34" s="331">
        <v>7</v>
      </c>
      <c r="B34" s="10" t="s">
        <v>45</v>
      </c>
      <c r="C34" s="33">
        <v>875.37999999999988</v>
      </c>
      <c r="D34" s="56">
        <v>90.13</v>
      </c>
      <c r="E34" s="56">
        <v>90.13</v>
      </c>
      <c r="F34" s="56">
        <v>3.36</v>
      </c>
      <c r="G34" s="33">
        <v>318.32</v>
      </c>
      <c r="H34" s="35">
        <f t="shared" si="5"/>
        <v>1.0372794851880618</v>
      </c>
      <c r="I34" s="33">
        <v>1069.56</v>
      </c>
      <c r="J34" s="56">
        <v>0.61</v>
      </c>
      <c r="K34" s="12">
        <f t="shared" si="6"/>
        <v>6.7680017752135809E-3</v>
      </c>
      <c r="L34" s="330">
        <f t="shared" si="7"/>
        <v>194.17519999999999</v>
      </c>
      <c r="M34" s="329">
        <f t="shared" si="8"/>
        <v>2.7499999999999996</v>
      </c>
      <c r="N34" s="13">
        <f t="shared" si="9"/>
        <v>3.0511483412848105E-2</v>
      </c>
      <c r="O34" s="69" t="s">
        <v>22</v>
      </c>
      <c r="P34" s="14" t="s">
        <v>672</v>
      </c>
      <c r="Q34" s="14" t="s">
        <v>67</v>
      </c>
      <c r="R34" s="28" t="s">
        <v>76</v>
      </c>
    </row>
    <row r="35" spans="1:18" s="62" customFormat="1" ht="24.95" customHeight="1" x14ac:dyDescent="0.25">
      <c r="A35" s="328">
        <v>8</v>
      </c>
      <c r="B35" s="10" t="s">
        <v>824</v>
      </c>
      <c r="C35" s="33">
        <v>875.22</v>
      </c>
      <c r="D35" s="56">
        <v>267</v>
      </c>
      <c r="E35" s="56">
        <v>267</v>
      </c>
      <c r="F35" s="56">
        <v>23.8</v>
      </c>
      <c r="G35" s="33">
        <v>44.86</v>
      </c>
      <c r="H35" s="35">
        <f t="shared" si="5"/>
        <v>1.0891385767790263</v>
      </c>
      <c r="I35" s="33">
        <v>1067.67</v>
      </c>
      <c r="J35" s="56">
        <v>4.29</v>
      </c>
      <c r="K35" s="12">
        <f t="shared" si="6"/>
        <v>1.6067415730337077E-2</v>
      </c>
      <c r="L35" s="330">
        <f t="shared" si="7"/>
        <v>192.4494</v>
      </c>
      <c r="M35" s="329">
        <f t="shared" si="8"/>
        <v>19.510000000000012</v>
      </c>
      <c r="N35" s="13">
        <f t="shared" si="9"/>
        <v>7.3071161048689187E-2</v>
      </c>
      <c r="O35" s="69" t="s">
        <v>22</v>
      </c>
      <c r="P35" s="14" t="s">
        <v>672</v>
      </c>
      <c r="Q35" s="14" t="s">
        <v>894</v>
      </c>
      <c r="R35" s="28" t="s">
        <v>25</v>
      </c>
    </row>
    <row r="36" spans="1:18" s="62" customFormat="1" ht="24.95" customHeight="1" x14ac:dyDescent="0.25">
      <c r="A36" s="331">
        <v>9</v>
      </c>
      <c r="B36" s="10" t="s">
        <v>36</v>
      </c>
      <c r="C36" s="33">
        <v>872.98</v>
      </c>
      <c r="D36" s="56">
        <v>290.76</v>
      </c>
      <c r="E36" s="56">
        <v>290.76</v>
      </c>
      <c r="F36" s="56">
        <v>6.8</v>
      </c>
      <c r="G36" s="33">
        <v>156.72999999999999</v>
      </c>
      <c r="H36" s="35">
        <f t="shared" si="5"/>
        <v>1.023386985830238</v>
      </c>
      <c r="I36" s="33">
        <v>1065.76</v>
      </c>
      <c r="J36" s="56">
        <v>1.23</v>
      </c>
      <c r="K36" s="12">
        <f t="shared" si="6"/>
        <v>4.2302930251754021E-3</v>
      </c>
      <c r="L36" s="330">
        <f t="shared" si="7"/>
        <v>192.77789999999999</v>
      </c>
      <c r="M36" s="329">
        <f t="shared" si="8"/>
        <v>5.5700000000000109</v>
      </c>
      <c r="N36" s="13">
        <f t="shared" si="9"/>
        <v>1.9156692805062634E-2</v>
      </c>
      <c r="O36" s="69" t="s">
        <v>22</v>
      </c>
      <c r="P36" s="14" t="s">
        <v>672</v>
      </c>
      <c r="Q36" s="14" t="s">
        <v>65</v>
      </c>
      <c r="R36" s="28" t="s">
        <v>25</v>
      </c>
    </row>
    <row r="37" spans="1:18" s="62" customFormat="1" ht="24.95" customHeight="1" thickBot="1" x14ac:dyDescent="0.3">
      <c r="A37" s="332">
        <v>10</v>
      </c>
      <c r="B37" s="16" t="s">
        <v>52</v>
      </c>
      <c r="C37" s="34">
        <v>872.8900000000001</v>
      </c>
      <c r="D37" s="58">
        <v>339.3</v>
      </c>
      <c r="E37" s="58">
        <v>339.3</v>
      </c>
      <c r="F37" s="58">
        <v>7.96</v>
      </c>
      <c r="G37" s="34">
        <v>133.88</v>
      </c>
      <c r="H37" s="36">
        <f t="shared" si="5"/>
        <v>1.023460064839375</v>
      </c>
      <c r="I37" s="34">
        <v>1065.68</v>
      </c>
      <c r="J37" s="58">
        <v>1.44</v>
      </c>
      <c r="K37" s="18">
        <f t="shared" si="6"/>
        <v>4.2440318302387264E-3</v>
      </c>
      <c r="L37" s="334">
        <f t="shared" si="7"/>
        <v>192.78719999999998</v>
      </c>
      <c r="M37" s="333">
        <f t="shared" si="8"/>
        <v>6.51999999999998</v>
      </c>
      <c r="N37" s="19">
        <f t="shared" si="9"/>
        <v>1.9216033009136397E-2</v>
      </c>
      <c r="O37" s="52" t="s">
        <v>22</v>
      </c>
      <c r="P37" s="20" t="s">
        <v>672</v>
      </c>
      <c r="Q37" s="20" t="s">
        <v>892</v>
      </c>
      <c r="R37" s="65" t="s">
        <v>77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127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612" t="s">
        <v>132</v>
      </c>
      <c r="B41" s="450" t="s">
        <v>987</v>
      </c>
      <c r="C41" s="450"/>
      <c r="D41" s="451"/>
      <c r="E41" s="23"/>
      <c r="G41" s="21"/>
      <c r="H41" s="22"/>
    </row>
    <row r="42" spans="1:18" ht="20.45" customHeight="1" x14ac:dyDescent="0.35">
      <c r="A42" s="612"/>
      <c r="B42" s="613" t="s">
        <v>136</v>
      </c>
      <c r="C42" s="614" t="s">
        <v>137</v>
      </c>
      <c r="D42" s="596" t="s">
        <v>174</v>
      </c>
      <c r="E42" s="23"/>
      <c r="G42" s="21"/>
      <c r="H42" s="22"/>
    </row>
    <row r="43" spans="1:18" ht="20.45" customHeight="1" x14ac:dyDescent="0.35">
      <c r="A43" s="612"/>
      <c r="B43" s="613"/>
      <c r="C43" s="614"/>
      <c r="D43" s="596"/>
      <c r="E43" s="23"/>
      <c r="G43" s="21"/>
      <c r="H43" s="22"/>
    </row>
    <row r="44" spans="1:18" s="26" customFormat="1" ht="24.95" customHeight="1" x14ac:dyDescent="0.35">
      <c r="A44" s="338">
        <v>1</v>
      </c>
      <c r="B44" s="10" t="s">
        <v>786</v>
      </c>
      <c r="C44" s="33">
        <v>795.53</v>
      </c>
      <c r="D44" s="24">
        <f t="shared" ref="D44:D53" si="10">C44/$L$5</f>
        <v>0.11077043466879426</v>
      </c>
      <c r="E44" s="25"/>
      <c r="G44" s="21"/>
      <c r="H44" s="22"/>
    </row>
    <row r="45" spans="1:18" s="26" customFormat="1" ht="24.95" customHeight="1" x14ac:dyDescent="0.35">
      <c r="A45" s="339">
        <v>2</v>
      </c>
      <c r="B45" s="10" t="s">
        <v>42</v>
      </c>
      <c r="C45" s="33">
        <v>603.16999999999996</v>
      </c>
      <c r="D45" s="24">
        <f t="shared" si="10"/>
        <v>8.3986025767949196E-2</v>
      </c>
      <c r="E45" s="25"/>
      <c r="G45" s="21"/>
      <c r="H45" s="22"/>
    </row>
    <row r="46" spans="1:18" s="26" customFormat="1" ht="24.95" customHeight="1" x14ac:dyDescent="0.35">
      <c r="A46" s="339">
        <v>3</v>
      </c>
      <c r="B46" s="10" t="s">
        <v>787</v>
      </c>
      <c r="C46" s="33">
        <v>375.98</v>
      </c>
      <c r="D46" s="24">
        <f t="shared" si="10"/>
        <v>5.2351851000934306E-2</v>
      </c>
      <c r="E46" s="25"/>
      <c r="G46" s="21"/>
      <c r="H46" s="22"/>
    </row>
    <row r="47" spans="1:18" s="26" customFormat="1" ht="24.95" customHeight="1" x14ac:dyDescent="0.35">
      <c r="A47" s="338">
        <v>4</v>
      </c>
      <c r="B47" s="10" t="s">
        <v>567</v>
      </c>
      <c r="C47" s="33">
        <v>193.82</v>
      </c>
      <c r="D47" s="24">
        <f t="shared" si="10"/>
        <v>2.6987700837813409E-2</v>
      </c>
      <c r="E47" s="25"/>
      <c r="G47" s="21"/>
      <c r="H47" s="22"/>
    </row>
    <row r="48" spans="1:18" s="26" customFormat="1" ht="24.95" customHeight="1" x14ac:dyDescent="0.35">
      <c r="A48" s="339">
        <v>5</v>
      </c>
      <c r="B48" s="10" t="s">
        <v>32</v>
      </c>
      <c r="C48" s="33">
        <v>193.73</v>
      </c>
      <c r="D48" s="24">
        <f t="shared" si="10"/>
        <v>2.6975169143068786E-2</v>
      </c>
      <c r="E48" s="25"/>
      <c r="G48" s="21"/>
      <c r="H48" s="22"/>
    </row>
    <row r="49" spans="1:5" s="26" customFormat="1" ht="24.95" customHeight="1" x14ac:dyDescent="0.25">
      <c r="A49" s="338">
        <v>6</v>
      </c>
      <c r="B49" s="10" t="s">
        <v>41</v>
      </c>
      <c r="C49" s="33">
        <v>193.65</v>
      </c>
      <c r="D49" s="24">
        <f t="shared" si="10"/>
        <v>2.6964029858851341E-2</v>
      </c>
      <c r="E49" s="25"/>
    </row>
    <row r="50" spans="1:5" s="26" customFormat="1" ht="24.95" customHeight="1" x14ac:dyDescent="0.25">
      <c r="A50" s="339">
        <v>7</v>
      </c>
      <c r="B50" s="10" t="s">
        <v>117</v>
      </c>
      <c r="C50" s="33">
        <v>193.6</v>
      </c>
      <c r="D50" s="24">
        <f t="shared" si="10"/>
        <v>2.6957067806215439E-2</v>
      </c>
      <c r="E50" s="25"/>
    </row>
    <row r="51" spans="1:5" s="26" customFormat="1" ht="24.95" customHeight="1" x14ac:dyDescent="0.25">
      <c r="A51" s="338">
        <v>8</v>
      </c>
      <c r="B51" s="10" t="s">
        <v>706</v>
      </c>
      <c r="C51" s="33">
        <v>193.54</v>
      </c>
      <c r="D51" s="24">
        <f t="shared" si="10"/>
        <v>2.6948713343052353E-2</v>
      </c>
      <c r="E51" s="25"/>
    </row>
    <row r="52" spans="1:5" s="26" customFormat="1" ht="24.95" customHeight="1" x14ac:dyDescent="0.25">
      <c r="A52" s="339">
        <v>9</v>
      </c>
      <c r="B52" s="10" t="s">
        <v>342</v>
      </c>
      <c r="C52" s="33">
        <v>193.5</v>
      </c>
      <c r="D52" s="24">
        <f t="shared" si="10"/>
        <v>2.6943143700943632E-2</v>
      </c>
      <c r="E52" s="25"/>
    </row>
    <row r="53" spans="1:5" s="26" customFormat="1" ht="24.95" customHeight="1" thickBot="1" x14ac:dyDescent="0.3">
      <c r="A53" s="340">
        <v>10</v>
      </c>
      <c r="B53" s="16" t="s">
        <v>40</v>
      </c>
      <c r="C53" s="34">
        <v>193.44</v>
      </c>
      <c r="D53" s="27">
        <f t="shared" si="10"/>
        <v>2.6934789237780549E-2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949" priority="33" operator="containsText" text="024">
      <formula>NOT(ISERROR(SEARCH("024",A12)))</formula>
    </cfRule>
    <cfRule type="containsText" dxfId="948" priority="34" operator="containsText" text="白醬">
      <formula>NOT(ISERROR(SEARCH("白醬",A12)))</formula>
    </cfRule>
    <cfRule type="containsText" dxfId="947" priority="35" operator="containsText" text="青蔥">
      <formula>NOT(ISERROR(SEARCH("青蔥",A12)))</formula>
    </cfRule>
    <cfRule type="containsText" dxfId="946" priority="36" operator="containsText" text=")川燙小青花菜">
      <formula>NOT(ISERROR(SEARCH(")川燙小青花菜",A12)))</formula>
    </cfRule>
    <cfRule type="containsText" dxfId="945" priority="37" operator="containsText" text="湯凍">
      <formula>NOT(ISERROR(SEARCH("湯凍",A12)))</formula>
    </cfRule>
    <cfRule type="containsText" dxfId="944" priority="38" operator="containsText" text="中華">
      <formula>NOT(ISERROR(SEARCH("中華",A12)))</formula>
    </cfRule>
  </conditionalFormatting>
  <conditionalFormatting sqref="A12:A22">
    <cfRule type="containsText" dxfId="943" priority="31" operator="containsText" text="綠豆芽">
      <formula>NOT(ISERROR(SEARCH("綠豆芽",A12)))</formula>
    </cfRule>
    <cfRule type="containsText" dxfId="942" priority="32" operator="containsText" text="煮白細麵生(方#12)">
      <formula>NOT(ISERROR(SEARCH("煮白細麵生(方#12)",A12)))</formula>
    </cfRule>
  </conditionalFormatting>
  <conditionalFormatting sqref="E5">
    <cfRule type="cellIs" dxfId="941" priority="16" operator="greaterThan">
      <formula>0.0025</formula>
    </cfRule>
    <cfRule type="cellIs" dxfId="940" priority="19" operator="greaterThan">
      <formula>0.0025</formula>
    </cfRule>
    <cfRule type="cellIs" dxfId="939" priority="29" operator="greaterThan">
      <formula>0.072</formula>
    </cfRule>
    <cfRule type="cellIs" dxfId="938" priority="30" operator="greaterThan">
      <formula>7.2</formula>
    </cfRule>
  </conditionalFormatting>
  <conditionalFormatting sqref="E5">
    <cfRule type="cellIs" dxfId="937" priority="28" operator="greaterThan">
      <formula>0.0025</formula>
    </cfRule>
  </conditionalFormatting>
  <conditionalFormatting sqref="A44:A53">
    <cfRule type="containsText" dxfId="936" priority="22" operator="containsText" text="024">
      <formula>NOT(ISERROR(SEARCH("024",A44)))</formula>
    </cfRule>
    <cfRule type="containsText" dxfId="935" priority="23" operator="containsText" text="白醬">
      <formula>NOT(ISERROR(SEARCH("白醬",A44)))</formula>
    </cfRule>
    <cfRule type="containsText" dxfId="934" priority="24" operator="containsText" text="青蔥">
      <formula>NOT(ISERROR(SEARCH("青蔥",A44)))</formula>
    </cfRule>
    <cfRule type="containsText" dxfId="933" priority="25" operator="containsText" text=")川燙小青花菜">
      <formula>NOT(ISERROR(SEARCH(")川燙小青花菜",A44)))</formula>
    </cfRule>
    <cfRule type="containsText" dxfId="932" priority="26" operator="containsText" text="湯凍">
      <formula>NOT(ISERROR(SEARCH("湯凍",A44)))</formula>
    </cfRule>
    <cfRule type="containsText" dxfId="931" priority="27" operator="containsText" text="中華">
      <formula>NOT(ISERROR(SEARCH("中華",A44)))</formula>
    </cfRule>
  </conditionalFormatting>
  <conditionalFormatting sqref="A44:A53">
    <cfRule type="containsText" dxfId="930" priority="20" operator="containsText" text="綠豆芽">
      <formula>NOT(ISERROR(SEARCH("綠豆芽",A44)))</formula>
    </cfRule>
    <cfRule type="containsText" dxfId="929" priority="21" operator="containsText" text="煮白細麵生(方#12)">
      <formula>NOT(ISERROR(SEARCH("煮白細麵生(方#12)",A44)))</formula>
    </cfRule>
  </conditionalFormatting>
  <conditionalFormatting sqref="D44:D53">
    <cfRule type="cellIs" dxfId="928" priority="18" operator="greaterThan">
      <formula>0.146</formula>
    </cfRule>
  </conditionalFormatting>
  <conditionalFormatting sqref="H12:H22">
    <cfRule type="cellIs" dxfId="927" priority="17" operator="greaterThan">
      <formula>1.1</formula>
    </cfRule>
  </conditionalFormatting>
  <conditionalFormatting sqref="I5">
    <cfRule type="cellIs" dxfId="926" priority="15" operator="greaterThan">
      <formula>0.2</formula>
    </cfRule>
  </conditionalFormatting>
  <conditionalFormatting sqref="A28:A37">
    <cfRule type="containsText" dxfId="925" priority="9" operator="containsText" text="024">
      <formula>NOT(ISERROR(SEARCH("024",A28)))</formula>
    </cfRule>
    <cfRule type="containsText" dxfId="924" priority="10" operator="containsText" text="白醬">
      <formula>NOT(ISERROR(SEARCH("白醬",A28)))</formula>
    </cfRule>
    <cfRule type="containsText" dxfId="923" priority="11" operator="containsText" text="青蔥">
      <formula>NOT(ISERROR(SEARCH("青蔥",A28)))</formula>
    </cfRule>
    <cfRule type="containsText" dxfId="922" priority="12" operator="containsText" text=")川燙小青花菜">
      <formula>NOT(ISERROR(SEARCH(")川燙小青花菜",A28)))</formula>
    </cfRule>
    <cfRule type="containsText" dxfId="921" priority="13" operator="containsText" text="湯凍">
      <formula>NOT(ISERROR(SEARCH("湯凍",A28)))</formula>
    </cfRule>
    <cfRule type="containsText" dxfId="920" priority="14" operator="containsText" text="中華">
      <formula>NOT(ISERROR(SEARCH("中華",A28)))</formula>
    </cfRule>
  </conditionalFormatting>
  <conditionalFormatting sqref="A28:A37">
    <cfRule type="containsText" dxfId="919" priority="7" operator="containsText" text="綠豆芽">
      <formula>NOT(ISERROR(SEARCH("綠豆芽",A28)))</formula>
    </cfRule>
    <cfRule type="containsText" dxfId="918" priority="8" operator="containsText" text="煮白細麵生(方#12)">
      <formula>NOT(ISERROR(SEARCH("煮白細麵生(方#12)",A28)))</formula>
    </cfRule>
  </conditionalFormatting>
  <conditionalFormatting sqref="H28:H37">
    <cfRule type="cellIs" dxfId="917" priority="6" operator="greaterThan">
      <formula>1.1</formula>
    </cfRule>
  </conditionalFormatting>
  <conditionalFormatting sqref="G5">
    <cfRule type="cellIs" dxfId="916" priority="1" operator="greaterThan">
      <formula>0.0025</formula>
    </cfRule>
    <cfRule type="cellIs" dxfId="915" priority="2" operator="greaterThan">
      <formula>0.0025</formula>
    </cfRule>
    <cfRule type="cellIs" dxfId="914" priority="4" operator="greaterThan">
      <formula>0.072</formula>
    </cfRule>
    <cfRule type="cellIs" dxfId="913" priority="5" operator="greaterThan">
      <formula>7.2</formula>
    </cfRule>
  </conditionalFormatting>
  <conditionalFormatting sqref="G5">
    <cfRule type="cellIs" dxfId="91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L7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590" t="s">
        <v>92</v>
      </c>
      <c r="B2" s="591"/>
      <c r="C2" s="323" t="s">
        <v>93</v>
      </c>
      <c r="D2" s="592" t="s">
        <v>94</v>
      </c>
      <c r="E2" s="592"/>
      <c r="F2" s="592" t="s">
        <v>95</v>
      </c>
      <c r="G2" s="592"/>
      <c r="H2" s="592" t="s">
        <v>94</v>
      </c>
      <c r="I2" s="592"/>
      <c r="J2" s="592" t="s">
        <v>95</v>
      </c>
      <c r="K2" s="592"/>
      <c r="L2" s="592" t="s">
        <v>94</v>
      </c>
      <c r="M2" s="593"/>
      <c r="R2" s="54"/>
    </row>
    <row r="3" spans="1:18" s="1" customFormat="1" ht="28.5" x14ac:dyDescent="0.45">
      <c r="A3" s="600">
        <v>45893</v>
      </c>
      <c r="B3" s="601"/>
      <c r="C3" s="602">
        <v>6385967.120000001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600"/>
      <c r="B4" s="601"/>
      <c r="C4" s="602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594" t="s">
        <v>105</v>
      </c>
      <c r="B5" s="595"/>
      <c r="C5" s="595"/>
      <c r="D5" s="324">
        <v>15627.190000000006</v>
      </c>
      <c r="E5" s="5">
        <f>D5/C3</f>
        <v>2.4471140715801249E-3</v>
      </c>
      <c r="F5" s="324">
        <v>54615.920000000042</v>
      </c>
      <c r="G5" s="44">
        <f>F5/C3</f>
        <v>8.5524900103149965E-3</v>
      </c>
      <c r="H5" s="6">
        <f>SUM(C12:C21)</f>
        <v>4182.57</v>
      </c>
      <c r="I5" s="7">
        <f>H5/D5</f>
        <v>0.26764696660116105</v>
      </c>
      <c r="J5" s="6">
        <f>SUM(C28:C37)</f>
        <v>11190.04</v>
      </c>
      <c r="K5" s="46">
        <f>J5/F5</f>
        <v>0.20488604787761502</v>
      </c>
      <c r="L5" s="8">
        <v>8286.4399999999987</v>
      </c>
      <c r="M5" s="9">
        <f>L5/D5</f>
        <v>0.53025783906127688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1004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1005</v>
      </c>
      <c r="B8" s="447"/>
      <c r="C8" s="447"/>
      <c r="D8" s="447" t="s">
        <v>1006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1007</v>
      </c>
      <c r="P8" s="457" t="s">
        <v>1008</v>
      </c>
      <c r="Q8" s="456" t="s">
        <v>1009</v>
      </c>
      <c r="R8" s="596" t="s">
        <v>1010</v>
      </c>
    </row>
    <row r="9" spans="1:18" ht="20.45" customHeight="1" x14ac:dyDescent="0.25">
      <c r="A9" s="597" t="s">
        <v>132</v>
      </c>
      <c r="B9" s="461" t="s">
        <v>1011</v>
      </c>
      <c r="C9" s="462"/>
      <c r="D9" s="463" t="s">
        <v>1012</v>
      </c>
      <c r="E9" s="463"/>
      <c r="F9" s="463"/>
      <c r="G9" s="463"/>
      <c r="H9" s="463"/>
      <c r="I9" s="463"/>
      <c r="J9" s="464" t="s">
        <v>1013</v>
      </c>
      <c r="K9" s="464"/>
      <c r="L9" s="464"/>
      <c r="M9" s="465"/>
      <c r="N9" s="465"/>
      <c r="O9" s="456"/>
      <c r="P9" s="456"/>
      <c r="Q9" s="456"/>
      <c r="R9" s="596"/>
    </row>
    <row r="10" spans="1:18" ht="20.45" customHeight="1" x14ac:dyDescent="0.3">
      <c r="A10" s="598"/>
      <c r="B10" s="603" t="s">
        <v>1014</v>
      </c>
      <c r="C10" s="605" t="s">
        <v>1015</v>
      </c>
      <c r="D10" s="607" t="s">
        <v>1016</v>
      </c>
      <c r="E10" s="607"/>
      <c r="F10" s="607"/>
      <c r="G10" s="607"/>
      <c r="H10" s="607"/>
      <c r="I10" s="607"/>
      <c r="J10" s="608" t="s">
        <v>1017</v>
      </c>
      <c r="K10" s="609"/>
      <c r="L10" s="610" t="s">
        <v>1018</v>
      </c>
      <c r="M10" s="608"/>
      <c r="N10" s="608"/>
      <c r="O10" s="456"/>
      <c r="P10" s="456"/>
      <c r="Q10" s="456"/>
      <c r="R10" s="596"/>
    </row>
    <row r="11" spans="1:18" s="55" customFormat="1" ht="47.25" customHeight="1" x14ac:dyDescent="0.25">
      <c r="A11" s="599"/>
      <c r="B11" s="604"/>
      <c r="C11" s="606"/>
      <c r="D11" s="325" t="s">
        <v>1019</v>
      </c>
      <c r="E11" s="325" t="s">
        <v>1020</v>
      </c>
      <c r="F11" s="325" t="s">
        <v>1021</v>
      </c>
      <c r="G11" s="325" t="s">
        <v>1022</v>
      </c>
      <c r="H11" s="325" t="s">
        <v>1023</v>
      </c>
      <c r="I11" s="325" t="s">
        <v>1024</v>
      </c>
      <c r="J11" s="326" t="s">
        <v>1025</v>
      </c>
      <c r="K11" s="326" t="s">
        <v>1026</v>
      </c>
      <c r="L11" s="326" t="s">
        <v>1025</v>
      </c>
      <c r="M11" s="326" t="s">
        <v>1026</v>
      </c>
      <c r="N11" s="327" t="s">
        <v>1027</v>
      </c>
      <c r="O11" s="456"/>
      <c r="P11" s="456"/>
      <c r="Q11" s="456"/>
      <c r="R11" s="596"/>
    </row>
    <row r="12" spans="1:18" s="15" customFormat="1" ht="24.95" customHeight="1" x14ac:dyDescent="0.25">
      <c r="A12" s="328">
        <v>1</v>
      </c>
      <c r="B12" s="10" t="s">
        <v>706</v>
      </c>
      <c r="C12" s="33">
        <v>1208.9100000000001</v>
      </c>
      <c r="D12" s="56">
        <v>273.38</v>
      </c>
      <c r="E12" s="56">
        <v>273.38</v>
      </c>
      <c r="F12" s="56">
        <v>26.11</v>
      </c>
      <c r="G12" s="33">
        <v>95.34</v>
      </c>
      <c r="H12" s="11">
        <f t="shared" ref="H12:H21" si="0">(E12+F12)/D12</f>
        <v>1.095508083985661</v>
      </c>
      <c r="I12" s="33">
        <v>2489.33</v>
      </c>
      <c r="J12" s="56">
        <v>12.68</v>
      </c>
      <c r="K12" s="12">
        <f t="shared" ref="K12:K21" si="1">J12/D12</f>
        <v>4.6382324968907748E-2</v>
      </c>
      <c r="L12" s="329">
        <f t="shared" ref="L12:L21" si="2">((E12+F12)-D12)-J12</f>
        <v>13.430000000000014</v>
      </c>
      <c r="M12" s="13">
        <f t="shared" ref="M12:M21" si="3">L12/D12</f>
        <v>4.9125759016753291E-2</v>
      </c>
      <c r="N12" s="330">
        <f t="shared" ref="N12:N21" si="4">L12*G12</f>
        <v>1280.4162000000015</v>
      </c>
      <c r="O12" s="66" t="s">
        <v>584</v>
      </c>
      <c r="P12" s="66" t="s">
        <v>672</v>
      </c>
      <c r="Q12" s="66" t="s">
        <v>975</v>
      </c>
      <c r="R12" s="28" t="s">
        <v>25</v>
      </c>
    </row>
    <row r="13" spans="1:18" s="15" customFormat="1" ht="24.95" customHeight="1" x14ac:dyDescent="0.25">
      <c r="A13" s="331">
        <v>2</v>
      </c>
      <c r="B13" s="10" t="s">
        <v>786</v>
      </c>
      <c r="C13" s="33">
        <v>669.44</v>
      </c>
      <c r="D13" s="56">
        <v>14834</v>
      </c>
      <c r="E13" s="56">
        <v>14834</v>
      </c>
      <c r="F13" s="56">
        <v>115.42</v>
      </c>
      <c r="G13" s="33">
        <v>5.8</v>
      </c>
      <c r="H13" s="11">
        <f t="shared" si="0"/>
        <v>1.0077807738978024</v>
      </c>
      <c r="I13" s="33">
        <v>669.44</v>
      </c>
      <c r="J13" s="56">
        <v>115.42</v>
      </c>
      <c r="K13" s="12">
        <f t="shared" si="1"/>
        <v>7.7807738978023459E-3</v>
      </c>
      <c r="L13" s="329">
        <f t="shared" si="2"/>
        <v>0</v>
      </c>
      <c r="M13" s="13">
        <f t="shared" si="3"/>
        <v>0</v>
      </c>
      <c r="N13" s="330">
        <f t="shared" si="4"/>
        <v>0</v>
      </c>
      <c r="O13" s="66" t="s">
        <v>584</v>
      </c>
      <c r="P13" s="66" t="s">
        <v>675</v>
      </c>
      <c r="Q13" s="66" t="s">
        <v>973</v>
      </c>
      <c r="R13" s="28" t="s">
        <v>25</v>
      </c>
    </row>
    <row r="14" spans="1:18" s="57" customFormat="1" ht="24.95" customHeight="1" x14ac:dyDescent="0.25">
      <c r="A14" s="331">
        <v>3</v>
      </c>
      <c r="B14" s="10" t="s">
        <v>542</v>
      </c>
      <c r="C14" s="33">
        <v>428.83</v>
      </c>
      <c r="D14" s="56">
        <v>194.64</v>
      </c>
      <c r="E14" s="56">
        <v>194.64</v>
      </c>
      <c r="F14" s="56">
        <v>11.1</v>
      </c>
      <c r="G14" s="33">
        <v>194.04</v>
      </c>
      <c r="H14" s="11">
        <f t="shared" si="0"/>
        <v>1.0570283600493218</v>
      </c>
      <c r="I14" s="33">
        <v>2153.84</v>
      </c>
      <c r="J14" s="56">
        <v>2.21</v>
      </c>
      <c r="K14" s="12">
        <f t="shared" si="1"/>
        <v>1.135429510891903E-2</v>
      </c>
      <c r="L14" s="329">
        <f t="shared" si="2"/>
        <v>8.8899999999999935</v>
      </c>
      <c r="M14" s="13">
        <f t="shared" si="3"/>
        <v>4.5674064940402763E-2</v>
      </c>
      <c r="N14" s="330">
        <f t="shared" si="4"/>
        <v>1725.0155999999986</v>
      </c>
      <c r="O14" s="66" t="s">
        <v>584</v>
      </c>
      <c r="P14" s="66" t="s">
        <v>672</v>
      </c>
      <c r="Q14" s="66" t="s">
        <v>975</v>
      </c>
      <c r="R14" s="28" t="s">
        <v>543</v>
      </c>
    </row>
    <row r="15" spans="1:18" s="15" customFormat="1" ht="24.95" customHeight="1" x14ac:dyDescent="0.25">
      <c r="A15" s="328">
        <v>4</v>
      </c>
      <c r="B15" s="10" t="s">
        <v>788</v>
      </c>
      <c r="C15" s="33">
        <v>368.67</v>
      </c>
      <c r="D15" s="56">
        <v>75.73</v>
      </c>
      <c r="E15" s="56">
        <v>75.73</v>
      </c>
      <c r="F15" s="56">
        <v>7.11</v>
      </c>
      <c r="G15" s="33">
        <v>114.14</v>
      </c>
      <c r="H15" s="11">
        <f t="shared" si="0"/>
        <v>1.0938861745675426</v>
      </c>
      <c r="I15" s="33">
        <v>811.54</v>
      </c>
      <c r="J15" s="56">
        <v>3.23</v>
      </c>
      <c r="K15" s="12">
        <f t="shared" si="1"/>
        <v>4.2651525155156474E-2</v>
      </c>
      <c r="L15" s="329">
        <f t="shared" si="2"/>
        <v>3.8799999999999994</v>
      </c>
      <c r="M15" s="13">
        <f t="shared" si="3"/>
        <v>5.1234649412386098E-2</v>
      </c>
      <c r="N15" s="330">
        <f t="shared" si="4"/>
        <v>442.86319999999995</v>
      </c>
      <c r="O15" s="66" t="s">
        <v>584</v>
      </c>
      <c r="P15" s="66" t="s">
        <v>672</v>
      </c>
      <c r="Q15" s="66" t="s">
        <v>975</v>
      </c>
      <c r="R15" s="28" t="s">
        <v>789</v>
      </c>
    </row>
    <row r="16" spans="1:18" s="57" customFormat="1" ht="24.95" customHeight="1" x14ac:dyDescent="0.25">
      <c r="A16" s="331">
        <v>5</v>
      </c>
      <c r="B16" s="10" t="s">
        <v>30</v>
      </c>
      <c r="C16" s="33">
        <v>272.64</v>
      </c>
      <c r="D16" s="56">
        <v>86.5</v>
      </c>
      <c r="E16" s="56">
        <v>86.5</v>
      </c>
      <c r="F16" s="56">
        <v>7.77</v>
      </c>
      <c r="G16" s="33">
        <v>156.69</v>
      </c>
      <c r="H16" s="11">
        <f t="shared" si="0"/>
        <v>1.0898265895953756</v>
      </c>
      <c r="I16" s="33">
        <v>1217.48</v>
      </c>
      <c r="J16" s="56">
        <v>1.74</v>
      </c>
      <c r="K16" s="12">
        <f t="shared" si="1"/>
        <v>2.0115606936416185E-2</v>
      </c>
      <c r="L16" s="329">
        <f t="shared" si="2"/>
        <v>6.0299999999999958</v>
      </c>
      <c r="M16" s="13">
        <f t="shared" si="3"/>
        <v>6.9710982658959489E-2</v>
      </c>
      <c r="N16" s="330">
        <f t="shared" si="4"/>
        <v>944.84069999999929</v>
      </c>
      <c r="O16" s="66" t="s">
        <v>584</v>
      </c>
      <c r="P16" s="66" t="s">
        <v>672</v>
      </c>
      <c r="Q16" s="66" t="s">
        <v>585</v>
      </c>
      <c r="R16" s="28" t="s">
        <v>25</v>
      </c>
    </row>
    <row r="17" spans="1:18" s="15" customFormat="1" ht="24.95" customHeight="1" x14ac:dyDescent="0.25">
      <c r="A17" s="328">
        <v>6</v>
      </c>
      <c r="B17" s="10" t="s">
        <v>59</v>
      </c>
      <c r="C17" s="33">
        <v>252.1</v>
      </c>
      <c r="D17" s="56">
        <v>87.87</v>
      </c>
      <c r="E17" s="56">
        <v>87.87</v>
      </c>
      <c r="F17" s="56">
        <v>8.1</v>
      </c>
      <c r="G17" s="33">
        <v>135.54</v>
      </c>
      <c r="H17" s="11">
        <f t="shared" si="0"/>
        <v>1.0921816319562989</v>
      </c>
      <c r="I17" s="33">
        <v>1097.8699999999999</v>
      </c>
      <c r="J17" s="56">
        <v>1.86</v>
      </c>
      <c r="K17" s="12">
        <f t="shared" si="1"/>
        <v>2.1167634004779789E-2</v>
      </c>
      <c r="L17" s="329">
        <f t="shared" si="2"/>
        <v>6.239999999999994</v>
      </c>
      <c r="M17" s="13">
        <f t="shared" si="3"/>
        <v>7.101399795151922E-2</v>
      </c>
      <c r="N17" s="330">
        <f t="shared" si="4"/>
        <v>845.76959999999917</v>
      </c>
      <c r="O17" s="66" t="s">
        <v>584</v>
      </c>
      <c r="P17" s="66" t="s">
        <v>672</v>
      </c>
      <c r="Q17" s="66" t="s">
        <v>585</v>
      </c>
      <c r="R17" s="28" t="s">
        <v>25</v>
      </c>
    </row>
    <row r="18" spans="1:18" s="57" customFormat="1" ht="24.95" customHeight="1" x14ac:dyDescent="0.25">
      <c r="A18" s="331">
        <v>7</v>
      </c>
      <c r="B18" s="10" t="s">
        <v>35</v>
      </c>
      <c r="C18" s="33">
        <v>246.1</v>
      </c>
      <c r="D18" s="56">
        <v>103.42</v>
      </c>
      <c r="E18" s="56">
        <v>103.42</v>
      </c>
      <c r="F18" s="56">
        <v>3.15</v>
      </c>
      <c r="G18" s="33">
        <v>410.16</v>
      </c>
      <c r="H18" s="11">
        <f t="shared" si="0"/>
        <v>1.0304583252755755</v>
      </c>
      <c r="I18" s="33">
        <v>1292</v>
      </c>
      <c r="J18" s="56">
        <v>0.6</v>
      </c>
      <c r="K18" s="12">
        <f t="shared" si="1"/>
        <v>5.8015857667762516E-3</v>
      </c>
      <c r="L18" s="329">
        <f t="shared" si="2"/>
        <v>2.5500000000000056</v>
      </c>
      <c r="M18" s="13">
        <f t="shared" si="3"/>
        <v>2.4656739508799125E-2</v>
      </c>
      <c r="N18" s="330">
        <f t="shared" si="4"/>
        <v>1045.9080000000024</v>
      </c>
      <c r="O18" s="66" t="s">
        <v>584</v>
      </c>
      <c r="P18" s="66" t="s">
        <v>672</v>
      </c>
      <c r="Q18" s="66" t="s">
        <v>67</v>
      </c>
      <c r="R18" s="28" t="s">
        <v>25</v>
      </c>
    </row>
    <row r="19" spans="1:18" s="15" customFormat="1" ht="24.95" customHeight="1" x14ac:dyDescent="0.25">
      <c r="A19" s="328">
        <v>8</v>
      </c>
      <c r="B19" s="10" t="s">
        <v>48</v>
      </c>
      <c r="C19" s="33">
        <v>245.47</v>
      </c>
      <c r="D19" s="56">
        <v>15.25</v>
      </c>
      <c r="E19" s="56">
        <v>15.25</v>
      </c>
      <c r="F19" s="56">
        <v>1.34</v>
      </c>
      <c r="G19" s="33">
        <v>846.44</v>
      </c>
      <c r="H19" s="11">
        <f t="shared" si="0"/>
        <v>1.0878688524590163</v>
      </c>
      <c r="I19" s="33">
        <v>1134.23</v>
      </c>
      <c r="J19" s="56">
        <v>0.28999999999999998</v>
      </c>
      <c r="K19" s="12">
        <f t="shared" si="1"/>
        <v>1.9016393442622948E-2</v>
      </c>
      <c r="L19" s="329">
        <f t="shared" si="2"/>
        <v>1.0499999999999998</v>
      </c>
      <c r="M19" s="13">
        <f t="shared" si="3"/>
        <v>6.8852459016393433E-2</v>
      </c>
      <c r="N19" s="330">
        <f t="shared" si="4"/>
        <v>888.76199999999994</v>
      </c>
      <c r="O19" s="66" t="s">
        <v>584</v>
      </c>
      <c r="P19" s="66" t="s">
        <v>672</v>
      </c>
      <c r="Q19" s="66" t="s">
        <v>975</v>
      </c>
      <c r="R19" s="28" t="s">
        <v>73</v>
      </c>
    </row>
    <row r="20" spans="1:18" s="15" customFormat="1" ht="24.95" customHeight="1" x14ac:dyDescent="0.25">
      <c r="A20" s="331">
        <v>9</v>
      </c>
      <c r="B20" s="10" t="s">
        <v>44</v>
      </c>
      <c r="C20" s="33">
        <v>245.3</v>
      </c>
      <c r="D20" s="56">
        <v>15.3</v>
      </c>
      <c r="E20" s="56">
        <v>15.3</v>
      </c>
      <c r="F20" s="56">
        <v>1.53</v>
      </c>
      <c r="G20" s="33">
        <v>408.83</v>
      </c>
      <c r="H20" s="11">
        <f t="shared" si="0"/>
        <v>1.1000000000000001</v>
      </c>
      <c r="I20" s="33">
        <v>625.51</v>
      </c>
      <c r="J20" s="56">
        <v>0.6</v>
      </c>
      <c r="K20" s="12">
        <f t="shared" si="1"/>
        <v>3.9215686274509803E-2</v>
      </c>
      <c r="L20" s="329">
        <f t="shared" si="2"/>
        <v>0.93000000000000116</v>
      </c>
      <c r="M20" s="13">
        <f t="shared" si="3"/>
        <v>6.0784313725490272E-2</v>
      </c>
      <c r="N20" s="330">
        <f t="shared" si="4"/>
        <v>380.21190000000047</v>
      </c>
      <c r="O20" s="66" t="s">
        <v>584</v>
      </c>
      <c r="P20" s="66" t="s">
        <v>672</v>
      </c>
      <c r="Q20" s="66" t="s">
        <v>975</v>
      </c>
      <c r="R20" s="28" t="s">
        <v>24</v>
      </c>
    </row>
    <row r="21" spans="1:18" s="15" customFormat="1" ht="24.95" customHeight="1" thickBot="1" x14ac:dyDescent="0.3">
      <c r="A21" s="332">
        <v>10</v>
      </c>
      <c r="B21" s="16" t="s">
        <v>45</v>
      </c>
      <c r="C21" s="34">
        <v>245.11</v>
      </c>
      <c r="D21" s="58">
        <v>89.69</v>
      </c>
      <c r="E21" s="58">
        <v>89.69</v>
      </c>
      <c r="F21" s="58">
        <v>3.96</v>
      </c>
      <c r="G21" s="34">
        <v>318.32</v>
      </c>
      <c r="H21" s="17">
        <f t="shared" si="0"/>
        <v>1.0441520793845467</v>
      </c>
      <c r="I21" s="34">
        <v>1260.55</v>
      </c>
      <c r="J21" s="58">
        <v>0.77</v>
      </c>
      <c r="K21" s="18">
        <f t="shared" si="1"/>
        <v>8.5851265469952063E-3</v>
      </c>
      <c r="L21" s="333">
        <f t="shared" si="2"/>
        <v>3.1899999999999937</v>
      </c>
      <c r="M21" s="19">
        <f t="shared" si="3"/>
        <v>3.5566952837551499E-2</v>
      </c>
      <c r="N21" s="334">
        <f t="shared" si="4"/>
        <v>1015.440799999998</v>
      </c>
      <c r="O21" s="64" t="s">
        <v>584</v>
      </c>
      <c r="P21" s="64" t="s">
        <v>672</v>
      </c>
      <c r="Q21" s="64" t="s">
        <v>67</v>
      </c>
      <c r="R21" s="29" t="s">
        <v>76</v>
      </c>
    </row>
    <row r="22" spans="1:18" s="62" customFormat="1" ht="24.95" customHeight="1" thickBot="1" x14ac:dyDescent="0.3">
      <c r="A22" s="335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336"/>
      <c r="M22" s="30"/>
      <c r="N22" s="337"/>
      <c r="O22" s="61"/>
      <c r="P22" s="61"/>
      <c r="Q22" s="61"/>
      <c r="R22" s="59"/>
    </row>
    <row r="23" spans="1:18" s="62" customFormat="1" ht="40.5" customHeight="1" x14ac:dyDescent="0.25">
      <c r="A23" s="443" t="s">
        <v>1028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1005</v>
      </c>
      <c r="B24" s="447"/>
      <c r="C24" s="447"/>
      <c r="D24" s="447" t="s">
        <v>1006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1007</v>
      </c>
      <c r="P24" s="457" t="s">
        <v>1008</v>
      </c>
      <c r="Q24" s="456" t="s">
        <v>1009</v>
      </c>
      <c r="R24" s="596" t="s">
        <v>1010</v>
      </c>
    </row>
    <row r="25" spans="1:18" s="62" customFormat="1" ht="24.95" customHeight="1" x14ac:dyDescent="0.25">
      <c r="A25" s="597" t="s">
        <v>132</v>
      </c>
      <c r="B25" s="461" t="s">
        <v>1011</v>
      </c>
      <c r="C25" s="462"/>
      <c r="D25" s="463" t="s">
        <v>1012</v>
      </c>
      <c r="E25" s="463"/>
      <c r="F25" s="463"/>
      <c r="G25" s="463"/>
      <c r="H25" s="463"/>
      <c r="I25" s="463"/>
      <c r="J25" s="464" t="s">
        <v>1013</v>
      </c>
      <c r="K25" s="464"/>
      <c r="L25" s="464"/>
      <c r="M25" s="465"/>
      <c r="N25" s="465"/>
      <c r="O25" s="456"/>
      <c r="P25" s="456"/>
      <c r="Q25" s="456"/>
      <c r="R25" s="596"/>
    </row>
    <row r="26" spans="1:18" s="62" customFormat="1" ht="24.95" customHeight="1" x14ac:dyDescent="0.3">
      <c r="A26" s="598"/>
      <c r="B26" s="603" t="s">
        <v>1014</v>
      </c>
      <c r="C26" s="605" t="s">
        <v>1029</v>
      </c>
      <c r="D26" s="607" t="s">
        <v>1016</v>
      </c>
      <c r="E26" s="607"/>
      <c r="F26" s="607"/>
      <c r="G26" s="607"/>
      <c r="H26" s="607"/>
      <c r="I26" s="607"/>
      <c r="J26" s="608" t="s">
        <v>1017</v>
      </c>
      <c r="K26" s="611"/>
      <c r="L26" s="609"/>
      <c r="M26" s="608" t="s">
        <v>1018</v>
      </c>
      <c r="N26" s="609"/>
      <c r="O26" s="456"/>
      <c r="P26" s="456"/>
      <c r="Q26" s="456"/>
      <c r="R26" s="596"/>
    </row>
    <row r="27" spans="1:18" s="62" customFormat="1" ht="50.1" customHeight="1" x14ac:dyDescent="0.25">
      <c r="A27" s="599"/>
      <c r="B27" s="604"/>
      <c r="C27" s="606"/>
      <c r="D27" s="325" t="s">
        <v>1019</v>
      </c>
      <c r="E27" s="325" t="s">
        <v>1020</v>
      </c>
      <c r="F27" s="325" t="s">
        <v>1021</v>
      </c>
      <c r="G27" s="325" t="s">
        <v>1022</v>
      </c>
      <c r="H27" s="325" t="s">
        <v>1023</v>
      </c>
      <c r="I27" s="325" t="s">
        <v>1024</v>
      </c>
      <c r="J27" s="326" t="s">
        <v>1025</v>
      </c>
      <c r="K27" s="326" t="s">
        <v>1026</v>
      </c>
      <c r="L27" s="327" t="s">
        <v>1027</v>
      </c>
      <c r="M27" s="326" t="s">
        <v>1025</v>
      </c>
      <c r="N27" s="326" t="s">
        <v>1026</v>
      </c>
      <c r="O27" s="456"/>
      <c r="P27" s="456"/>
      <c r="Q27" s="456"/>
      <c r="R27" s="596"/>
    </row>
    <row r="28" spans="1:18" s="62" customFormat="1" ht="24.95" customHeight="1" x14ac:dyDescent="0.25">
      <c r="A28" s="328">
        <v>1</v>
      </c>
      <c r="B28" s="10" t="s">
        <v>542</v>
      </c>
      <c r="C28" s="33">
        <v>1725.0100000000002</v>
      </c>
      <c r="D28" s="56">
        <v>194.64</v>
      </c>
      <c r="E28" s="56">
        <v>194.64</v>
      </c>
      <c r="F28" s="56">
        <v>11.1</v>
      </c>
      <c r="G28" s="33">
        <v>194.04</v>
      </c>
      <c r="H28" s="35">
        <f t="shared" ref="H28:H37" si="5">(E28+F28)/D28</f>
        <v>1.0570283600493218</v>
      </c>
      <c r="I28" s="33">
        <v>2153.84</v>
      </c>
      <c r="J28" s="56">
        <v>2.21</v>
      </c>
      <c r="K28" s="12">
        <f t="shared" ref="K28:K37" si="6">J28/D28</f>
        <v>1.135429510891903E-2</v>
      </c>
      <c r="L28" s="330">
        <f t="shared" ref="L28:L37" si="7">J28*G28</f>
        <v>428.82839999999999</v>
      </c>
      <c r="M28" s="329">
        <f t="shared" ref="M28:M37" si="8">((E28+F28)-D28)-J28</f>
        <v>8.8899999999999935</v>
      </c>
      <c r="N28" s="13">
        <f t="shared" ref="N28:N37" si="9">M28/D28</f>
        <v>4.5674064940402763E-2</v>
      </c>
      <c r="O28" s="69" t="s">
        <v>22</v>
      </c>
      <c r="P28" s="14" t="s">
        <v>672</v>
      </c>
      <c r="Q28" s="14" t="s">
        <v>84</v>
      </c>
      <c r="R28" s="28" t="s">
        <v>543</v>
      </c>
    </row>
    <row r="29" spans="1:18" s="62" customFormat="1" ht="24.75" customHeight="1" x14ac:dyDescent="0.25">
      <c r="A29" s="331">
        <v>2</v>
      </c>
      <c r="B29" s="10" t="s">
        <v>706</v>
      </c>
      <c r="C29" s="33">
        <v>1280.4199999999998</v>
      </c>
      <c r="D29" s="56">
        <v>273.38</v>
      </c>
      <c r="E29" s="56">
        <v>273.38</v>
      </c>
      <c r="F29" s="56">
        <v>26.11</v>
      </c>
      <c r="G29" s="33">
        <v>95.34</v>
      </c>
      <c r="H29" s="35">
        <f t="shared" si="5"/>
        <v>1.095508083985661</v>
      </c>
      <c r="I29" s="33">
        <v>2489.33</v>
      </c>
      <c r="J29" s="56">
        <v>12.68</v>
      </c>
      <c r="K29" s="12">
        <f t="shared" si="6"/>
        <v>4.6382324968907748E-2</v>
      </c>
      <c r="L29" s="330">
        <f t="shared" si="7"/>
        <v>1208.9112</v>
      </c>
      <c r="M29" s="329">
        <f t="shared" si="8"/>
        <v>13.430000000000014</v>
      </c>
      <c r="N29" s="13">
        <f t="shared" si="9"/>
        <v>4.9125759016753291E-2</v>
      </c>
      <c r="O29" s="69" t="s">
        <v>22</v>
      </c>
      <c r="P29" s="14" t="s">
        <v>672</v>
      </c>
      <c r="Q29" s="14" t="s">
        <v>84</v>
      </c>
      <c r="R29" s="28" t="s">
        <v>25</v>
      </c>
    </row>
    <row r="30" spans="1:18" s="62" customFormat="1" ht="24.95" customHeight="1" x14ac:dyDescent="0.25">
      <c r="A30" s="331">
        <v>3</v>
      </c>
      <c r="B30" s="10" t="s">
        <v>40</v>
      </c>
      <c r="C30" s="33">
        <v>1077.96</v>
      </c>
      <c r="D30" s="56">
        <v>234.01</v>
      </c>
      <c r="E30" s="56">
        <v>234.01</v>
      </c>
      <c r="F30" s="56">
        <v>16.96</v>
      </c>
      <c r="G30" s="33">
        <v>78</v>
      </c>
      <c r="H30" s="35">
        <f t="shared" si="5"/>
        <v>1.0724755352335371</v>
      </c>
      <c r="I30" s="33">
        <v>1322.88</v>
      </c>
      <c r="J30" s="32">
        <v>3.14</v>
      </c>
      <c r="K30" s="12">
        <f t="shared" si="6"/>
        <v>1.3418229990171362E-2</v>
      </c>
      <c r="L30" s="330">
        <f t="shared" si="7"/>
        <v>244.92000000000002</v>
      </c>
      <c r="M30" s="329">
        <f t="shared" si="8"/>
        <v>13.820000000000007</v>
      </c>
      <c r="N30" s="13">
        <f t="shared" si="9"/>
        <v>5.90573052433657E-2</v>
      </c>
      <c r="O30" s="69" t="s">
        <v>22</v>
      </c>
      <c r="P30" s="14" t="s">
        <v>672</v>
      </c>
      <c r="Q30" s="14" t="s">
        <v>891</v>
      </c>
      <c r="R30" s="28" t="s">
        <v>25</v>
      </c>
    </row>
    <row r="31" spans="1:18" s="62" customFormat="1" ht="24.95" customHeight="1" x14ac:dyDescent="0.25">
      <c r="A31" s="328">
        <v>4</v>
      </c>
      <c r="B31" s="10" t="s">
        <v>35</v>
      </c>
      <c r="C31" s="33">
        <v>1045.9000000000001</v>
      </c>
      <c r="D31" s="56">
        <v>103.42</v>
      </c>
      <c r="E31" s="56">
        <v>103.42</v>
      </c>
      <c r="F31" s="56">
        <v>3.15</v>
      </c>
      <c r="G31" s="33">
        <v>410.16</v>
      </c>
      <c r="H31" s="35">
        <f t="shared" si="5"/>
        <v>1.0304583252755755</v>
      </c>
      <c r="I31" s="33">
        <v>1292</v>
      </c>
      <c r="J31" s="56">
        <v>0.6</v>
      </c>
      <c r="K31" s="12">
        <f t="shared" si="6"/>
        <v>5.8015857667762516E-3</v>
      </c>
      <c r="L31" s="330">
        <f t="shared" si="7"/>
        <v>246.096</v>
      </c>
      <c r="M31" s="329">
        <f t="shared" si="8"/>
        <v>2.5500000000000056</v>
      </c>
      <c r="N31" s="13">
        <f t="shared" si="9"/>
        <v>2.4656739508799125E-2</v>
      </c>
      <c r="O31" s="69" t="s">
        <v>22</v>
      </c>
      <c r="P31" s="14" t="s">
        <v>672</v>
      </c>
      <c r="Q31" s="14" t="s">
        <v>67</v>
      </c>
      <c r="R31" s="28" t="s">
        <v>25</v>
      </c>
    </row>
    <row r="32" spans="1:18" s="62" customFormat="1" ht="24.95" customHeight="1" x14ac:dyDescent="0.25">
      <c r="A32" s="331">
        <v>5</v>
      </c>
      <c r="B32" s="10" t="s">
        <v>41</v>
      </c>
      <c r="C32" s="33">
        <v>1043.4000000000001</v>
      </c>
      <c r="D32" s="56">
        <v>156.81</v>
      </c>
      <c r="E32" s="56">
        <v>156.81</v>
      </c>
      <c r="F32" s="56">
        <v>10.11</v>
      </c>
      <c r="G32" s="33">
        <v>127.4</v>
      </c>
      <c r="H32" s="35">
        <f t="shared" si="5"/>
        <v>1.0644729290223838</v>
      </c>
      <c r="I32" s="33">
        <v>1288.01</v>
      </c>
      <c r="J32" s="56">
        <v>1.92</v>
      </c>
      <c r="K32" s="12">
        <f t="shared" si="6"/>
        <v>1.2244117084369619E-2</v>
      </c>
      <c r="L32" s="330">
        <f t="shared" si="7"/>
        <v>244.608</v>
      </c>
      <c r="M32" s="329">
        <f t="shared" si="8"/>
        <v>8.1900000000000137</v>
      </c>
      <c r="N32" s="13">
        <f t="shared" si="9"/>
        <v>5.2228811938014243E-2</v>
      </c>
      <c r="O32" s="69" t="s">
        <v>22</v>
      </c>
      <c r="P32" s="14" t="s">
        <v>672</v>
      </c>
      <c r="Q32" s="14" t="s">
        <v>84</v>
      </c>
      <c r="R32" s="28" t="s">
        <v>25</v>
      </c>
    </row>
    <row r="33" spans="1:18" s="62" customFormat="1" ht="24.95" customHeight="1" x14ac:dyDescent="0.25">
      <c r="A33" s="328">
        <v>6</v>
      </c>
      <c r="B33" s="10" t="s">
        <v>52</v>
      </c>
      <c r="C33" s="33">
        <v>1016.1500000000001</v>
      </c>
      <c r="D33" s="56">
        <v>338.83</v>
      </c>
      <c r="E33" s="56">
        <v>338.83</v>
      </c>
      <c r="F33" s="56">
        <v>9.42</v>
      </c>
      <c r="G33" s="33">
        <v>133.88</v>
      </c>
      <c r="H33" s="35">
        <f t="shared" si="5"/>
        <v>1.027801552400909</v>
      </c>
      <c r="I33" s="33">
        <v>1261.1500000000001</v>
      </c>
      <c r="J33" s="56">
        <v>1.83</v>
      </c>
      <c r="K33" s="12">
        <f t="shared" si="6"/>
        <v>5.4009385237434706E-3</v>
      </c>
      <c r="L33" s="330">
        <f t="shared" si="7"/>
        <v>245.00040000000001</v>
      </c>
      <c r="M33" s="329">
        <f t="shared" si="8"/>
        <v>7.5900000000000158</v>
      </c>
      <c r="N33" s="13">
        <f t="shared" si="9"/>
        <v>2.2400613877165586E-2</v>
      </c>
      <c r="O33" s="69" t="s">
        <v>22</v>
      </c>
      <c r="P33" s="14" t="s">
        <v>672</v>
      </c>
      <c r="Q33" s="14" t="s">
        <v>892</v>
      </c>
      <c r="R33" s="28" t="s">
        <v>77</v>
      </c>
    </row>
    <row r="34" spans="1:18" s="62" customFormat="1" ht="24.95" customHeight="1" x14ac:dyDescent="0.25">
      <c r="A34" s="331">
        <v>7</v>
      </c>
      <c r="B34" s="10" t="s">
        <v>45</v>
      </c>
      <c r="C34" s="33">
        <v>1015.4399999999999</v>
      </c>
      <c r="D34" s="56">
        <v>89.69</v>
      </c>
      <c r="E34" s="56">
        <v>89.69</v>
      </c>
      <c r="F34" s="56">
        <v>3.96</v>
      </c>
      <c r="G34" s="33">
        <v>318.32</v>
      </c>
      <c r="H34" s="35">
        <f t="shared" si="5"/>
        <v>1.0441520793845467</v>
      </c>
      <c r="I34" s="33">
        <v>1260.55</v>
      </c>
      <c r="J34" s="56">
        <v>0.77</v>
      </c>
      <c r="K34" s="12">
        <f t="shared" si="6"/>
        <v>8.5851265469952063E-3</v>
      </c>
      <c r="L34" s="330">
        <f t="shared" si="7"/>
        <v>245.10640000000001</v>
      </c>
      <c r="M34" s="329">
        <f t="shared" si="8"/>
        <v>3.1899999999999937</v>
      </c>
      <c r="N34" s="13">
        <f t="shared" si="9"/>
        <v>3.5566952837551499E-2</v>
      </c>
      <c r="O34" s="69" t="s">
        <v>22</v>
      </c>
      <c r="P34" s="14" t="s">
        <v>672</v>
      </c>
      <c r="Q34" s="14" t="s">
        <v>67</v>
      </c>
      <c r="R34" s="28" t="s">
        <v>76</v>
      </c>
    </row>
    <row r="35" spans="1:18" s="62" customFormat="1" ht="24.95" customHeight="1" x14ac:dyDescent="0.25">
      <c r="A35" s="328">
        <v>8</v>
      </c>
      <c r="B35" s="10" t="s">
        <v>90</v>
      </c>
      <c r="C35" s="33">
        <v>1014.35</v>
      </c>
      <c r="D35" s="56">
        <v>149.19999999999999</v>
      </c>
      <c r="E35" s="56">
        <v>149.19999999999999</v>
      </c>
      <c r="F35" s="56">
        <v>7.56</v>
      </c>
      <c r="G35" s="33">
        <v>166.56</v>
      </c>
      <c r="H35" s="35">
        <f t="shared" si="5"/>
        <v>1.0506702412868634</v>
      </c>
      <c r="I35" s="33">
        <v>1259.19</v>
      </c>
      <c r="J35" s="56">
        <v>1.47</v>
      </c>
      <c r="K35" s="12">
        <f t="shared" si="6"/>
        <v>9.8525469168900814E-3</v>
      </c>
      <c r="L35" s="330">
        <f t="shared" si="7"/>
        <v>244.8432</v>
      </c>
      <c r="M35" s="329">
        <f t="shared" si="8"/>
        <v>6.0900000000000025</v>
      </c>
      <c r="N35" s="13">
        <f t="shared" si="9"/>
        <v>4.0817694369973213E-2</v>
      </c>
      <c r="O35" s="69" t="s">
        <v>22</v>
      </c>
      <c r="P35" s="14" t="s">
        <v>672</v>
      </c>
      <c r="Q35" s="14" t="s">
        <v>84</v>
      </c>
      <c r="R35" s="28" t="s">
        <v>89</v>
      </c>
    </row>
    <row r="36" spans="1:18" s="62" customFormat="1" ht="24.95" customHeight="1" x14ac:dyDescent="0.25">
      <c r="A36" s="331">
        <v>9</v>
      </c>
      <c r="B36" s="10" t="s">
        <v>46</v>
      </c>
      <c r="C36" s="33">
        <v>986.18000000000006</v>
      </c>
      <c r="D36" s="56">
        <v>26.66</v>
      </c>
      <c r="E36" s="56">
        <v>26.66</v>
      </c>
      <c r="F36" s="56">
        <v>1.3</v>
      </c>
      <c r="G36" s="33">
        <v>930.36</v>
      </c>
      <c r="H36" s="35">
        <f t="shared" si="5"/>
        <v>1.048762190547637</v>
      </c>
      <c r="I36" s="33">
        <v>1209.47</v>
      </c>
      <c r="J36" s="56">
        <v>0.24</v>
      </c>
      <c r="K36" s="12">
        <f t="shared" si="6"/>
        <v>9.0022505626406596E-3</v>
      </c>
      <c r="L36" s="330">
        <f t="shared" si="7"/>
        <v>223.28639999999999</v>
      </c>
      <c r="M36" s="329">
        <f t="shared" si="8"/>
        <v>1.0600000000000007</v>
      </c>
      <c r="N36" s="13">
        <f t="shared" si="9"/>
        <v>3.9759939984996273E-2</v>
      </c>
      <c r="O36" s="69" t="s">
        <v>22</v>
      </c>
      <c r="P36" s="14" t="s">
        <v>672</v>
      </c>
      <c r="Q36" s="14" t="s">
        <v>84</v>
      </c>
      <c r="R36" s="28" t="s">
        <v>76</v>
      </c>
    </row>
    <row r="37" spans="1:18" s="62" customFormat="1" ht="24.95" customHeight="1" thickBot="1" x14ac:dyDescent="0.3">
      <c r="A37" s="332">
        <v>10</v>
      </c>
      <c r="B37" s="16" t="s">
        <v>50</v>
      </c>
      <c r="C37" s="34">
        <v>985.2299999999999</v>
      </c>
      <c r="D37" s="58">
        <v>355.1</v>
      </c>
      <c r="E37" s="58">
        <v>355.1</v>
      </c>
      <c r="F37" s="58">
        <v>11.06</v>
      </c>
      <c r="G37" s="34">
        <v>111.2</v>
      </c>
      <c r="H37" s="36">
        <f t="shared" si="5"/>
        <v>1.0311461560123909</v>
      </c>
      <c r="I37" s="34">
        <v>1229.8699999999999</v>
      </c>
      <c r="J37" s="58">
        <v>2.2000000000000002</v>
      </c>
      <c r="K37" s="18">
        <f t="shared" si="6"/>
        <v>6.1954379048155452E-3</v>
      </c>
      <c r="L37" s="334">
        <f t="shared" si="7"/>
        <v>244.64000000000001</v>
      </c>
      <c r="M37" s="333">
        <f t="shared" si="8"/>
        <v>8.860000000000003</v>
      </c>
      <c r="N37" s="19">
        <f t="shared" si="9"/>
        <v>2.4950718107575338E-2</v>
      </c>
      <c r="O37" s="52" t="s">
        <v>22</v>
      </c>
      <c r="P37" s="20" t="s">
        <v>672</v>
      </c>
      <c r="Q37" s="20" t="s">
        <v>84</v>
      </c>
      <c r="R37" s="65" t="s">
        <v>49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1030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1005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612" t="s">
        <v>1031</v>
      </c>
      <c r="B41" s="450" t="s">
        <v>1011</v>
      </c>
      <c r="C41" s="450"/>
      <c r="D41" s="451"/>
      <c r="E41" s="23"/>
      <c r="G41" s="21"/>
      <c r="H41" s="22"/>
    </row>
    <row r="42" spans="1:18" ht="20.45" customHeight="1" x14ac:dyDescent="0.35">
      <c r="A42" s="612"/>
      <c r="B42" s="613" t="s">
        <v>1014</v>
      </c>
      <c r="C42" s="614" t="s">
        <v>1015</v>
      </c>
      <c r="D42" s="596" t="s">
        <v>1032</v>
      </c>
      <c r="E42" s="23"/>
      <c r="G42" s="21"/>
      <c r="H42" s="22"/>
    </row>
    <row r="43" spans="1:18" ht="20.45" customHeight="1" x14ac:dyDescent="0.35">
      <c r="A43" s="612"/>
      <c r="B43" s="613"/>
      <c r="C43" s="614"/>
      <c r="D43" s="596"/>
      <c r="E43" s="23"/>
      <c r="G43" s="21"/>
      <c r="H43" s="22"/>
    </row>
    <row r="44" spans="1:18" s="26" customFormat="1" ht="24.95" customHeight="1" x14ac:dyDescent="0.35">
      <c r="A44" s="338">
        <v>1</v>
      </c>
      <c r="B44" s="10" t="s">
        <v>706</v>
      </c>
      <c r="C44" s="33">
        <v>1208.9100000000001</v>
      </c>
      <c r="D44" s="24">
        <f t="shared" ref="D44:D53" si="10">C44/$L$5</f>
        <v>0.14589015306935188</v>
      </c>
      <c r="E44" s="25"/>
      <c r="G44" s="21"/>
      <c r="H44" s="22"/>
    </row>
    <row r="45" spans="1:18" s="26" customFormat="1" ht="24.95" customHeight="1" x14ac:dyDescent="0.35">
      <c r="A45" s="339">
        <v>2</v>
      </c>
      <c r="B45" s="10" t="s">
        <v>786</v>
      </c>
      <c r="C45" s="33">
        <v>669.44</v>
      </c>
      <c r="D45" s="24">
        <f t="shared" si="10"/>
        <v>8.078740689608567E-2</v>
      </c>
      <c r="E45" s="25"/>
      <c r="G45" s="21"/>
      <c r="H45" s="22"/>
    </row>
    <row r="46" spans="1:18" s="26" customFormat="1" ht="24.95" customHeight="1" x14ac:dyDescent="0.35">
      <c r="A46" s="339">
        <v>3</v>
      </c>
      <c r="B46" s="10" t="s">
        <v>30</v>
      </c>
      <c r="C46" s="33">
        <v>272.64</v>
      </c>
      <c r="D46" s="24">
        <f t="shared" si="10"/>
        <v>3.290194582957217E-2</v>
      </c>
      <c r="E46" s="25"/>
      <c r="G46" s="21"/>
      <c r="H46" s="22"/>
    </row>
    <row r="47" spans="1:18" s="26" customFormat="1" ht="24.95" customHeight="1" x14ac:dyDescent="0.35">
      <c r="A47" s="338">
        <v>4</v>
      </c>
      <c r="B47" s="10" t="s">
        <v>59</v>
      </c>
      <c r="C47" s="33">
        <v>252.1</v>
      </c>
      <c r="D47" s="24">
        <f t="shared" si="10"/>
        <v>3.0423197416502144E-2</v>
      </c>
      <c r="E47" s="25"/>
      <c r="G47" s="21"/>
      <c r="H47" s="22"/>
    </row>
    <row r="48" spans="1:18" s="26" customFormat="1" ht="24.95" customHeight="1" x14ac:dyDescent="0.35">
      <c r="A48" s="339">
        <v>5</v>
      </c>
      <c r="B48" s="10" t="s">
        <v>35</v>
      </c>
      <c r="C48" s="33">
        <v>246.1</v>
      </c>
      <c r="D48" s="24">
        <f t="shared" si="10"/>
        <v>2.9699122904407686E-2</v>
      </c>
      <c r="E48" s="25"/>
      <c r="G48" s="21"/>
      <c r="H48" s="22"/>
    </row>
    <row r="49" spans="1:5" s="26" customFormat="1" ht="24.95" customHeight="1" x14ac:dyDescent="0.25">
      <c r="A49" s="338">
        <v>6</v>
      </c>
      <c r="B49" s="10" t="s">
        <v>567</v>
      </c>
      <c r="C49" s="33">
        <v>245.04</v>
      </c>
      <c r="D49" s="24">
        <f t="shared" si="10"/>
        <v>2.9571203073937666E-2</v>
      </c>
      <c r="E49" s="25"/>
    </row>
    <row r="50" spans="1:5" s="26" customFormat="1" ht="24.95" customHeight="1" x14ac:dyDescent="0.25">
      <c r="A50" s="339">
        <v>7</v>
      </c>
      <c r="B50" s="10" t="s">
        <v>40</v>
      </c>
      <c r="C50" s="33">
        <v>244.92</v>
      </c>
      <c r="D50" s="24">
        <f t="shared" si="10"/>
        <v>2.9556721583695777E-2</v>
      </c>
      <c r="E50" s="25"/>
    </row>
    <row r="51" spans="1:5" s="26" customFormat="1" ht="24.95" customHeight="1" x14ac:dyDescent="0.25">
      <c r="A51" s="338">
        <v>8</v>
      </c>
      <c r="B51" s="10" t="s">
        <v>795</v>
      </c>
      <c r="C51" s="33">
        <v>244.85</v>
      </c>
      <c r="D51" s="24">
        <f t="shared" si="10"/>
        <v>2.954827404772134E-2</v>
      </c>
      <c r="E51" s="25"/>
    </row>
    <row r="52" spans="1:5" s="26" customFormat="1" ht="24.95" customHeight="1" x14ac:dyDescent="0.25">
      <c r="A52" s="339">
        <v>9</v>
      </c>
      <c r="B52" s="10" t="s">
        <v>38</v>
      </c>
      <c r="C52" s="33">
        <v>244.83</v>
      </c>
      <c r="D52" s="24">
        <f t="shared" si="10"/>
        <v>2.9545860466014363E-2</v>
      </c>
      <c r="E52" s="25"/>
    </row>
    <row r="53" spans="1:5" s="26" customFormat="1" ht="24.95" customHeight="1" thickBot="1" x14ac:dyDescent="0.3">
      <c r="A53" s="340">
        <v>10</v>
      </c>
      <c r="B53" s="16" t="s">
        <v>32</v>
      </c>
      <c r="C53" s="34">
        <v>244.82</v>
      </c>
      <c r="D53" s="27">
        <f t="shared" si="10"/>
        <v>2.9544653675160869E-2</v>
      </c>
      <c r="E53" s="25"/>
    </row>
    <row r="54" spans="1:5" x14ac:dyDescent="0.25">
      <c r="A54" s="441" t="s">
        <v>1033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1034</v>
      </c>
      <c r="B56" s="442"/>
      <c r="C56" s="442"/>
      <c r="D56" s="442"/>
      <c r="E56" s="442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911" priority="33" operator="containsText" text="024">
      <formula>NOT(ISERROR(SEARCH("024",A12)))</formula>
    </cfRule>
    <cfRule type="containsText" dxfId="910" priority="34" operator="containsText" text="白醬">
      <formula>NOT(ISERROR(SEARCH("白醬",A12)))</formula>
    </cfRule>
    <cfRule type="containsText" dxfId="909" priority="35" operator="containsText" text="青蔥">
      <formula>NOT(ISERROR(SEARCH("青蔥",A12)))</formula>
    </cfRule>
    <cfRule type="containsText" dxfId="908" priority="36" operator="containsText" text=")川燙小青花菜">
      <formula>NOT(ISERROR(SEARCH(")川燙小青花菜",A12)))</formula>
    </cfRule>
    <cfRule type="containsText" dxfId="907" priority="37" operator="containsText" text="湯凍">
      <formula>NOT(ISERROR(SEARCH("湯凍",A12)))</formula>
    </cfRule>
    <cfRule type="containsText" dxfId="906" priority="38" operator="containsText" text="中華">
      <formula>NOT(ISERROR(SEARCH("中華",A12)))</formula>
    </cfRule>
  </conditionalFormatting>
  <conditionalFormatting sqref="A12:A22">
    <cfRule type="containsText" dxfId="905" priority="31" operator="containsText" text="綠豆芽">
      <formula>NOT(ISERROR(SEARCH("綠豆芽",A12)))</formula>
    </cfRule>
    <cfRule type="containsText" dxfId="904" priority="32" operator="containsText" text="煮白細麵生(方#12)">
      <formula>NOT(ISERROR(SEARCH("煮白細麵生(方#12)",A12)))</formula>
    </cfRule>
  </conditionalFormatting>
  <conditionalFormatting sqref="E5">
    <cfRule type="cellIs" dxfId="903" priority="16" operator="greaterThan">
      <formula>0.0025</formula>
    </cfRule>
    <cfRule type="cellIs" dxfId="902" priority="19" operator="greaterThan">
      <formula>0.0025</formula>
    </cfRule>
    <cfRule type="cellIs" dxfId="901" priority="29" operator="greaterThan">
      <formula>0.072</formula>
    </cfRule>
    <cfRule type="cellIs" dxfId="900" priority="30" operator="greaterThan">
      <formula>7.2</formula>
    </cfRule>
  </conditionalFormatting>
  <conditionalFormatting sqref="E5">
    <cfRule type="cellIs" dxfId="899" priority="28" operator="greaterThan">
      <formula>0.0025</formula>
    </cfRule>
  </conditionalFormatting>
  <conditionalFormatting sqref="A44:A53">
    <cfRule type="containsText" dxfId="898" priority="22" operator="containsText" text="024">
      <formula>NOT(ISERROR(SEARCH("024",A44)))</formula>
    </cfRule>
    <cfRule type="containsText" dxfId="897" priority="23" operator="containsText" text="白醬">
      <formula>NOT(ISERROR(SEARCH("白醬",A44)))</formula>
    </cfRule>
    <cfRule type="containsText" dxfId="896" priority="24" operator="containsText" text="青蔥">
      <formula>NOT(ISERROR(SEARCH("青蔥",A44)))</formula>
    </cfRule>
    <cfRule type="containsText" dxfId="895" priority="25" operator="containsText" text=")川燙小青花菜">
      <formula>NOT(ISERROR(SEARCH(")川燙小青花菜",A44)))</formula>
    </cfRule>
    <cfRule type="containsText" dxfId="894" priority="26" operator="containsText" text="湯凍">
      <formula>NOT(ISERROR(SEARCH("湯凍",A44)))</formula>
    </cfRule>
    <cfRule type="containsText" dxfId="893" priority="27" operator="containsText" text="中華">
      <formula>NOT(ISERROR(SEARCH("中華",A44)))</formula>
    </cfRule>
  </conditionalFormatting>
  <conditionalFormatting sqref="A44:A53">
    <cfRule type="containsText" dxfId="892" priority="20" operator="containsText" text="綠豆芽">
      <formula>NOT(ISERROR(SEARCH("綠豆芽",A44)))</formula>
    </cfRule>
    <cfRule type="containsText" dxfId="891" priority="21" operator="containsText" text="煮白細麵生(方#12)">
      <formula>NOT(ISERROR(SEARCH("煮白細麵生(方#12)",A44)))</formula>
    </cfRule>
  </conditionalFormatting>
  <conditionalFormatting sqref="D44:D53">
    <cfRule type="cellIs" dxfId="890" priority="18" operator="greaterThan">
      <formula>0.146</formula>
    </cfRule>
  </conditionalFormatting>
  <conditionalFormatting sqref="H12:H22">
    <cfRule type="cellIs" dxfId="889" priority="17" operator="greaterThan">
      <formula>1.1</formula>
    </cfRule>
  </conditionalFormatting>
  <conditionalFormatting sqref="I5">
    <cfRule type="cellIs" dxfId="888" priority="15" operator="greaterThan">
      <formula>0.2</formula>
    </cfRule>
  </conditionalFormatting>
  <conditionalFormatting sqref="A28:A37">
    <cfRule type="containsText" dxfId="887" priority="9" operator="containsText" text="024">
      <formula>NOT(ISERROR(SEARCH("024",A28)))</formula>
    </cfRule>
    <cfRule type="containsText" dxfId="886" priority="10" operator="containsText" text="白醬">
      <formula>NOT(ISERROR(SEARCH("白醬",A28)))</formula>
    </cfRule>
    <cfRule type="containsText" dxfId="885" priority="11" operator="containsText" text="青蔥">
      <formula>NOT(ISERROR(SEARCH("青蔥",A28)))</formula>
    </cfRule>
    <cfRule type="containsText" dxfId="884" priority="12" operator="containsText" text=")川燙小青花菜">
      <formula>NOT(ISERROR(SEARCH(")川燙小青花菜",A28)))</formula>
    </cfRule>
    <cfRule type="containsText" dxfId="883" priority="13" operator="containsText" text="湯凍">
      <formula>NOT(ISERROR(SEARCH("湯凍",A28)))</formula>
    </cfRule>
    <cfRule type="containsText" dxfId="882" priority="14" operator="containsText" text="中華">
      <formula>NOT(ISERROR(SEARCH("中華",A28)))</formula>
    </cfRule>
  </conditionalFormatting>
  <conditionalFormatting sqref="A28:A37">
    <cfRule type="containsText" dxfId="881" priority="7" operator="containsText" text="綠豆芽">
      <formula>NOT(ISERROR(SEARCH("綠豆芽",A28)))</formula>
    </cfRule>
    <cfRule type="containsText" dxfId="880" priority="8" operator="containsText" text="煮白細麵生(方#12)">
      <formula>NOT(ISERROR(SEARCH("煮白細麵生(方#12)",A28)))</formula>
    </cfRule>
  </conditionalFormatting>
  <conditionalFormatting sqref="H28:H37">
    <cfRule type="cellIs" dxfId="879" priority="6" operator="greaterThan">
      <formula>1.1</formula>
    </cfRule>
  </conditionalFormatting>
  <conditionalFormatting sqref="G5">
    <cfRule type="cellIs" dxfId="878" priority="1" operator="greaterThan">
      <formula>0.0025</formula>
    </cfRule>
    <cfRule type="cellIs" dxfId="877" priority="2" operator="greaterThan">
      <formula>0.0025</formula>
    </cfRule>
    <cfRule type="cellIs" dxfId="876" priority="4" operator="greaterThan">
      <formula>0.072</formula>
    </cfRule>
    <cfRule type="cellIs" dxfId="875" priority="5" operator="greaterThan">
      <formula>7.2</formula>
    </cfRule>
  </conditionalFormatting>
  <conditionalFormatting sqref="G5">
    <cfRule type="cellIs" dxfId="87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J4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615" t="s">
        <v>92</v>
      </c>
      <c r="B2" s="616"/>
      <c r="C2" s="305" t="s">
        <v>93</v>
      </c>
      <c r="D2" s="617" t="s">
        <v>94</v>
      </c>
      <c r="E2" s="617"/>
      <c r="F2" s="617" t="s">
        <v>95</v>
      </c>
      <c r="G2" s="617"/>
      <c r="H2" s="617" t="s">
        <v>94</v>
      </c>
      <c r="I2" s="617"/>
      <c r="J2" s="617" t="s">
        <v>95</v>
      </c>
      <c r="K2" s="617"/>
      <c r="L2" s="617" t="s">
        <v>94</v>
      </c>
      <c r="M2" s="618"/>
      <c r="R2" s="54"/>
    </row>
    <row r="3" spans="1:18" s="1" customFormat="1" ht="28.5" x14ac:dyDescent="0.45">
      <c r="A3" s="625">
        <v>45892</v>
      </c>
      <c r="B3" s="626"/>
      <c r="C3" s="627">
        <v>5147138.66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625"/>
      <c r="B4" s="626"/>
      <c r="C4" s="627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619" t="s">
        <v>105</v>
      </c>
      <c r="B5" s="620"/>
      <c r="C5" s="620"/>
      <c r="D5" s="306">
        <v>12468.089999999998</v>
      </c>
      <c r="E5" s="5">
        <f>D5/C3</f>
        <v>2.4223341983951913E-3</v>
      </c>
      <c r="F5" s="306">
        <v>44152.76</v>
      </c>
      <c r="G5" s="44">
        <f>F5/C3</f>
        <v>8.5781174583705513E-3</v>
      </c>
      <c r="H5" s="6">
        <f>SUM(C12:C21)</f>
        <v>3597.5499999999997</v>
      </c>
      <c r="I5" s="7">
        <f>H5/D5</f>
        <v>0.28854058640898489</v>
      </c>
      <c r="J5" s="6">
        <f>SUM(C28:C37)</f>
        <v>9252.3500000000022</v>
      </c>
      <c r="K5" s="46">
        <f>J5/F5</f>
        <v>0.20955315137717329</v>
      </c>
      <c r="L5" s="8">
        <v>6270.17</v>
      </c>
      <c r="M5" s="9">
        <f>L5/D5</f>
        <v>0.50289739647371823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943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944</v>
      </c>
      <c r="B8" s="447"/>
      <c r="C8" s="447"/>
      <c r="D8" s="447" t="s">
        <v>945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946</v>
      </c>
      <c r="P8" s="457" t="s">
        <v>604</v>
      </c>
      <c r="Q8" s="456" t="s">
        <v>947</v>
      </c>
      <c r="R8" s="621" t="s">
        <v>948</v>
      </c>
    </row>
    <row r="9" spans="1:18" ht="20.45" customHeight="1" x14ac:dyDescent="0.25">
      <c r="A9" s="622" t="s">
        <v>171</v>
      </c>
      <c r="B9" s="461" t="s">
        <v>949</v>
      </c>
      <c r="C9" s="462"/>
      <c r="D9" s="463" t="s">
        <v>950</v>
      </c>
      <c r="E9" s="463"/>
      <c r="F9" s="463"/>
      <c r="G9" s="463"/>
      <c r="H9" s="463"/>
      <c r="I9" s="463"/>
      <c r="J9" s="464" t="s">
        <v>951</v>
      </c>
      <c r="K9" s="464"/>
      <c r="L9" s="464"/>
      <c r="M9" s="465"/>
      <c r="N9" s="465"/>
      <c r="O9" s="456"/>
      <c r="P9" s="456"/>
      <c r="Q9" s="456"/>
      <c r="R9" s="621"/>
    </row>
    <row r="10" spans="1:18" ht="20.45" customHeight="1" x14ac:dyDescent="0.3">
      <c r="A10" s="623"/>
      <c r="B10" s="628" t="s">
        <v>952</v>
      </c>
      <c r="C10" s="630" t="s">
        <v>953</v>
      </c>
      <c r="D10" s="632" t="s">
        <v>110</v>
      </c>
      <c r="E10" s="632"/>
      <c r="F10" s="632"/>
      <c r="G10" s="632"/>
      <c r="H10" s="632"/>
      <c r="I10" s="632"/>
      <c r="J10" s="633" t="s">
        <v>160</v>
      </c>
      <c r="K10" s="634"/>
      <c r="L10" s="635" t="s">
        <v>954</v>
      </c>
      <c r="M10" s="633"/>
      <c r="N10" s="633"/>
      <c r="O10" s="456"/>
      <c r="P10" s="456"/>
      <c r="Q10" s="456"/>
      <c r="R10" s="621"/>
    </row>
    <row r="11" spans="1:18" s="55" customFormat="1" ht="47.25" customHeight="1" x14ac:dyDescent="0.25">
      <c r="A11" s="624"/>
      <c r="B11" s="629"/>
      <c r="C11" s="631"/>
      <c r="D11" s="307" t="s">
        <v>955</v>
      </c>
      <c r="E11" s="307" t="s">
        <v>956</v>
      </c>
      <c r="F11" s="307" t="s">
        <v>957</v>
      </c>
      <c r="G11" s="307" t="s">
        <v>958</v>
      </c>
      <c r="H11" s="307" t="s">
        <v>144</v>
      </c>
      <c r="I11" s="307" t="s">
        <v>959</v>
      </c>
      <c r="J11" s="308" t="s">
        <v>960</v>
      </c>
      <c r="K11" s="308" t="s">
        <v>961</v>
      </c>
      <c r="L11" s="308" t="s">
        <v>960</v>
      </c>
      <c r="M11" s="308" t="s">
        <v>212</v>
      </c>
      <c r="N11" s="309" t="s">
        <v>962</v>
      </c>
      <c r="O11" s="456"/>
      <c r="P11" s="456"/>
      <c r="Q11" s="456"/>
      <c r="R11" s="621"/>
    </row>
    <row r="12" spans="1:18" s="15" customFormat="1" ht="24.95" customHeight="1" x14ac:dyDescent="0.25">
      <c r="A12" s="310">
        <v>1</v>
      </c>
      <c r="B12" s="10" t="s">
        <v>786</v>
      </c>
      <c r="C12" s="33">
        <v>609.58000000000004</v>
      </c>
      <c r="D12" s="56">
        <v>11491</v>
      </c>
      <c r="E12" s="56">
        <v>11491</v>
      </c>
      <c r="F12" s="56">
        <v>105.1</v>
      </c>
      <c r="G12" s="33">
        <v>5.8</v>
      </c>
      <c r="H12" s="11">
        <f t="shared" ref="H12:H21" si="0">(E12+F12)/D12</f>
        <v>1.0091462883996172</v>
      </c>
      <c r="I12" s="33">
        <v>609.58000000000004</v>
      </c>
      <c r="J12" s="56">
        <v>105.1</v>
      </c>
      <c r="K12" s="12">
        <f t="shared" ref="K12:K21" si="1">J12/D12</f>
        <v>9.1462883996170918E-3</v>
      </c>
      <c r="L12" s="311">
        <f t="shared" ref="L12:L21" si="2">((E12+F12)-D12)-J12</f>
        <v>3.694822225952521E-13</v>
      </c>
      <c r="M12" s="13">
        <f t="shared" ref="M12:M21" si="3">L12/D12</f>
        <v>3.2154052962775395E-17</v>
      </c>
      <c r="N12" s="312">
        <f t="shared" ref="N12:N21" si="4">L12*G12</f>
        <v>2.1429968910524619E-12</v>
      </c>
      <c r="O12" s="66" t="s">
        <v>584</v>
      </c>
      <c r="P12" s="66" t="s">
        <v>675</v>
      </c>
      <c r="Q12" s="66" t="s">
        <v>973</v>
      </c>
      <c r="R12" s="28" t="s">
        <v>25</v>
      </c>
    </row>
    <row r="13" spans="1:18" s="15" customFormat="1" ht="24.95" customHeight="1" x14ac:dyDescent="0.25">
      <c r="A13" s="313">
        <v>2</v>
      </c>
      <c r="B13" s="10" t="s">
        <v>41</v>
      </c>
      <c r="C13" s="33">
        <v>560.55999999999995</v>
      </c>
      <c r="D13" s="56">
        <v>115.44</v>
      </c>
      <c r="E13" s="56">
        <v>115.44</v>
      </c>
      <c r="F13" s="56">
        <v>11.48</v>
      </c>
      <c r="G13" s="33">
        <v>127.4</v>
      </c>
      <c r="H13" s="11">
        <f t="shared" si="0"/>
        <v>1.0994455994455994</v>
      </c>
      <c r="I13" s="33">
        <v>1462.55</v>
      </c>
      <c r="J13" s="56">
        <v>4.4000000000000004</v>
      </c>
      <c r="K13" s="12">
        <f t="shared" si="1"/>
        <v>3.8115038115038122E-2</v>
      </c>
      <c r="L13" s="311">
        <f t="shared" si="2"/>
        <v>7.0800000000000036</v>
      </c>
      <c r="M13" s="13">
        <f t="shared" si="3"/>
        <v>6.1330561330561362E-2</v>
      </c>
      <c r="N13" s="312">
        <f t="shared" si="4"/>
        <v>901.99200000000053</v>
      </c>
      <c r="O13" s="66" t="s">
        <v>584</v>
      </c>
      <c r="P13" s="66" t="s">
        <v>672</v>
      </c>
      <c r="Q13" s="66" t="s">
        <v>975</v>
      </c>
      <c r="R13" s="28" t="s">
        <v>25</v>
      </c>
    </row>
    <row r="14" spans="1:18" s="57" customFormat="1" ht="24.95" customHeight="1" x14ac:dyDescent="0.25">
      <c r="A14" s="313">
        <v>3</v>
      </c>
      <c r="B14" s="10" t="s">
        <v>123</v>
      </c>
      <c r="C14" s="33">
        <v>454.61</v>
      </c>
      <c r="D14" s="56">
        <v>10.58</v>
      </c>
      <c r="E14" s="56">
        <v>10.58</v>
      </c>
      <c r="F14" s="56">
        <v>1.05</v>
      </c>
      <c r="G14" s="33">
        <v>1567.63</v>
      </c>
      <c r="H14" s="11">
        <f t="shared" si="0"/>
        <v>1.0992438563327034</v>
      </c>
      <c r="I14" s="33">
        <v>1646.01</v>
      </c>
      <c r="J14" s="56">
        <v>0.28999999999999998</v>
      </c>
      <c r="K14" s="12">
        <f t="shared" si="1"/>
        <v>2.7410207939508505E-2</v>
      </c>
      <c r="L14" s="311">
        <f t="shared" si="2"/>
        <v>0.76000000000000068</v>
      </c>
      <c r="M14" s="13">
        <f t="shared" si="3"/>
        <v>7.1833648393194768E-2</v>
      </c>
      <c r="N14" s="312">
        <f t="shared" si="4"/>
        <v>1191.3988000000011</v>
      </c>
      <c r="O14" s="66" t="s">
        <v>584</v>
      </c>
      <c r="P14" s="66" t="s">
        <v>672</v>
      </c>
      <c r="Q14" s="66" t="s">
        <v>585</v>
      </c>
      <c r="R14" s="28" t="s">
        <v>122</v>
      </c>
    </row>
    <row r="15" spans="1:18" s="15" customFormat="1" ht="24" customHeight="1" x14ac:dyDescent="0.25">
      <c r="A15" s="310">
        <v>4</v>
      </c>
      <c r="B15" s="10" t="s">
        <v>787</v>
      </c>
      <c r="C15" s="33">
        <v>411.12</v>
      </c>
      <c r="D15" s="56">
        <v>5247</v>
      </c>
      <c r="E15" s="56">
        <v>5247</v>
      </c>
      <c r="F15" s="56">
        <v>62.48</v>
      </c>
      <c r="G15" s="33">
        <v>6.58</v>
      </c>
      <c r="H15" s="11">
        <f t="shared" si="0"/>
        <v>1.0119077568134172</v>
      </c>
      <c r="I15" s="33">
        <v>411.12</v>
      </c>
      <c r="J15" s="56">
        <v>62.48</v>
      </c>
      <c r="K15" s="12">
        <f t="shared" si="1"/>
        <v>1.190775681341719E-2</v>
      </c>
      <c r="L15" s="311">
        <f t="shared" si="2"/>
        <v>-4.3343106881366111E-13</v>
      </c>
      <c r="M15" s="13">
        <f t="shared" si="3"/>
        <v>-8.2605501965630094E-17</v>
      </c>
      <c r="N15" s="312">
        <f t="shared" si="4"/>
        <v>-2.8519764327938901E-12</v>
      </c>
      <c r="O15" s="66" t="s">
        <v>18</v>
      </c>
      <c r="P15" s="66" t="s">
        <v>673</v>
      </c>
      <c r="Q15" s="66" t="s">
        <v>974</v>
      </c>
      <c r="R15" s="28" t="s">
        <v>25</v>
      </c>
    </row>
    <row r="16" spans="1:18" s="57" customFormat="1" ht="24.95" customHeight="1" x14ac:dyDescent="0.25">
      <c r="A16" s="313">
        <v>5</v>
      </c>
      <c r="B16" s="10" t="s">
        <v>728</v>
      </c>
      <c r="C16" s="33">
        <v>350.29</v>
      </c>
      <c r="D16" s="56">
        <v>198.3</v>
      </c>
      <c r="E16" s="56">
        <v>198.3</v>
      </c>
      <c r="F16" s="56">
        <v>12.4</v>
      </c>
      <c r="G16" s="33">
        <v>147.80000000000001</v>
      </c>
      <c r="H16" s="11">
        <f t="shared" si="0"/>
        <v>1.0625315179021684</v>
      </c>
      <c r="I16" s="33">
        <v>1832.72</v>
      </c>
      <c r="J16" s="56">
        <v>2.37</v>
      </c>
      <c r="K16" s="12">
        <f t="shared" si="1"/>
        <v>1.1951588502269289E-2</v>
      </c>
      <c r="L16" s="311">
        <f t="shared" si="2"/>
        <v>10.030000000000005</v>
      </c>
      <c r="M16" s="13">
        <f t="shared" si="3"/>
        <v>5.0579929399899165E-2</v>
      </c>
      <c r="N16" s="312">
        <f t="shared" si="4"/>
        <v>1482.4340000000009</v>
      </c>
      <c r="O16" s="66" t="s">
        <v>584</v>
      </c>
      <c r="P16" s="66" t="s">
        <v>672</v>
      </c>
      <c r="Q16" s="66" t="s">
        <v>975</v>
      </c>
      <c r="R16" s="28" t="s">
        <v>729</v>
      </c>
    </row>
    <row r="17" spans="1:18" s="15" customFormat="1" ht="24.95" customHeight="1" x14ac:dyDescent="0.25">
      <c r="A17" s="310">
        <v>6</v>
      </c>
      <c r="B17" s="10" t="s">
        <v>963</v>
      </c>
      <c r="C17" s="33">
        <v>336.71</v>
      </c>
      <c r="D17" s="56">
        <v>62.17</v>
      </c>
      <c r="E17" s="56">
        <v>62.17</v>
      </c>
      <c r="F17" s="56">
        <v>6.16</v>
      </c>
      <c r="G17" s="33">
        <v>194.63</v>
      </c>
      <c r="H17" s="11">
        <f t="shared" si="0"/>
        <v>1.0990831590799421</v>
      </c>
      <c r="I17" s="33">
        <v>1198.92</v>
      </c>
      <c r="J17" s="56">
        <v>1.73</v>
      </c>
      <c r="K17" s="12">
        <f t="shared" si="1"/>
        <v>2.7826926170178543E-2</v>
      </c>
      <c r="L17" s="311">
        <f t="shared" si="2"/>
        <v>4.4299999999999962</v>
      </c>
      <c r="M17" s="13">
        <f t="shared" si="3"/>
        <v>7.1256232909763489E-2</v>
      </c>
      <c r="N17" s="312">
        <f t="shared" si="4"/>
        <v>862.21089999999924</v>
      </c>
      <c r="O17" s="66" t="s">
        <v>584</v>
      </c>
      <c r="P17" s="66" t="s">
        <v>672</v>
      </c>
      <c r="Q17" s="66" t="s">
        <v>891</v>
      </c>
      <c r="R17" s="28" t="s">
        <v>964</v>
      </c>
    </row>
    <row r="18" spans="1:18" s="57" customFormat="1" ht="24.95" customHeight="1" x14ac:dyDescent="0.25">
      <c r="A18" s="313">
        <v>7</v>
      </c>
      <c r="B18" s="10" t="s">
        <v>369</v>
      </c>
      <c r="C18" s="33">
        <v>264.95</v>
      </c>
      <c r="D18" s="56">
        <v>50.94</v>
      </c>
      <c r="E18" s="56">
        <v>50.94</v>
      </c>
      <c r="F18" s="56">
        <v>5.03</v>
      </c>
      <c r="G18" s="33">
        <v>124.39</v>
      </c>
      <c r="H18" s="11">
        <f t="shared" si="0"/>
        <v>1.0987436199450333</v>
      </c>
      <c r="I18" s="33">
        <v>625.67999999999995</v>
      </c>
      <c r="J18" s="56">
        <v>2.13</v>
      </c>
      <c r="K18" s="12">
        <f t="shared" si="1"/>
        <v>4.1813898704358067E-2</v>
      </c>
      <c r="L18" s="311">
        <f t="shared" si="2"/>
        <v>2.9000000000000012</v>
      </c>
      <c r="M18" s="13">
        <f t="shared" si="3"/>
        <v>5.6929721240675329E-2</v>
      </c>
      <c r="N18" s="312">
        <f t="shared" si="4"/>
        <v>360.73100000000017</v>
      </c>
      <c r="O18" s="66" t="s">
        <v>18</v>
      </c>
      <c r="P18" s="66" t="s">
        <v>673</v>
      </c>
      <c r="Q18" s="66" t="s">
        <v>590</v>
      </c>
      <c r="R18" s="28" t="s">
        <v>78</v>
      </c>
    </row>
    <row r="19" spans="1:18" s="15" customFormat="1" ht="24.95" customHeight="1" x14ac:dyDescent="0.25">
      <c r="A19" s="310">
        <v>8</v>
      </c>
      <c r="B19" s="10" t="s">
        <v>50</v>
      </c>
      <c r="C19" s="33">
        <v>233.52</v>
      </c>
      <c r="D19" s="56">
        <v>283.5</v>
      </c>
      <c r="E19" s="56">
        <v>283.5</v>
      </c>
      <c r="F19" s="56">
        <v>11.22</v>
      </c>
      <c r="G19" s="33">
        <v>111.2</v>
      </c>
      <c r="H19" s="11">
        <f t="shared" si="0"/>
        <v>1.0395767195767196</v>
      </c>
      <c r="I19" s="33">
        <v>1247.6600000000001</v>
      </c>
      <c r="J19" s="56">
        <v>2.1</v>
      </c>
      <c r="K19" s="12">
        <f t="shared" si="1"/>
        <v>7.4074074074074077E-3</v>
      </c>
      <c r="L19" s="311">
        <f t="shared" si="2"/>
        <v>9.1200000000000276</v>
      </c>
      <c r="M19" s="13">
        <f t="shared" si="3"/>
        <v>3.2169312169312264E-2</v>
      </c>
      <c r="N19" s="312">
        <f t="shared" si="4"/>
        <v>1014.1440000000031</v>
      </c>
      <c r="O19" s="66" t="s">
        <v>584</v>
      </c>
      <c r="P19" s="66" t="s">
        <v>672</v>
      </c>
      <c r="Q19" s="66" t="s">
        <v>975</v>
      </c>
      <c r="R19" s="28" t="s">
        <v>49</v>
      </c>
    </row>
    <row r="20" spans="1:18" s="15" customFormat="1" ht="24.95" customHeight="1" x14ac:dyDescent="0.25">
      <c r="A20" s="313">
        <v>9</v>
      </c>
      <c r="B20" s="10" t="s">
        <v>965</v>
      </c>
      <c r="C20" s="33">
        <v>204.12</v>
      </c>
      <c r="D20" s="56">
        <v>5925</v>
      </c>
      <c r="E20" s="56">
        <v>5925</v>
      </c>
      <c r="F20" s="56">
        <v>47.47</v>
      </c>
      <c r="G20" s="33">
        <v>4.3</v>
      </c>
      <c r="H20" s="11">
        <f t="shared" si="0"/>
        <v>1.0080118143459915</v>
      </c>
      <c r="I20" s="33">
        <v>204.12</v>
      </c>
      <c r="J20" s="56">
        <v>47.47</v>
      </c>
      <c r="K20" s="12">
        <f t="shared" si="1"/>
        <v>8.0118143459915608E-3</v>
      </c>
      <c r="L20" s="311">
        <f t="shared" si="2"/>
        <v>2.5579538487363607E-13</v>
      </c>
      <c r="M20" s="13">
        <f t="shared" si="3"/>
        <v>4.3172216856309884E-17</v>
      </c>
      <c r="N20" s="312">
        <f t="shared" si="4"/>
        <v>1.099920154956635E-12</v>
      </c>
      <c r="O20" s="66" t="s">
        <v>584</v>
      </c>
      <c r="P20" s="66" t="s">
        <v>675</v>
      </c>
      <c r="Q20" s="66" t="s">
        <v>973</v>
      </c>
      <c r="R20" s="28" t="s">
        <v>25</v>
      </c>
    </row>
    <row r="21" spans="1:18" s="15" customFormat="1" ht="24.95" customHeight="1" thickBot="1" x14ac:dyDescent="0.3">
      <c r="A21" s="314">
        <v>10</v>
      </c>
      <c r="B21" s="16" t="s">
        <v>34</v>
      </c>
      <c r="C21" s="34">
        <v>172.09</v>
      </c>
      <c r="D21" s="58">
        <v>22.68</v>
      </c>
      <c r="E21" s="58">
        <v>22.68</v>
      </c>
      <c r="F21" s="58">
        <v>2.14</v>
      </c>
      <c r="G21" s="34">
        <v>232.55</v>
      </c>
      <c r="H21" s="17">
        <f t="shared" si="0"/>
        <v>1.0943562610229278</v>
      </c>
      <c r="I21" s="34">
        <v>497.66</v>
      </c>
      <c r="J21" s="58">
        <v>0.74</v>
      </c>
      <c r="K21" s="18">
        <f t="shared" si="1"/>
        <v>3.2627865961199293E-2</v>
      </c>
      <c r="L21" s="315">
        <f t="shared" si="2"/>
        <v>1.4000000000000006</v>
      </c>
      <c r="M21" s="19">
        <f t="shared" si="3"/>
        <v>6.1728395061728419E-2</v>
      </c>
      <c r="N21" s="316">
        <f t="shared" si="4"/>
        <v>325.57000000000016</v>
      </c>
      <c r="O21" s="64" t="s">
        <v>584</v>
      </c>
      <c r="P21" s="64" t="s">
        <v>672</v>
      </c>
      <c r="Q21" s="64" t="s">
        <v>585</v>
      </c>
      <c r="R21" s="29" t="s">
        <v>25</v>
      </c>
    </row>
    <row r="22" spans="1:18" s="62" customFormat="1" ht="24.95" customHeight="1" thickBot="1" x14ac:dyDescent="0.3">
      <c r="A22" s="317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318"/>
      <c r="M22" s="30"/>
      <c r="N22" s="319"/>
      <c r="O22" s="61"/>
      <c r="P22" s="61"/>
      <c r="Q22" s="61"/>
      <c r="R22" s="59"/>
    </row>
    <row r="23" spans="1:18" s="62" customFormat="1" ht="40.5" customHeight="1" x14ac:dyDescent="0.25">
      <c r="A23" s="443" t="s">
        <v>966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151</v>
      </c>
      <c r="B24" s="447"/>
      <c r="C24" s="447"/>
      <c r="D24" s="447" t="s">
        <v>945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946</v>
      </c>
      <c r="P24" s="457" t="s">
        <v>967</v>
      </c>
      <c r="Q24" s="456" t="s">
        <v>947</v>
      </c>
      <c r="R24" s="621" t="s">
        <v>948</v>
      </c>
    </row>
    <row r="25" spans="1:18" s="62" customFormat="1" ht="24.95" customHeight="1" x14ac:dyDescent="0.25">
      <c r="A25" s="622" t="s">
        <v>968</v>
      </c>
      <c r="B25" s="461" t="s">
        <v>949</v>
      </c>
      <c r="C25" s="462"/>
      <c r="D25" s="463" t="s">
        <v>187</v>
      </c>
      <c r="E25" s="463"/>
      <c r="F25" s="463"/>
      <c r="G25" s="463"/>
      <c r="H25" s="463"/>
      <c r="I25" s="463"/>
      <c r="J25" s="464" t="s">
        <v>951</v>
      </c>
      <c r="K25" s="464"/>
      <c r="L25" s="464"/>
      <c r="M25" s="465"/>
      <c r="N25" s="465"/>
      <c r="O25" s="456"/>
      <c r="P25" s="456"/>
      <c r="Q25" s="456"/>
      <c r="R25" s="621"/>
    </row>
    <row r="26" spans="1:18" s="62" customFormat="1" ht="24.95" customHeight="1" x14ac:dyDescent="0.3">
      <c r="A26" s="623"/>
      <c r="B26" s="628" t="s">
        <v>952</v>
      </c>
      <c r="C26" s="630" t="s">
        <v>969</v>
      </c>
      <c r="D26" s="632" t="s">
        <v>970</v>
      </c>
      <c r="E26" s="632"/>
      <c r="F26" s="632"/>
      <c r="G26" s="632"/>
      <c r="H26" s="632"/>
      <c r="I26" s="632"/>
      <c r="J26" s="633" t="s">
        <v>971</v>
      </c>
      <c r="K26" s="636"/>
      <c r="L26" s="634"/>
      <c r="M26" s="633" t="s">
        <v>954</v>
      </c>
      <c r="N26" s="634"/>
      <c r="O26" s="456"/>
      <c r="P26" s="456"/>
      <c r="Q26" s="456"/>
      <c r="R26" s="621"/>
    </row>
    <row r="27" spans="1:18" s="62" customFormat="1" ht="50.1" customHeight="1" x14ac:dyDescent="0.25">
      <c r="A27" s="624"/>
      <c r="B27" s="629"/>
      <c r="C27" s="631"/>
      <c r="D27" s="307" t="s">
        <v>140</v>
      </c>
      <c r="E27" s="307" t="s">
        <v>956</v>
      </c>
      <c r="F27" s="307" t="s">
        <v>957</v>
      </c>
      <c r="G27" s="307" t="s">
        <v>958</v>
      </c>
      <c r="H27" s="307" t="s">
        <v>144</v>
      </c>
      <c r="I27" s="307" t="s">
        <v>959</v>
      </c>
      <c r="J27" s="308" t="s">
        <v>146</v>
      </c>
      <c r="K27" s="308" t="s">
        <v>212</v>
      </c>
      <c r="L27" s="309" t="s">
        <v>962</v>
      </c>
      <c r="M27" s="308" t="s">
        <v>960</v>
      </c>
      <c r="N27" s="308" t="s">
        <v>961</v>
      </c>
      <c r="O27" s="456"/>
      <c r="P27" s="456"/>
      <c r="Q27" s="456"/>
      <c r="R27" s="621"/>
    </row>
    <row r="28" spans="1:18" s="62" customFormat="1" ht="24.95" customHeight="1" x14ac:dyDescent="0.25">
      <c r="A28" s="310">
        <v>1</v>
      </c>
      <c r="B28" s="10" t="s">
        <v>728</v>
      </c>
      <c r="C28" s="33">
        <v>1482.43</v>
      </c>
      <c r="D28" s="56">
        <v>198.3</v>
      </c>
      <c r="E28" s="56">
        <v>198.3</v>
      </c>
      <c r="F28" s="56">
        <v>12.4</v>
      </c>
      <c r="G28" s="33">
        <v>147.80000000000001</v>
      </c>
      <c r="H28" s="35">
        <f t="shared" ref="H28:H37" si="5">(E28+F28)/D28</f>
        <v>1.0625315179021684</v>
      </c>
      <c r="I28" s="33">
        <v>1832.72</v>
      </c>
      <c r="J28" s="56">
        <v>2.37</v>
      </c>
      <c r="K28" s="12">
        <f t="shared" ref="K28:K37" si="6">J28/D28</f>
        <v>1.1951588502269289E-2</v>
      </c>
      <c r="L28" s="312">
        <f t="shared" ref="L28:L37" si="7">J28*G28</f>
        <v>350.28600000000006</v>
      </c>
      <c r="M28" s="311">
        <f t="shared" ref="M28:M37" si="8">((E28+F28)-D28)-J28</f>
        <v>10.030000000000005</v>
      </c>
      <c r="N28" s="13">
        <f t="shared" ref="N28:N37" si="9">M28/D28</f>
        <v>5.0579929399899165E-2</v>
      </c>
      <c r="O28" s="69" t="s">
        <v>22</v>
      </c>
      <c r="P28" s="14" t="s">
        <v>672</v>
      </c>
      <c r="Q28" s="14" t="s">
        <v>84</v>
      </c>
      <c r="R28" s="28" t="s">
        <v>729</v>
      </c>
    </row>
    <row r="29" spans="1:18" s="62" customFormat="1" ht="24.75" customHeight="1" x14ac:dyDescent="0.25">
      <c r="A29" s="313">
        <v>2</v>
      </c>
      <c r="B29" s="10" t="s">
        <v>123</v>
      </c>
      <c r="C29" s="33">
        <v>1191.4000000000001</v>
      </c>
      <c r="D29" s="56">
        <v>10.58</v>
      </c>
      <c r="E29" s="56">
        <v>10.58</v>
      </c>
      <c r="F29" s="56">
        <v>1.05</v>
      </c>
      <c r="G29" s="33">
        <v>1567.63</v>
      </c>
      <c r="H29" s="35">
        <f t="shared" si="5"/>
        <v>1.0992438563327034</v>
      </c>
      <c r="I29" s="33">
        <v>1646.01</v>
      </c>
      <c r="J29" s="56">
        <v>0.28999999999999998</v>
      </c>
      <c r="K29" s="12">
        <f t="shared" si="6"/>
        <v>2.7410207939508505E-2</v>
      </c>
      <c r="L29" s="312">
        <f t="shared" si="7"/>
        <v>454.61270000000002</v>
      </c>
      <c r="M29" s="311">
        <f t="shared" si="8"/>
        <v>0.76000000000000068</v>
      </c>
      <c r="N29" s="13">
        <f t="shared" si="9"/>
        <v>7.1833648393194768E-2</v>
      </c>
      <c r="O29" s="69" t="s">
        <v>584</v>
      </c>
      <c r="P29" s="14" t="s">
        <v>672</v>
      </c>
      <c r="Q29" s="14" t="s">
        <v>585</v>
      </c>
      <c r="R29" s="28" t="s">
        <v>122</v>
      </c>
    </row>
    <row r="30" spans="1:18" s="62" customFormat="1" ht="24.95" customHeight="1" x14ac:dyDescent="0.25">
      <c r="A30" s="313">
        <v>3</v>
      </c>
      <c r="B30" s="10" t="s">
        <v>50</v>
      </c>
      <c r="C30" s="33">
        <v>1014.1400000000001</v>
      </c>
      <c r="D30" s="56">
        <v>283.5</v>
      </c>
      <c r="E30" s="56">
        <v>283.5</v>
      </c>
      <c r="F30" s="56">
        <v>11.22</v>
      </c>
      <c r="G30" s="33">
        <v>111.2</v>
      </c>
      <c r="H30" s="35">
        <f t="shared" si="5"/>
        <v>1.0395767195767196</v>
      </c>
      <c r="I30" s="33">
        <v>1247.6600000000001</v>
      </c>
      <c r="J30" s="32">
        <v>2.1</v>
      </c>
      <c r="K30" s="12">
        <f t="shared" si="6"/>
        <v>7.4074074074074077E-3</v>
      </c>
      <c r="L30" s="312">
        <f t="shared" si="7"/>
        <v>233.52</v>
      </c>
      <c r="M30" s="311">
        <f t="shared" si="8"/>
        <v>9.1200000000000276</v>
      </c>
      <c r="N30" s="13">
        <f t="shared" si="9"/>
        <v>3.2169312169312264E-2</v>
      </c>
      <c r="O30" s="69" t="s">
        <v>22</v>
      </c>
      <c r="P30" s="14" t="s">
        <v>672</v>
      </c>
      <c r="Q30" s="14" t="s">
        <v>84</v>
      </c>
      <c r="R30" s="28" t="s">
        <v>49</v>
      </c>
    </row>
    <row r="31" spans="1:18" s="62" customFormat="1" ht="24.95" customHeight="1" x14ac:dyDescent="0.25">
      <c r="A31" s="310">
        <v>4</v>
      </c>
      <c r="B31" s="10" t="s">
        <v>41</v>
      </c>
      <c r="C31" s="33">
        <v>901.99</v>
      </c>
      <c r="D31" s="56">
        <v>115.44</v>
      </c>
      <c r="E31" s="56">
        <v>115.44</v>
      </c>
      <c r="F31" s="56">
        <v>11.48</v>
      </c>
      <c r="G31" s="33">
        <v>127.4</v>
      </c>
      <c r="H31" s="35">
        <f t="shared" si="5"/>
        <v>1.0994455994455994</v>
      </c>
      <c r="I31" s="33">
        <v>1462.55</v>
      </c>
      <c r="J31" s="56">
        <v>4.4000000000000004</v>
      </c>
      <c r="K31" s="12">
        <f t="shared" si="6"/>
        <v>3.8115038115038122E-2</v>
      </c>
      <c r="L31" s="312">
        <f t="shared" si="7"/>
        <v>560.56000000000006</v>
      </c>
      <c r="M31" s="311">
        <f t="shared" si="8"/>
        <v>7.0800000000000036</v>
      </c>
      <c r="N31" s="13">
        <f t="shared" si="9"/>
        <v>6.1330561330561362E-2</v>
      </c>
      <c r="O31" s="69" t="s">
        <v>22</v>
      </c>
      <c r="P31" s="14" t="s">
        <v>672</v>
      </c>
      <c r="Q31" s="14" t="s">
        <v>84</v>
      </c>
      <c r="R31" s="28" t="s">
        <v>25</v>
      </c>
    </row>
    <row r="32" spans="1:18" s="62" customFormat="1" ht="24.95" customHeight="1" x14ac:dyDescent="0.25">
      <c r="A32" s="313">
        <v>5</v>
      </c>
      <c r="B32" s="10" t="s">
        <v>963</v>
      </c>
      <c r="C32" s="33">
        <v>862.21</v>
      </c>
      <c r="D32" s="56">
        <v>62.17</v>
      </c>
      <c r="E32" s="56">
        <v>62.17</v>
      </c>
      <c r="F32" s="56">
        <v>6.16</v>
      </c>
      <c r="G32" s="33">
        <v>194.63</v>
      </c>
      <c r="H32" s="35">
        <f t="shared" si="5"/>
        <v>1.0990831590799421</v>
      </c>
      <c r="I32" s="33">
        <v>1198.92</v>
      </c>
      <c r="J32" s="56">
        <v>1.73</v>
      </c>
      <c r="K32" s="12">
        <f t="shared" si="6"/>
        <v>2.7826926170178543E-2</v>
      </c>
      <c r="L32" s="312">
        <f t="shared" si="7"/>
        <v>336.7099</v>
      </c>
      <c r="M32" s="311">
        <f t="shared" si="8"/>
        <v>4.4299999999999962</v>
      </c>
      <c r="N32" s="13">
        <f t="shared" si="9"/>
        <v>7.1256232909763489E-2</v>
      </c>
      <c r="O32" s="69" t="s">
        <v>22</v>
      </c>
      <c r="P32" s="14" t="s">
        <v>672</v>
      </c>
      <c r="Q32" s="14" t="s">
        <v>84</v>
      </c>
      <c r="R32" s="28" t="s">
        <v>964</v>
      </c>
    </row>
    <row r="33" spans="1:18" s="62" customFormat="1" ht="24.95" customHeight="1" x14ac:dyDescent="0.25">
      <c r="A33" s="310">
        <v>6</v>
      </c>
      <c r="B33" s="10" t="s">
        <v>40</v>
      </c>
      <c r="C33" s="33">
        <v>790.14</v>
      </c>
      <c r="D33" s="56">
        <v>158.82</v>
      </c>
      <c r="E33" s="56">
        <v>158.82</v>
      </c>
      <c r="F33" s="56">
        <v>12.26</v>
      </c>
      <c r="G33" s="33">
        <v>78</v>
      </c>
      <c r="H33" s="35">
        <f t="shared" si="5"/>
        <v>1.0771943080216597</v>
      </c>
      <c r="I33" s="33">
        <v>956.28</v>
      </c>
      <c r="J33" s="56">
        <v>2.13</v>
      </c>
      <c r="K33" s="12">
        <f t="shared" si="6"/>
        <v>1.3411409142425387E-2</v>
      </c>
      <c r="L33" s="312">
        <f t="shared" si="7"/>
        <v>166.14</v>
      </c>
      <c r="M33" s="311">
        <f t="shared" si="8"/>
        <v>10.129999999999992</v>
      </c>
      <c r="N33" s="13">
        <f t="shared" si="9"/>
        <v>6.3782898879234301E-2</v>
      </c>
      <c r="O33" s="69" t="s">
        <v>22</v>
      </c>
      <c r="P33" s="14" t="s">
        <v>672</v>
      </c>
      <c r="Q33" s="14" t="s">
        <v>891</v>
      </c>
      <c r="R33" s="28" t="s">
        <v>25</v>
      </c>
    </row>
    <row r="34" spans="1:18" s="62" customFormat="1" ht="24.95" customHeight="1" x14ac:dyDescent="0.25">
      <c r="A34" s="313">
        <v>7</v>
      </c>
      <c r="B34" s="10" t="s">
        <v>706</v>
      </c>
      <c r="C34" s="33">
        <v>763.68000000000006</v>
      </c>
      <c r="D34" s="56">
        <v>178.26</v>
      </c>
      <c r="E34" s="56">
        <v>178.26</v>
      </c>
      <c r="F34" s="56">
        <v>9.75</v>
      </c>
      <c r="G34" s="33">
        <v>95.34</v>
      </c>
      <c r="H34" s="35">
        <f t="shared" si="5"/>
        <v>1.054695388757994</v>
      </c>
      <c r="I34" s="33">
        <v>929.57</v>
      </c>
      <c r="J34" s="56">
        <v>1.74</v>
      </c>
      <c r="K34" s="12">
        <f t="shared" si="6"/>
        <v>9.7610232245035344E-3</v>
      </c>
      <c r="L34" s="312">
        <f t="shared" si="7"/>
        <v>165.89160000000001</v>
      </c>
      <c r="M34" s="311">
        <f t="shared" si="8"/>
        <v>8.01</v>
      </c>
      <c r="N34" s="13">
        <f t="shared" si="9"/>
        <v>4.4934365533490409E-2</v>
      </c>
      <c r="O34" s="69" t="s">
        <v>22</v>
      </c>
      <c r="P34" s="14" t="s">
        <v>672</v>
      </c>
      <c r="Q34" s="14" t="s">
        <v>84</v>
      </c>
      <c r="R34" s="28" t="s">
        <v>25</v>
      </c>
    </row>
    <row r="35" spans="1:18" s="62" customFormat="1" ht="24.95" customHeight="1" x14ac:dyDescent="0.25">
      <c r="A35" s="310">
        <v>8</v>
      </c>
      <c r="B35" s="10" t="s">
        <v>35</v>
      </c>
      <c r="C35" s="33">
        <v>758.8</v>
      </c>
      <c r="D35" s="56">
        <v>77.319999999999993</v>
      </c>
      <c r="E35" s="56">
        <v>77.319999999999993</v>
      </c>
      <c r="F35" s="56">
        <v>2.25</v>
      </c>
      <c r="G35" s="33">
        <v>410.16</v>
      </c>
      <c r="H35" s="35">
        <f t="shared" si="5"/>
        <v>1.0290998448008277</v>
      </c>
      <c r="I35" s="33">
        <v>922.86</v>
      </c>
      <c r="J35" s="56">
        <v>0.4</v>
      </c>
      <c r="K35" s="12">
        <f t="shared" si="6"/>
        <v>5.1733057423693747E-3</v>
      </c>
      <c r="L35" s="312">
        <f t="shared" si="7"/>
        <v>164.06400000000002</v>
      </c>
      <c r="M35" s="311">
        <f t="shared" si="8"/>
        <v>1.85</v>
      </c>
      <c r="N35" s="13">
        <f t="shared" si="9"/>
        <v>2.392653905845836E-2</v>
      </c>
      <c r="O35" s="69" t="s">
        <v>22</v>
      </c>
      <c r="P35" s="14" t="s">
        <v>672</v>
      </c>
      <c r="Q35" s="14" t="s">
        <v>67</v>
      </c>
      <c r="R35" s="28" t="s">
        <v>25</v>
      </c>
    </row>
    <row r="36" spans="1:18" s="62" customFormat="1" ht="24.95" customHeight="1" x14ac:dyDescent="0.25">
      <c r="A36" s="313">
        <v>9</v>
      </c>
      <c r="B36" s="10" t="s">
        <v>90</v>
      </c>
      <c r="C36" s="33">
        <v>744.52</v>
      </c>
      <c r="D36" s="56">
        <v>116.8</v>
      </c>
      <c r="E36" s="56">
        <v>116.8</v>
      </c>
      <c r="F36" s="56">
        <v>5.47</v>
      </c>
      <c r="G36" s="33">
        <v>166.56</v>
      </c>
      <c r="H36" s="35">
        <f t="shared" si="5"/>
        <v>1.0468321917808219</v>
      </c>
      <c r="I36" s="33">
        <v>911.08</v>
      </c>
      <c r="J36" s="56">
        <v>1</v>
      </c>
      <c r="K36" s="12">
        <f t="shared" si="6"/>
        <v>8.5616438356164379E-3</v>
      </c>
      <c r="L36" s="312">
        <f t="shared" si="7"/>
        <v>166.56</v>
      </c>
      <c r="M36" s="311">
        <f t="shared" si="8"/>
        <v>4.4699999999999989</v>
      </c>
      <c r="N36" s="13">
        <f t="shared" si="9"/>
        <v>3.8270547945205471E-2</v>
      </c>
      <c r="O36" s="69" t="s">
        <v>22</v>
      </c>
      <c r="P36" s="14" t="s">
        <v>672</v>
      </c>
      <c r="Q36" s="14" t="s">
        <v>84</v>
      </c>
      <c r="R36" s="28" t="s">
        <v>89</v>
      </c>
    </row>
    <row r="37" spans="1:18" s="62" customFormat="1" ht="24.95" customHeight="1" thickBot="1" x14ac:dyDescent="0.3">
      <c r="A37" s="314">
        <v>10</v>
      </c>
      <c r="B37" s="16" t="s">
        <v>52</v>
      </c>
      <c r="C37" s="34">
        <v>743.04</v>
      </c>
      <c r="D37" s="58">
        <v>320.11</v>
      </c>
      <c r="E37" s="58">
        <v>320.11</v>
      </c>
      <c r="F37" s="58">
        <v>6.79</v>
      </c>
      <c r="G37" s="34">
        <v>133.88</v>
      </c>
      <c r="H37" s="36">
        <f t="shared" si="5"/>
        <v>1.0212114585611196</v>
      </c>
      <c r="I37" s="34">
        <v>909.05</v>
      </c>
      <c r="J37" s="58">
        <v>1.24</v>
      </c>
      <c r="K37" s="18">
        <f t="shared" si="6"/>
        <v>3.873668426478398E-3</v>
      </c>
      <c r="L37" s="316">
        <f t="shared" si="7"/>
        <v>166.0112</v>
      </c>
      <c r="M37" s="315">
        <f t="shared" si="8"/>
        <v>5.5500000000000203</v>
      </c>
      <c r="N37" s="19">
        <f t="shared" si="9"/>
        <v>1.733779013464128E-2</v>
      </c>
      <c r="O37" s="52" t="s">
        <v>22</v>
      </c>
      <c r="P37" s="20" t="s">
        <v>672</v>
      </c>
      <c r="Q37" s="20" t="s">
        <v>892</v>
      </c>
      <c r="R37" s="65" t="s">
        <v>77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151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637" t="s">
        <v>968</v>
      </c>
      <c r="B41" s="450" t="s">
        <v>949</v>
      </c>
      <c r="C41" s="450"/>
      <c r="D41" s="451"/>
      <c r="E41" s="23"/>
      <c r="G41" s="21"/>
      <c r="H41" s="22"/>
    </row>
    <row r="42" spans="1:18" ht="20.45" customHeight="1" x14ac:dyDescent="0.35">
      <c r="A42" s="637"/>
      <c r="B42" s="638" t="s">
        <v>172</v>
      </c>
      <c r="C42" s="639" t="s">
        <v>173</v>
      </c>
      <c r="D42" s="621" t="s">
        <v>972</v>
      </c>
      <c r="E42" s="23"/>
      <c r="G42" s="21"/>
      <c r="H42" s="22"/>
    </row>
    <row r="43" spans="1:18" ht="20.45" customHeight="1" x14ac:dyDescent="0.35">
      <c r="A43" s="637"/>
      <c r="B43" s="638"/>
      <c r="C43" s="639"/>
      <c r="D43" s="621"/>
      <c r="E43" s="23"/>
      <c r="G43" s="21"/>
      <c r="H43" s="22"/>
    </row>
    <row r="44" spans="1:18" s="26" customFormat="1" ht="24.95" customHeight="1" x14ac:dyDescent="0.35">
      <c r="A44" s="320">
        <v>1</v>
      </c>
      <c r="B44" s="10" t="s">
        <v>786</v>
      </c>
      <c r="C44" s="33">
        <v>609.58000000000004</v>
      </c>
      <c r="D44" s="24">
        <f t="shared" ref="D44:D53" si="10">C44/$L$5</f>
        <v>9.7219054666779381E-2</v>
      </c>
      <c r="E44" s="25"/>
      <c r="G44" s="21"/>
      <c r="H44" s="22"/>
    </row>
    <row r="45" spans="1:18" s="26" customFormat="1" ht="24.95" customHeight="1" x14ac:dyDescent="0.35">
      <c r="A45" s="321">
        <v>2</v>
      </c>
      <c r="B45" s="10" t="s">
        <v>41</v>
      </c>
      <c r="C45" s="33">
        <v>560.55999999999995</v>
      </c>
      <c r="D45" s="24">
        <f t="shared" si="10"/>
        <v>8.9401084819071885E-2</v>
      </c>
      <c r="E45" s="25"/>
      <c r="G45" s="21"/>
      <c r="H45" s="22"/>
    </row>
    <row r="46" spans="1:18" s="26" customFormat="1" ht="24.95" customHeight="1" x14ac:dyDescent="0.35">
      <c r="A46" s="321">
        <v>3</v>
      </c>
      <c r="B46" s="10" t="s">
        <v>787</v>
      </c>
      <c r="C46" s="33">
        <v>411.12</v>
      </c>
      <c r="D46" s="24">
        <f t="shared" si="10"/>
        <v>6.5567600240503843E-2</v>
      </c>
      <c r="E46" s="25"/>
      <c r="G46" s="21"/>
      <c r="H46" s="22"/>
    </row>
    <row r="47" spans="1:18" s="26" customFormat="1" ht="24.95" customHeight="1" x14ac:dyDescent="0.35">
      <c r="A47" s="320">
        <v>4</v>
      </c>
      <c r="B47" s="10" t="s">
        <v>965</v>
      </c>
      <c r="C47" s="33">
        <v>204.12</v>
      </c>
      <c r="D47" s="24">
        <f t="shared" si="10"/>
        <v>3.2554141275276428E-2</v>
      </c>
      <c r="E47" s="25"/>
      <c r="G47" s="21"/>
      <c r="H47" s="22"/>
    </row>
    <row r="48" spans="1:18" s="26" customFormat="1" ht="24.95" customHeight="1" x14ac:dyDescent="0.35">
      <c r="A48" s="321">
        <v>5</v>
      </c>
      <c r="B48" s="10" t="s">
        <v>34</v>
      </c>
      <c r="C48" s="33">
        <v>172.09</v>
      </c>
      <c r="D48" s="24">
        <f t="shared" si="10"/>
        <v>2.7445826827661769E-2</v>
      </c>
      <c r="E48" s="25"/>
      <c r="G48" s="21"/>
      <c r="H48" s="22"/>
    </row>
    <row r="49" spans="1:5" s="26" customFormat="1" ht="24.95" customHeight="1" x14ac:dyDescent="0.25">
      <c r="A49" s="320">
        <v>6</v>
      </c>
      <c r="B49" s="10" t="s">
        <v>33</v>
      </c>
      <c r="C49" s="33">
        <v>166.87</v>
      </c>
      <c r="D49" s="24">
        <f t="shared" si="10"/>
        <v>2.6613313514625602E-2</v>
      </c>
      <c r="E49" s="25"/>
    </row>
    <row r="50" spans="1:5" s="26" customFormat="1" ht="24.95" customHeight="1" x14ac:dyDescent="0.25">
      <c r="A50" s="321">
        <v>7</v>
      </c>
      <c r="B50" s="10" t="s">
        <v>544</v>
      </c>
      <c r="C50" s="33">
        <v>166.35</v>
      </c>
      <c r="D50" s="24">
        <f t="shared" si="10"/>
        <v>2.6530381153940005E-2</v>
      </c>
      <c r="E50" s="25"/>
    </row>
    <row r="51" spans="1:5" s="26" customFormat="1" ht="24.95" customHeight="1" x14ac:dyDescent="0.25">
      <c r="A51" s="320">
        <v>8</v>
      </c>
      <c r="B51" s="10" t="s">
        <v>669</v>
      </c>
      <c r="C51" s="33">
        <v>166.22</v>
      </c>
      <c r="D51" s="24">
        <f t="shared" si="10"/>
        <v>2.6509648063768605E-2</v>
      </c>
      <c r="E51" s="25"/>
    </row>
    <row r="52" spans="1:5" s="26" customFormat="1" ht="24.95" customHeight="1" x14ac:dyDescent="0.25">
      <c r="A52" s="321">
        <v>9</v>
      </c>
      <c r="B52" s="10" t="s">
        <v>37</v>
      </c>
      <c r="C52" s="33">
        <v>166.14</v>
      </c>
      <c r="D52" s="24">
        <f t="shared" si="10"/>
        <v>2.6496889239047743E-2</v>
      </c>
      <c r="E52" s="25"/>
    </row>
    <row r="53" spans="1:5" s="26" customFormat="1" ht="24.95" customHeight="1" thickBot="1" x14ac:dyDescent="0.3">
      <c r="A53" s="322">
        <v>10</v>
      </c>
      <c r="B53" s="16" t="s">
        <v>40</v>
      </c>
      <c r="C53" s="34">
        <v>166.14</v>
      </c>
      <c r="D53" s="27">
        <f t="shared" si="10"/>
        <v>2.6496889239047743E-2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873" priority="33" operator="containsText" text="024">
      <formula>NOT(ISERROR(SEARCH("024",A12)))</formula>
    </cfRule>
    <cfRule type="containsText" dxfId="872" priority="34" operator="containsText" text="白醬">
      <formula>NOT(ISERROR(SEARCH("白醬",A12)))</formula>
    </cfRule>
    <cfRule type="containsText" dxfId="871" priority="35" operator="containsText" text="青蔥">
      <formula>NOT(ISERROR(SEARCH("青蔥",A12)))</formula>
    </cfRule>
    <cfRule type="containsText" dxfId="870" priority="36" operator="containsText" text=")川燙小青花菜">
      <formula>NOT(ISERROR(SEARCH(")川燙小青花菜",A12)))</formula>
    </cfRule>
    <cfRule type="containsText" dxfId="869" priority="37" operator="containsText" text="湯凍">
      <formula>NOT(ISERROR(SEARCH("湯凍",A12)))</formula>
    </cfRule>
    <cfRule type="containsText" dxfId="868" priority="38" operator="containsText" text="中華">
      <formula>NOT(ISERROR(SEARCH("中華",A12)))</formula>
    </cfRule>
  </conditionalFormatting>
  <conditionalFormatting sqref="A12:A22">
    <cfRule type="containsText" dxfId="867" priority="31" operator="containsText" text="綠豆芽">
      <formula>NOT(ISERROR(SEARCH("綠豆芽",A12)))</formula>
    </cfRule>
    <cfRule type="containsText" dxfId="866" priority="32" operator="containsText" text="煮白細麵生(方#12)">
      <formula>NOT(ISERROR(SEARCH("煮白細麵生(方#12)",A12)))</formula>
    </cfRule>
  </conditionalFormatting>
  <conditionalFormatting sqref="E5">
    <cfRule type="cellIs" dxfId="865" priority="16" operator="greaterThan">
      <formula>0.0025</formula>
    </cfRule>
    <cfRule type="cellIs" dxfId="864" priority="19" operator="greaterThan">
      <formula>0.0025</formula>
    </cfRule>
    <cfRule type="cellIs" dxfId="863" priority="29" operator="greaterThan">
      <formula>0.072</formula>
    </cfRule>
    <cfRule type="cellIs" dxfId="862" priority="30" operator="greaterThan">
      <formula>7.2</formula>
    </cfRule>
  </conditionalFormatting>
  <conditionalFormatting sqref="E5">
    <cfRule type="cellIs" dxfId="861" priority="28" operator="greaterThan">
      <formula>0.0025</formula>
    </cfRule>
  </conditionalFormatting>
  <conditionalFormatting sqref="A44:A53">
    <cfRule type="containsText" dxfId="860" priority="22" operator="containsText" text="024">
      <formula>NOT(ISERROR(SEARCH("024",A44)))</formula>
    </cfRule>
    <cfRule type="containsText" dxfId="859" priority="23" operator="containsText" text="白醬">
      <formula>NOT(ISERROR(SEARCH("白醬",A44)))</formula>
    </cfRule>
    <cfRule type="containsText" dxfId="858" priority="24" operator="containsText" text="青蔥">
      <formula>NOT(ISERROR(SEARCH("青蔥",A44)))</formula>
    </cfRule>
    <cfRule type="containsText" dxfId="857" priority="25" operator="containsText" text=")川燙小青花菜">
      <formula>NOT(ISERROR(SEARCH(")川燙小青花菜",A44)))</formula>
    </cfRule>
    <cfRule type="containsText" dxfId="856" priority="26" operator="containsText" text="湯凍">
      <formula>NOT(ISERROR(SEARCH("湯凍",A44)))</formula>
    </cfRule>
    <cfRule type="containsText" dxfId="855" priority="27" operator="containsText" text="中華">
      <formula>NOT(ISERROR(SEARCH("中華",A44)))</formula>
    </cfRule>
  </conditionalFormatting>
  <conditionalFormatting sqref="A44:A53">
    <cfRule type="containsText" dxfId="854" priority="20" operator="containsText" text="綠豆芽">
      <formula>NOT(ISERROR(SEARCH("綠豆芽",A44)))</formula>
    </cfRule>
    <cfRule type="containsText" dxfId="853" priority="21" operator="containsText" text="煮白細麵生(方#12)">
      <formula>NOT(ISERROR(SEARCH("煮白細麵生(方#12)",A44)))</formula>
    </cfRule>
  </conditionalFormatting>
  <conditionalFormatting sqref="D44:D53">
    <cfRule type="cellIs" dxfId="852" priority="18" operator="greaterThan">
      <formula>0.146</formula>
    </cfRule>
  </conditionalFormatting>
  <conditionalFormatting sqref="H12:H22">
    <cfRule type="cellIs" dxfId="851" priority="17" operator="greaterThan">
      <formula>1.1</formula>
    </cfRule>
  </conditionalFormatting>
  <conditionalFormatting sqref="I5">
    <cfRule type="cellIs" dxfId="850" priority="15" operator="greaterThan">
      <formula>0.2</formula>
    </cfRule>
  </conditionalFormatting>
  <conditionalFormatting sqref="A28:A37">
    <cfRule type="containsText" dxfId="849" priority="9" operator="containsText" text="024">
      <formula>NOT(ISERROR(SEARCH("024",A28)))</formula>
    </cfRule>
    <cfRule type="containsText" dxfId="848" priority="10" operator="containsText" text="白醬">
      <formula>NOT(ISERROR(SEARCH("白醬",A28)))</formula>
    </cfRule>
    <cfRule type="containsText" dxfId="847" priority="11" operator="containsText" text="青蔥">
      <formula>NOT(ISERROR(SEARCH("青蔥",A28)))</formula>
    </cfRule>
    <cfRule type="containsText" dxfId="846" priority="12" operator="containsText" text=")川燙小青花菜">
      <formula>NOT(ISERROR(SEARCH(")川燙小青花菜",A28)))</formula>
    </cfRule>
    <cfRule type="containsText" dxfId="845" priority="13" operator="containsText" text="湯凍">
      <formula>NOT(ISERROR(SEARCH("湯凍",A28)))</formula>
    </cfRule>
    <cfRule type="containsText" dxfId="844" priority="14" operator="containsText" text="中華">
      <formula>NOT(ISERROR(SEARCH("中華",A28)))</formula>
    </cfRule>
  </conditionalFormatting>
  <conditionalFormatting sqref="A28:A37">
    <cfRule type="containsText" dxfId="843" priority="7" operator="containsText" text="綠豆芽">
      <formula>NOT(ISERROR(SEARCH("綠豆芽",A28)))</formula>
    </cfRule>
    <cfRule type="containsText" dxfId="842" priority="8" operator="containsText" text="煮白細麵生(方#12)">
      <formula>NOT(ISERROR(SEARCH("煮白細麵生(方#12)",A28)))</formula>
    </cfRule>
  </conditionalFormatting>
  <conditionalFormatting sqref="H28:H37">
    <cfRule type="cellIs" dxfId="841" priority="6" operator="greaterThan">
      <formula>1.1</formula>
    </cfRule>
  </conditionalFormatting>
  <conditionalFormatting sqref="G5">
    <cfRule type="cellIs" dxfId="840" priority="1" operator="greaterThan">
      <formula>0.0025</formula>
    </cfRule>
    <cfRule type="cellIs" dxfId="839" priority="2" operator="greaterThan">
      <formula>0.0025</formula>
    </cfRule>
    <cfRule type="cellIs" dxfId="838" priority="4" operator="greaterThan">
      <formula>0.072</formula>
    </cfRule>
    <cfRule type="cellIs" dxfId="837" priority="5" operator="greaterThan">
      <formula>7.2</formula>
    </cfRule>
  </conditionalFormatting>
  <conditionalFormatting sqref="G5">
    <cfRule type="cellIs" dxfId="83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H5" zoomScale="70" zoomScaleNormal="70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661" t="s">
        <v>92</v>
      </c>
      <c r="B2" s="662"/>
      <c r="C2" s="287" t="s">
        <v>93</v>
      </c>
      <c r="D2" s="663" t="s">
        <v>94</v>
      </c>
      <c r="E2" s="663"/>
      <c r="F2" s="663" t="s">
        <v>95</v>
      </c>
      <c r="G2" s="663"/>
      <c r="H2" s="663" t="s">
        <v>94</v>
      </c>
      <c r="I2" s="663"/>
      <c r="J2" s="663" t="s">
        <v>95</v>
      </c>
      <c r="K2" s="663"/>
      <c r="L2" s="663" t="s">
        <v>94</v>
      </c>
      <c r="M2" s="664"/>
      <c r="R2" s="54"/>
    </row>
    <row r="3" spans="1:18" s="1" customFormat="1" ht="28.5" x14ac:dyDescent="0.45">
      <c r="A3" s="658">
        <v>45891</v>
      </c>
      <c r="B3" s="659"/>
      <c r="C3" s="660">
        <v>4909450.9800000004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658"/>
      <c r="B4" s="659"/>
      <c r="C4" s="660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656" t="s">
        <v>105</v>
      </c>
      <c r="B5" s="657"/>
      <c r="C5" s="657"/>
      <c r="D5" s="288">
        <v>11842.700000000004</v>
      </c>
      <c r="E5" s="5">
        <f>D5/C3</f>
        <v>2.4122249205144326E-3</v>
      </c>
      <c r="F5" s="288">
        <v>42159.590000000004</v>
      </c>
      <c r="G5" s="44">
        <f>F5/C3</f>
        <v>8.5874347603731443E-3</v>
      </c>
      <c r="H5" s="6">
        <f>SUM(C12:C21)</f>
        <v>3010.8200000000006</v>
      </c>
      <c r="I5" s="7">
        <f>H5/D5</f>
        <v>0.25423425401302063</v>
      </c>
      <c r="J5" s="6">
        <f>SUM(C28:C37)</f>
        <v>9001.0599999999977</v>
      </c>
      <c r="K5" s="46">
        <f>J5/F5</f>
        <v>0.21349970433773185</v>
      </c>
      <c r="L5" s="8">
        <v>6480.1399999999994</v>
      </c>
      <c r="M5" s="9">
        <f>L5/D5</f>
        <v>0.54718434140863126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126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902</v>
      </c>
      <c r="B8" s="447"/>
      <c r="C8" s="447"/>
      <c r="D8" s="447" t="s">
        <v>903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904</v>
      </c>
      <c r="P8" s="457" t="s">
        <v>604</v>
      </c>
      <c r="Q8" s="456" t="s">
        <v>905</v>
      </c>
      <c r="R8" s="643" t="s">
        <v>906</v>
      </c>
    </row>
    <row r="9" spans="1:18" ht="20.45" customHeight="1" x14ac:dyDescent="0.25">
      <c r="A9" s="644" t="s">
        <v>907</v>
      </c>
      <c r="B9" s="461" t="s">
        <v>908</v>
      </c>
      <c r="C9" s="462"/>
      <c r="D9" s="463" t="s">
        <v>909</v>
      </c>
      <c r="E9" s="463"/>
      <c r="F9" s="463"/>
      <c r="G9" s="463"/>
      <c r="H9" s="463"/>
      <c r="I9" s="463"/>
      <c r="J9" s="464" t="s">
        <v>910</v>
      </c>
      <c r="K9" s="464"/>
      <c r="L9" s="464"/>
      <c r="M9" s="465"/>
      <c r="N9" s="465"/>
      <c r="O9" s="456"/>
      <c r="P9" s="456"/>
      <c r="Q9" s="456"/>
      <c r="R9" s="643"/>
    </row>
    <row r="10" spans="1:18" ht="20.45" customHeight="1" x14ac:dyDescent="0.3">
      <c r="A10" s="645"/>
      <c r="B10" s="647" t="s">
        <v>911</v>
      </c>
      <c r="C10" s="649" t="s">
        <v>912</v>
      </c>
      <c r="D10" s="651" t="s">
        <v>913</v>
      </c>
      <c r="E10" s="651"/>
      <c r="F10" s="651"/>
      <c r="G10" s="651"/>
      <c r="H10" s="651"/>
      <c r="I10" s="651"/>
      <c r="J10" s="652" t="s">
        <v>914</v>
      </c>
      <c r="K10" s="654"/>
      <c r="L10" s="655" t="s">
        <v>915</v>
      </c>
      <c r="M10" s="652"/>
      <c r="N10" s="652"/>
      <c r="O10" s="456"/>
      <c r="P10" s="456"/>
      <c r="Q10" s="456"/>
      <c r="R10" s="643"/>
    </row>
    <row r="11" spans="1:18" s="55" customFormat="1" ht="47.25" customHeight="1" x14ac:dyDescent="0.25">
      <c r="A11" s="646"/>
      <c r="B11" s="648"/>
      <c r="C11" s="650"/>
      <c r="D11" s="289" t="s">
        <v>916</v>
      </c>
      <c r="E11" s="289" t="s">
        <v>917</v>
      </c>
      <c r="F11" s="289" t="s">
        <v>142</v>
      </c>
      <c r="G11" s="289" t="s">
        <v>918</v>
      </c>
      <c r="H11" s="289" t="s">
        <v>919</v>
      </c>
      <c r="I11" s="289" t="s">
        <v>920</v>
      </c>
      <c r="J11" s="290" t="s">
        <v>921</v>
      </c>
      <c r="K11" s="290" t="s">
        <v>922</v>
      </c>
      <c r="L11" s="290" t="s">
        <v>165</v>
      </c>
      <c r="M11" s="290" t="s">
        <v>922</v>
      </c>
      <c r="N11" s="291" t="s">
        <v>149</v>
      </c>
      <c r="O11" s="456"/>
      <c r="P11" s="456"/>
      <c r="Q11" s="456"/>
      <c r="R11" s="643"/>
    </row>
    <row r="12" spans="1:18" s="15" customFormat="1" ht="24.95" customHeight="1" x14ac:dyDescent="0.25">
      <c r="A12" s="292">
        <v>1</v>
      </c>
      <c r="B12" s="10" t="s">
        <v>41</v>
      </c>
      <c r="C12" s="33">
        <v>538.9</v>
      </c>
      <c r="D12" s="56">
        <v>112.57</v>
      </c>
      <c r="E12" s="56">
        <v>112.57</v>
      </c>
      <c r="F12" s="56">
        <v>11.23</v>
      </c>
      <c r="G12" s="33">
        <v>127.4</v>
      </c>
      <c r="H12" s="11">
        <f t="shared" ref="H12:H21" si="0">(E12+F12)/D12</f>
        <v>1.0997601492404727</v>
      </c>
      <c r="I12" s="33">
        <v>1430.7</v>
      </c>
      <c r="J12" s="56">
        <v>4.2300000000000004</v>
      </c>
      <c r="K12" s="12">
        <f t="shared" ref="K12:K21" si="1">J12/D12</f>
        <v>3.7576618992626813E-2</v>
      </c>
      <c r="L12" s="293">
        <f t="shared" ref="L12:L21" si="2">((E12+F12)-D12)-J12</f>
        <v>7.0000000000000036</v>
      </c>
      <c r="M12" s="13">
        <f t="shared" ref="M12:M21" si="3">L12/D12</f>
        <v>6.2183530247845821E-2</v>
      </c>
      <c r="N12" s="294">
        <f t="shared" ref="N12:N21" si="4">L12*G12</f>
        <v>891.80000000000052</v>
      </c>
      <c r="O12" s="66" t="s">
        <v>584</v>
      </c>
      <c r="P12" s="66" t="s">
        <v>672</v>
      </c>
      <c r="Q12" s="66" t="s">
        <v>975</v>
      </c>
      <c r="R12" s="28" t="s">
        <v>25</v>
      </c>
    </row>
    <row r="13" spans="1:18" s="15" customFormat="1" ht="24.95" customHeight="1" x14ac:dyDescent="0.25">
      <c r="A13" s="295">
        <v>2</v>
      </c>
      <c r="B13" s="10" t="s">
        <v>786</v>
      </c>
      <c r="C13" s="33">
        <v>490.97</v>
      </c>
      <c r="D13" s="56">
        <v>11197</v>
      </c>
      <c r="E13" s="56">
        <v>11197</v>
      </c>
      <c r="F13" s="56">
        <v>84.65</v>
      </c>
      <c r="G13" s="33">
        <v>5.8</v>
      </c>
      <c r="H13" s="11">
        <f t="shared" si="0"/>
        <v>1.0075600607305528</v>
      </c>
      <c r="I13" s="33">
        <v>490.97</v>
      </c>
      <c r="J13" s="56">
        <v>84.65</v>
      </c>
      <c r="K13" s="12">
        <f t="shared" si="1"/>
        <v>7.560060730552827E-3</v>
      </c>
      <c r="L13" s="293">
        <f t="shared" si="2"/>
        <v>-3.694822225952521E-13</v>
      </c>
      <c r="M13" s="13">
        <f t="shared" si="3"/>
        <v>-3.2998322996807367E-17</v>
      </c>
      <c r="N13" s="294">
        <f t="shared" si="4"/>
        <v>-2.1429968910524619E-12</v>
      </c>
      <c r="O13" s="66" t="s">
        <v>584</v>
      </c>
      <c r="P13" s="66" t="s">
        <v>675</v>
      </c>
      <c r="Q13" s="66" t="s">
        <v>973</v>
      </c>
      <c r="R13" s="28" t="s">
        <v>25</v>
      </c>
    </row>
    <row r="14" spans="1:18" s="57" customFormat="1" ht="24.95" customHeight="1" x14ac:dyDescent="0.25">
      <c r="A14" s="295">
        <v>3</v>
      </c>
      <c r="B14" s="10" t="s">
        <v>706</v>
      </c>
      <c r="C14" s="33">
        <v>434.75</v>
      </c>
      <c r="D14" s="56">
        <v>181.79</v>
      </c>
      <c r="E14" s="56">
        <v>181.79</v>
      </c>
      <c r="F14" s="56">
        <v>18.13</v>
      </c>
      <c r="G14" s="33">
        <v>95.34</v>
      </c>
      <c r="H14" s="11">
        <f t="shared" si="0"/>
        <v>1.0997304582210243</v>
      </c>
      <c r="I14" s="33">
        <v>1728.51</v>
      </c>
      <c r="J14" s="56">
        <v>4.5599999999999996</v>
      </c>
      <c r="K14" s="12">
        <f t="shared" si="1"/>
        <v>2.5083888002640407E-2</v>
      </c>
      <c r="L14" s="293">
        <f t="shared" si="2"/>
        <v>13.569999999999997</v>
      </c>
      <c r="M14" s="13">
        <f t="shared" si="3"/>
        <v>7.4646570218383834E-2</v>
      </c>
      <c r="N14" s="294">
        <f t="shared" si="4"/>
        <v>1293.7637999999997</v>
      </c>
      <c r="O14" s="66" t="s">
        <v>584</v>
      </c>
      <c r="P14" s="66" t="s">
        <v>672</v>
      </c>
      <c r="Q14" s="66" t="s">
        <v>975</v>
      </c>
      <c r="R14" s="28" t="s">
        <v>25</v>
      </c>
    </row>
    <row r="15" spans="1:18" s="15" customFormat="1" ht="24.95" customHeight="1" x14ac:dyDescent="0.25">
      <c r="A15" s="292">
        <v>4</v>
      </c>
      <c r="B15" s="10" t="s">
        <v>36</v>
      </c>
      <c r="C15" s="33">
        <v>388.69</v>
      </c>
      <c r="D15" s="56">
        <v>201.92</v>
      </c>
      <c r="E15" s="56">
        <v>201.92</v>
      </c>
      <c r="F15" s="56">
        <v>13.39</v>
      </c>
      <c r="G15" s="33">
        <v>156.72999999999999</v>
      </c>
      <c r="H15" s="11">
        <f t="shared" si="0"/>
        <v>1.0663133914421554</v>
      </c>
      <c r="I15" s="33">
        <v>2098.61</v>
      </c>
      <c r="J15" s="56">
        <v>2.48</v>
      </c>
      <c r="K15" s="12">
        <f t="shared" si="1"/>
        <v>1.2282091917591127E-2</v>
      </c>
      <c r="L15" s="293">
        <f t="shared" si="2"/>
        <v>10.910000000000014</v>
      </c>
      <c r="M15" s="13">
        <f t="shared" si="3"/>
        <v>5.4031299524564258E-2</v>
      </c>
      <c r="N15" s="294">
        <f t="shared" si="4"/>
        <v>1709.9243000000022</v>
      </c>
      <c r="O15" s="66" t="s">
        <v>18</v>
      </c>
      <c r="P15" s="66" t="s">
        <v>673</v>
      </c>
      <c r="Q15" s="66" t="s">
        <v>583</v>
      </c>
      <c r="R15" s="28" t="s">
        <v>25</v>
      </c>
    </row>
    <row r="16" spans="1:18" s="57" customFormat="1" ht="24.95" customHeight="1" x14ac:dyDescent="0.25">
      <c r="A16" s="295">
        <v>5</v>
      </c>
      <c r="B16" s="10" t="s">
        <v>787</v>
      </c>
      <c r="C16" s="33">
        <v>278.39999999999998</v>
      </c>
      <c r="D16" s="56">
        <v>5117</v>
      </c>
      <c r="E16" s="56">
        <v>5117</v>
      </c>
      <c r="F16" s="56">
        <v>42.31</v>
      </c>
      <c r="G16" s="33">
        <v>6.58</v>
      </c>
      <c r="H16" s="11">
        <f t="shared" si="0"/>
        <v>1.0082685167090093</v>
      </c>
      <c r="I16" s="33">
        <v>278.39999999999998</v>
      </c>
      <c r="J16" s="56">
        <v>42.31</v>
      </c>
      <c r="K16" s="12">
        <f t="shared" si="1"/>
        <v>8.2685167090091848E-3</v>
      </c>
      <c r="L16" s="293">
        <f t="shared" si="2"/>
        <v>3.979039320256561E-13</v>
      </c>
      <c r="M16" s="13">
        <f t="shared" si="3"/>
        <v>7.7761174912186066E-17</v>
      </c>
      <c r="N16" s="294">
        <f t="shared" si="4"/>
        <v>2.6182078727288173E-12</v>
      </c>
      <c r="O16" s="66" t="s">
        <v>18</v>
      </c>
      <c r="P16" s="66" t="s">
        <v>673</v>
      </c>
      <c r="Q16" s="66" t="s">
        <v>974</v>
      </c>
      <c r="R16" s="28" t="s">
        <v>25</v>
      </c>
    </row>
    <row r="17" spans="1:18" s="15" customFormat="1" ht="24.95" customHeight="1" x14ac:dyDescent="0.25">
      <c r="A17" s="292">
        <v>6</v>
      </c>
      <c r="B17" s="10" t="s">
        <v>368</v>
      </c>
      <c r="C17" s="33">
        <v>227.05</v>
      </c>
      <c r="D17" s="56">
        <v>53.64</v>
      </c>
      <c r="E17" s="56">
        <v>53.64</v>
      </c>
      <c r="F17" s="56">
        <v>5.36</v>
      </c>
      <c r="G17" s="33">
        <v>90.1</v>
      </c>
      <c r="H17" s="11">
        <f t="shared" si="0"/>
        <v>1.0999254287844891</v>
      </c>
      <c r="I17" s="33">
        <v>482.94</v>
      </c>
      <c r="J17" s="56">
        <v>2.52</v>
      </c>
      <c r="K17" s="12">
        <f t="shared" si="1"/>
        <v>4.6979865771812082E-2</v>
      </c>
      <c r="L17" s="293">
        <f t="shared" si="2"/>
        <v>2.8399999999999994</v>
      </c>
      <c r="M17" s="13">
        <f t="shared" si="3"/>
        <v>5.2945563012677097E-2</v>
      </c>
      <c r="N17" s="294">
        <f t="shared" si="4"/>
        <v>255.88399999999993</v>
      </c>
      <c r="O17" s="66" t="s">
        <v>18</v>
      </c>
      <c r="P17" s="66" t="s">
        <v>673</v>
      </c>
      <c r="Q17" s="66" t="s">
        <v>590</v>
      </c>
      <c r="R17" s="28" t="s">
        <v>78</v>
      </c>
    </row>
    <row r="18" spans="1:18" s="57" customFormat="1" ht="24.95" customHeight="1" x14ac:dyDescent="0.25">
      <c r="A18" s="295">
        <v>7</v>
      </c>
      <c r="B18" s="10" t="s">
        <v>44</v>
      </c>
      <c r="C18" s="33">
        <v>163.53</v>
      </c>
      <c r="D18" s="56">
        <v>11.28</v>
      </c>
      <c r="E18" s="56">
        <v>11.28</v>
      </c>
      <c r="F18" s="56">
        <v>1.1200000000000001</v>
      </c>
      <c r="G18" s="33">
        <v>408.83</v>
      </c>
      <c r="H18" s="11">
        <f t="shared" si="0"/>
        <v>1.0992907801418439</v>
      </c>
      <c r="I18" s="33">
        <v>457.89</v>
      </c>
      <c r="J18" s="56">
        <v>0.4</v>
      </c>
      <c r="K18" s="12">
        <f t="shared" si="1"/>
        <v>3.5460992907801421E-2</v>
      </c>
      <c r="L18" s="293">
        <f t="shared" si="2"/>
        <v>0.7199999999999992</v>
      </c>
      <c r="M18" s="13">
        <f t="shared" si="3"/>
        <v>6.3829787234042479E-2</v>
      </c>
      <c r="N18" s="294">
        <f t="shared" si="4"/>
        <v>294.35759999999965</v>
      </c>
      <c r="O18" s="66" t="s">
        <v>584</v>
      </c>
      <c r="P18" s="66" t="s">
        <v>672</v>
      </c>
      <c r="Q18" s="66" t="s">
        <v>585</v>
      </c>
      <c r="R18" s="28" t="s">
        <v>24</v>
      </c>
    </row>
    <row r="19" spans="1:18" s="15" customFormat="1" ht="24.95" customHeight="1" x14ac:dyDescent="0.25">
      <c r="A19" s="292">
        <v>8</v>
      </c>
      <c r="B19" s="10" t="s">
        <v>118</v>
      </c>
      <c r="C19" s="33">
        <v>162.94</v>
      </c>
      <c r="D19" s="56">
        <v>31.58</v>
      </c>
      <c r="E19" s="56">
        <v>31.58</v>
      </c>
      <c r="F19" s="56">
        <v>2.72</v>
      </c>
      <c r="G19" s="33">
        <v>271.57</v>
      </c>
      <c r="H19" s="11">
        <f t="shared" si="0"/>
        <v>1.0861304623179227</v>
      </c>
      <c r="I19" s="33">
        <v>738.67</v>
      </c>
      <c r="J19" s="56">
        <v>0.6</v>
      </c>
      <c r="K19" s="12">
        <f t="shared" si="1"/>
        <v>1.8999366687777075E-2</v>
      </c>
      <c r="L19" s="293">
        <f t="shared" si="2"/>
        <v>2.1199999999999988</v>
      </c>
      <c r="M19" s="13">
        <f t="shared" si="3"/>
        <v>6.7131095630145632E-2</v>
      </c>
      <c r="N19" s="294">
        <f t="shared" si="4"/>
        <v>575.72839999999962</v>
      </c>
      <c r="O19" s="66" t="s">
        <v>584</v>
      </c>
      <c r="P19" s="66" t="s">
        <v>672</v>
      </c>
      <c r="Q19" s="66" t="s">
        <v>975</v>
      </c>
      <c r="R19" s="28" t="s">
        <v>25</v>
      </c>
    </row>
    <row r="20" spans="1:18" s="15" customFormat="1" ht="24.95" customHeight="1" x14ac:dyDescent="0.25">
      <c r="A20" s="295">
        <v>9</v>
      </c>
      <c r="B20" s="10" t="s">
        <v>33</v>
      </c>
      <c r="C20" s="33">
        <v>162.80000000000001</v>
      </c>
      <c r="D20" s="56">
        <v>65.72</v>
      </c>
      <c r="E20" s="56">
        <v>65.72</v>
      </c>
      <c r="F20" s="56">
        <v>4.04</v>
      </c>
      <c r="G20" s="33">
        <v>203.5</v>
      </c>
      <c r="H20" s="11">
        <f t="shared" si="0"/>
        <v>1.0614729153986611</v>
      </c>
      <c r="I20" s="33">
        <v>822.14</v>
      </c>
      <c r="J20" s="56">
        <v>0.8</v>
      </c>
      <c r="K20" s="12">
        <f t="shared" si="1"/>
        <v>1.2172854534388315E-2</v>
      </c>
      <c r="L20" s="293">
        <f t="shared" si="2"/>
        <v>3.2400000000000064</v>
      </c>
      <c r="M20" s="13">
        <f t="shared" si="3"/>
        <v>4.9300060864272771E-2</v>
      </c>
      <c r="N20" s="294">
        <f t="shared" si="4"/>
        <v>659.34000000000128</v>
      </c>
      <c r="O20" s="66" t="s">
        <v>18</v>
      </c>
      <c r="P20" s="66" t="s">
        <v>673</v>
      </c>
      <c r="Q20" s="66" t="s">
        <v>583</v>
      </c>
      <c r="R20" s="28" t="s">
        <v>25</v>
      </c>
    </row>
    <row r="21" spans="1:18" s="15" customFormat="1" ht="24.95" customHeight="1" thickBot="1" x14ac:dyDescent="0.3">
      <c r="A21" s="296">
        <v>10</v>
      </c>
      <c r="B21" s="16" t="s">
        <v>34</v>
      </c>
      <c r="C21" s="34">
        <v>162.79</v>
      </c>
      <c r="D21" s="58">
        <v>19.75</v>
      </c>
      <c r="E21" s="58">
        <v>19.75</v>
      </c>
      <c r="F21" s="58">
        <v>1.97</v>
      </c>
      <c r="G21" s="34">
        <v>232.55</v>
      </c>
      <c r="H21" s="17">
        <f t="shared" si="0"/>
        <v>1.099746835443038</v>
      </c>
      <c r="I21" s="34">
        <v>458.12</v>
      </c>
      <c r="J21" s="58">
        <v>0.7</v>
      </c>
      <c r="K21" s="18">
        <f t="shared" si="1"/>
        <v>3.5443037974683539E-2</v>
      </c>
      <c r="L21" s="297">
        <f t="shared" si="2"/>
        <v>1.2699999999999989</v>
      </c>
      <c r="M21" s="19">
        <f t="shared" si="3"/>
        <v>6.4303797468354379E-2</v>
      </c>
      <c r="N21" s="298">
        <f t="shared" si="4"/>
        <v>295.33849999999978</v>
      </c>
      <c r="O21" s="64" t="s">
        <v>584</v>
      </c>
      <c r="P21" s="64" t="s">
        <v>672</v>
      </c>
      <c r="Q21" s="64" t="s">
        <v>585</v>
      </c>
      <c r="R21" s="29" t="s">
        <v>25</v>
      </c>
    </row>
    <row r="22" spans="1:18" s="62" customFormat="1" ht="24.95" customHeight="1" thickBot="1" x14ac:dyDescent="0.3">
      <c r="A22" s="299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300"/>
      <c r="M22" s="30"/>
      <c r="N22" s="301"/>
      <c r="O22" s="61"/>
      <c r="P22" s="61"/>
      <c r="Q22" s="61"/>
      <c r="R22" s="59"/>
    </row>
    <row r="23" spans="1:18" s="62" customFormat="1" ht="40.5" customHeight="1" x14ac:dyDescent="0.25">
      <c r="A23" s="443" t="s">
        <v>923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924</v>
      </c>
      <c r="B24" s="447"/>
      <c r="C24" s="447"/>
      <c r="D24" s="447" t="s">
        <v>925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926</v>
      </c>
      <c r="P24" s="457" t="s">
        <v>927</v>
      </c>
      <c r="Q24" s="456" t="s">
        <v>928</v>
      </c>
      <c r="R24" s="643" t="s">
        <v>929</v>
      </c>
    </row>
    <row r="25" spans="1:18" s="62" customFormat="1" ht="24.95" customHeight="1" x14ac:dyDescent="0.25">
      <c r="A25" s="644" t="s">
        <v>930</v>
      </c>
      <c r="B25" s="461" t="s">
        <v>133</v>
      </c>
      <c r="C25" s="462"/>
      <c r="D25" s="463" t="s">
        <v>909</v>
      </c>
      <c r="E25" s="463"/>
      <c r="F25" s="463"/>
      <c r="G25" s="463"/>
      <c r="H25" s="463"/>
      <c r="I25" s="463"/>
      <c r="J25" s="464" t="s">
        <v>910</v>
      </c>
      <c r="K25" s="464"/>
      <c r="L25" s="464"/>
      <c r="M25" s="465"/>
      <c r="N25" s="465"/>
      <c r="O25" s="456"/>
      <c r="P25" s="456"/>
      <c r="Q25" s="456"/>
      <c r="R25" s="643"/>
    </row>
    <row r="26" spans="1:18" s="62" customFormat="1" ht="24.95" customHeight="1" x14ac:dyDescent="0.3">
      <c r="A26" s="645"/>
      <c r="B26" s="647" t="s">
        <v>136</v>
      </c>
      <c r="C26" s="649" t="s">
        <v>931</v>
      </c>
      <c r="D26" s="651" t="s">
        <v>913</v>
      </c>
      <c r="E26" s="651"/>
      <c r="F26" s="651"/>
      <c r="G26" s="651"/>
      <c r="H26" s="651"/>
      <c r="I26" s="651"/>
      <c r="J26" s="652" t="s">
        <v>160</v>
      </c>
      <c r="K26" s="653"/>
      <c r="L26" s="654"/>
      <c r="M26" s="652" t="s">
        <v>915</v>
      </c>
      <c r="N26" s="654"/>
      <c r="O26" s="456"/>
      <c r="P26" s="456"/>
      <c r="Q26" s="456"/>
      <c r="R26" s="643"/>
    </row>
    <row r="27" spans="1:18" s="62" customFormat="1" ht="50.1" customHeight="1" x14ac:dyDescent="0.25">
      <c r="A27" s="646"/>
      <c r="B27" s="648"/>
      <c r="C27" s="650"/>
      <c r="D27" s="289" t="s">
        <v>916</v>
      </c>
      <c r="E27" s="289" t="s">
        <v>932</v>
      </c>
      <c r="F27" s="289" t="s">
        <v>933</v>
      </c>
      <c r="G27" s="289" t="s">
        <v>143</v>
      </c>
      <c r="H27" s="289" t="s">
        <v>934</v>
      </c>
      <c r="I27" s="289" t="s">
        <v>920</v>
      </c>
      <c r="J27" s="290" t="s">
        <v>935</v>
      </c>
      <c r="K27" s="290" t="s">
        <v>147</v>
      </c>
      <c r="L27" s="291" t="s">
        <v>936</v>
      </c>
      <c r="M27" s="290" t="s">
        <v>165</v>
      </c>
      <c r="N27" s="290" t="s">
        <v>937</v>
      </c>
      <c r="O27" s="456"/>
      <c r="P27" s="456"/>
      <c r="Q27" s="456"/>
      <c r="R27" s="643"/>
    </row>
    <row r="28" spans="1:18" s="62" customFormat="1" ht="24.95" customHeight="1" x14ac:dyDescent="0.25">
      <c r="A28" s="292">
        <v>1</v>
      </c>
      <c r="B28" s="10" t="s">
        <v>36</v>
      </c>
      <c r="C28" s="33">
        <v>1709.92</v>
      </c>
      <c r="D28" s="56">
        <v>201.92</v>
      </c>
      <c r="E28" s="56">
        <v>201.92</v>
      </c>
      <c r="F28" s="56">
        <v>13.39</v>
      </c>
      <c r="G28" s="33">
        <v>156.72999999999999</v>
      </c>
      <c r="H28" s="35">
        <f t="shared" ref="H28:H37" si="5">(E28+F28)/D28</f>
        <v>1.0663133914421554</v>
      </c>
      <c r="I28" s="33">
        <v>2098.61</v>
      </c>
      <c r="J28" s="56">
        <v>2.48</v>
      </c>
      <c r="K28" s="12">
        <f t="shared" ref="K28:K37" si="6">J28/D28</f>
        <v>1.2282091917591127E-2</v>
      </c>
      <c r="L28" s="294">
        <f t="shared" ref="L28:L37" si="7">J28*G28</f>
        <v>388.69039999999995</v>
      </c>
      <c r="M28" s="293">
        <f t="shared" ref="M28:M37" si="8">((E28+F28)-D28)-J28</f>
        <v>10.910000000000014</v>
      </c>
      <c r="N28" s="13">
        <f t="shared" ref="N28:N37" si="9">M28/D28</f>
        <v>5.4031299524564258E-2</v>
      </c>
      <c r="O28" s="69" t="s">
        <v>22</v>
      </c>
      <c r="P28" s="14" t="s">
        <v>672</v>
      </c>
      <c r="Q28" s="14" t="s">
        <v>65</v>
      </c>
      <c r="R28" s="28" t="s">
        <v>25</v>
      </c>
    </row>
    <row r="29" spans="1:18" s="62" customFormat="1" ht="24.75" customHeight="1" x14ac:dyDescent="0.25">
      <c r="A29" s="295">
        <v>2</v>
      </c>
      <c r="B29" s="10" t="s">
        <v>706</v>
      </c>
      <c r="C29" s="33">
        <v>1293.76</v>
      </c>
      <c r="D29" s="56">
        <v>181.79</v>
      </c>
      <c r="E29" s="56">
        <v>181.79</v>
      </c>
      <c r="F29" s="56">
        <v>18.13</v>
      </c>
      <c r="G29" s="33">
        <v>95.34</v>
      </c>
      <c r="H29" s="35">
        <f t="shared" si="5"/>
        <v>1.0997304582210243</v>
      </c>
      <c r="I29" s="33">
        <v>1728.51</v>
      </c>
      <c r="J29" s="56">
        <v>4.5599999999999996</v>
      </c>
      <c r="K29" s="12">
        <f t="shared" si="6"/>
        <v>2.5083888002640407E-2</v>
      </c>
      <c r="L29" s="294">
        <f t="shared" si="7"/>
        <v>434.75039999999996</v>
      </c>
      <c r="M29" s="293">
        <f t="shared" si="8"/>
        <v>13.569999999999997</v>
      </c>
      <c r="N29" s="13">
        <f t="shared" si="9"/>
        <v>7.4646570218383834E-2</v>
      </c>
      <c r="O29" s="69" t="s">
        <v>22</v>
      </c>
      <c r="P29" s="14" t="s">
        <v>672</v>
      </c>
      <c r="Q29" s="14" t="s">
        <v>84</v>
      </c>
      <c r="R29" s="28" t="s">
        <v>25</v>
      </c>
    </row>
    <row r="30" spans="1:18" s="62" customFormat="1" ht="24.95" customHeight="1" x14ac:dyDescent="0.25">
      <c r="A30" s="295">
        <v>3</v>
      </c>
      <c r="B30" s="10" t="s">
        <v>41</v>
      </c>
      <c r="C30" s="33">
        <v>891.80000000000007</v>
      </c>
      <c r="D30" s="56">
        <v>112.57</v>
      </c>
      <c r="E30" s="56">
        <v>112.57</v>
      </c>
      <c r="F30" s="56">
        <v>11.23</v>
      </c>
      <c r="G30" s="33">
        <v>127.4</v>
      </c>
      <c r="H30" s="35">
        <f t="shared" si="5"/>
        <v>1.0997601492404727</v>
      </c>
      <c r="I30" s="33">
        <v>1430.7</v>
      </c>
      <c r="J30" s="32">
        <v>4.2300000000000004</v>
      </c>
      <c r="K30" s="12">
        <f t="shared" si="6"/>
        <v>3.7576618992626813E-2</v>
      </c>
      <c r="L30" s="294">
        <f t="shared" si="7"/>
        <v>538.90200000000004</v>
      </c>
      <c r="M30" s="293">
        <f t="shared" si="8"/>
        <v>7.0000000000000036</v>
      </c>
      <c r="N30" s="13">
        <f t="shared" si="9"/>
        <v>6.2183530247845821E-2</v>
      </c>
      <c r="O30" s="69" t="s">
        <v>22</v>
      </c>
      <c r="P30" s="14" t="s">
        <v>672</v>
      </c>
      <c r="Q30" s="14" t="s">
        <v>84</v>
      </c>
      <c r="R30" s="28" t="s">
        <v>25</v>
      </c>
    </row>
    <row r="31" spans="1:18" s="62" customFormat="1" ht="24.95" customHeight="1" x14ac:dyDescent="0.25">
      <c r="A31" s="292">
        <v>4</v>
      </c>
      <c r="B31" s="10" t="s">
        <v>46</v>
      </c>
      <c r="C31" s="33">
        <v>772.19999999999993</v>
      </c>
      <c r="D31" s="56">
        <v>20.58</v>
      </c>
      <c r="E31" s="56">
        <v>20.58</v>
      </c>
      <c r="F31" s="56">
        <v>0.99</v>
      </c>
      <c r="G31" s="33">
        <v>930.36</v>
      </c>
      <c r="H31" s="35">
        <f t="shared" si="5"/>
        <v>1.0481049562682214</v>
      </c>
      <c r="I31" s="33">
        <v>921.06</v>
      </c>
      <c r="J31" s="56">
        <v>0.16</v>
      </c>
      <c r="K31" s="12">
        <f t="shared" si="6"/>
        <v>7.7745383867832852E-3</v>
      </c>
      <c r="L31" s="294">
        <f t="shared" si="7"/>
        <v>148.85760000000002</v>
      </c>
      <c r="M31" s="293">
        <f t="shared" si="8"/>
        <v>0.82999999999999841</v>
      </c>
      <c r="N31" s="13">
        <f t="shared" si="9"/>
        <v>4.0330417881438214E-2</v>
      </c>
      <c r="O31" s="69" t="s">
        <v>22</v>
      </c>
      <c r="P31" s="14" t="s">
        <v>672</v>
      </c>
      <c r="Q31" s="14" t="s">
        <v>84</v>
      </c>
      <c r="R31" s="28" t="s">
        <v>76</v>
      </c>
    </row>
    <row r="32" spans="1:18" s="62" customFormat="1" ht="24.95" customHeight="1" x14ac:dyDescent="0.25">
      <c r="A32" s="295">
        <v>5</v>
      </c>
      <c r="B32" s="10" t="s">
        <v>40</v>
      </c>
      <c r="C32" s="33">
        <v>755.81999999999994</v>
      </c>
      <c r="D32" s="56">
        <v>161.15</v>
      </c>
      <c r="E32" s="56">
        <v>161.15</v>
      </c>
      <c r="F32" s="56">
        <v>11.76</v>
      </c>
      <c r="G32" s="33">
        <v>78</v>
      </c>
      <c r="H32" s="35">
        <f t="shared" si="5"/>
        <v>1.0729754886751472</v>
      </c>
      <c r="I32" s="33">
        <v>917.28</v>
      </c>
      <c r="J32" s="56">
        <v>2.0699999999999998</v>
      </c>
      <c r="K32" s="12">
        <f t="shared" si="6"/>
        <v>1.2845175302513185E-2</v>
      </c>
      <c r="L32" s="294">
        <f t="shared" si="7"/>
        <v>161.45999999999998</v>
      </c>
      <c r="M32" s="293">
        <f t="shared" si="8"/>
        <v>9.6899999999999906</v>
      </c>
      <c r="N32" s="13">
        <f t="shared" si="9"/>
        <v>6.013031337263413E-2</v>
      </c>
      <c r="O32" s="69" t="s">
        <v>22</v>
      </c>
      <c r="P32" s="14" t="s">
        <v>672</v>
      </c>
      <c r="Q32" s="14" t="s">
        <v>891</v>
      </c>
      <c r="R32" s="28" t="s">
        <v>25</v>
      </c>
    </row>
    <row r="33" spans="1:18" s="62" customFormat="1" ht="24.95" customHeight="1" x14ac:dyDescent="0.25">
      <c r="A33" s="292">
        <v>6</v>
      </c>
      <c r="B33" s="10" t="s">
        <v>35</v>
      </c>
      <c r="C33" s="33">
        <v>725.99</v>
      </c>
      <c r="D33" s="56">
        <v>76.959999999999994</v>
      </c>
      <c r="E33" s="56">
        <v>76.959999999999994</v>
      </c>
      <c r="F33" s="56">
        <v>2.16</v>
      </c>
      <c r="G33" s="33">
        <v>410.16</v>
      </c>
      <c r="H33" s="35">
        <f t="shared" si="5"/>
        <v>1.028066528066528</v>
      </c>
      <c r="I33" s="33">
        <v>885.95</v>
      </c>
      <c r="J33" s="56">
        <v>0.39</v>
      </c>
      <c r="K33" s="12">
        <f t="shared" si="6"/>
        <v>5.0675675675675678E-3</v>
      </c>
      <c r="L33" s="294">
        <f t="shared" si="7"/>
        <v>159.9624</v>
      </c>
      <c r="M33" s="293">
        <f t="shared" si="8"/>
        <v>1.7699999999999965</v>
      </c>
      <c r="N33" s="13">
        <f t="shared" si="9"/>
        <v>2.2998960498960455E-2</v>
      </c>
      <c r="O33" s="69" t="s">
        <v>22</v>
      </c>
      <c r="P33" s="14" t="s">
        <v>672</v>
      </c>
      <c r="Q33" s="14" t="s">
        <v>67</v>
      </c>
      <c r="R33" s="28" t="s">
        <v>25</v>
      </c>
    </row>
    <row r="34" spans="1:18" s="62" customFormat="1" ht="24.95" customHeight="1" x14ac:dyDescent="0.25">
      <c r="A34" s="295">
        <v>7</v>
      </c>
      <c r="B34" s="10" t="s">
        <v>824</v>
      </c>
      <c r="C34" s="33">
        <v>713.73</v>
      </c>
      <c r="D34" s="56">
        <v>209.92</v>
      </c>
      <c r="E34" s="56">
        <v>209.92</v>
      </c>
      <c r="F34" s="56">
        <v>19.52</v>
      </c>
      <c r="G34" s="33">
        <v>44.86</v>
      </c>
      <c r="H34" s="35">
        <f t="shared" si="5"/>
        <v>1.0929878048780488</v>
      </c>
      <c r="I34" s="33">
        <v>875.67</v>
      </c>
      <c r="J34" s="56">
        <v>3.61</v>
      </c>
      <c r="K34" s="12">
        <f t="shared" si="6"/>
        <v>1.719702743902439E-2</v>
      </c>
      <c r="L34" s="294">
        <f t="shared" si="7"/>
        <v>161.94459999999998</v>
      </c>
      <c r="M34" s="293">
        <f t="shared" si="8"/>
        <v>15.910000000000011</v>
      </c>
      <c r="N34" s="13">
        <f t="shared" si="9"/>
        <v>7.5790777439024445E-2</v>
      </c>
      <c r="O34" s="69" t="s">
        <v>22</v>
      </c>
      <c r="P34" s="14" t="s">
        <v>672</v>
      </c>
      <c r="Q34" s="14" t="s">
        <v>894</v>
      </c>
      <c r="R34" s="28" t="s">
        <v>25</v>
      </c>
    </row>
    <row r="35" spans="1:18" s="62" customFormat="1" ht="24.95" customHeight="1" x14ac:dyDescent="0.25">
      <c r="A35" s="292">
        <v>8</v>
      </c>
      <c r="B35" s="10" t="s">
        <v>52</v>
      </c>
      <c r="C35" s="33">
        <v>713.59</v>
      </c>
      <c r="D35" s="56">
        <v>265.2</v>
      </c>
      <c r="E35" s="56">
        <v>265.2</v>
      </c>
      <c r="F35" s="56">
        <v>6.54</v>
      </c>
      <c r="G35" s="33">
        <v>133.88</v>
      </c>
      <c r="H35" s="35">
        <f t="shared" si="5"/>
        <v>1.024660633484163</v>
      </c>
      <c r="I35" s="33">
        <v>875.58</v>
      </c>
      <c r="J35" s="56">
        <v>1.21</v>
      </c>
      <c r="K35" s="12">
        <f t="shared" si="6"/>
        <v>4.5625942684766217E-3</v>
      </c>
      <c r="L35" s="294">
        <f t="shared" si="7"/>
        <v>161.9948</v>
      </c>
      <c r="M35" s="293">
        <f t="shared" si="8"/>
        <v>5.3300000000000205</v>
      </c>
      <c r="N35" s="13">
        <f t="shared" si="9"/>
        <v>2.0098039215686352E-2</v>
      </c>
      <c r="O35" s="69" t="s">
        <v>22</v>
      </c>
      <c r="P35" s="14" t="s">
        <v>672</v>
      </c>
      <c r="Q35" s="14" t="s">
        <v>892</v>
      </c>
      <c r="R35" s="28" t="s">
        <v>77</v>
      </c>
    </row>
    <row r="36" spans="1:18" s="62" customFormat="1" ht="24.95" customHeight="1" x14ac:dyDescent="0.25">
      <c r="A36" s="295">
        <v>9</v>
      </c>
      <c r="B36" s="10" t="s">
        <v>45</v>
      </c>
      <c r="C36" s="33">
        <v>713.04</v>
      </c>
      <c r="D36" s="56">
        <v>69.23</v>
      </c>
      <c r="E36" s="56">
        <v>69.23</v>
      </c>
      <c r="F36" s="56">
        <v>2.75</v>
      </c>
      <c r="G36" s="33">
        <v>318.32</v>
      </c>
      <c r="H36" s="35">
        <f t="shared" si="5"/>
        <v>1.0397226635851509</v>
      </c>
      <c r="I36" s="33">
        <v>875.38</v>
      </c>
      <c r="J36" s="56">
        <v>0.51</v>
      </c>
      <c r="K36" s="12">
        <f t="shared" si="6"/>
        <v>7.366748519427993E-3</v>
      </c>
      <c r="L36" s="294">
        <f t="shared" si="7"/>
        <v>162.3432</v>
      </c>
      <c r="M36" s="293">
        <f t="shared" si="8"/>
        <v>2.2400000000000002</v>
      </c>
      <c r="N36" s="13">
        <f t="shared" si="9"/>
        <v>3.2355915065722954E-2</v>
      </c>
      <c r="O36" s="69" t="s">
        <v>22</v>
      </c>
      <c r="P36" s="14" t="s">
        <v>672</v>
      </c>
      <c r="Q36" s="14" t="s">
        <v>67</v>
      </c>
      <c r="R36" s="28" t="s">
        <v>76</v>
      </c>
    </row>
    <row r="37" spans="1:18" s="62" customFormat="1" ht="24.95" customHeight="1" thickBot="1" x14ac:dyDescent="0.3">
      <c r="A37" s="296">
        <v>10</v>
      </c>
      <c r="B37" s="16" t="s">
        <v>90</v>
      </c>
      <c r="C37" s="34">
        <v>711.21</v>
      </c>
      <c r="D37" s="58">
        <v>110.4</v>
      </c>
      <c r="E37" s="58">
        <v>110.4</v>
      </c>
      <c r="F37" s="58">
        <v>5.24</v>
      </c>
      <c r="G37" s="34">
        <v>166.56</v>
      </c>
      <c r="H37" s="36">
        <f t="shared" si="5"/>
        <v>1.047463768115942</v>
      </c>
      <c r="I37" s="34">
        <v>872.77</v>
      </c>
      <c r="J37" s="58">
        <v>0.97</v>
      </c>
      <c r="K37" s="18">
        <f t="shared" si="6"/>
        <v>8.7862318840579712E-3</v>
      </c>
      <c r="L37" s="298">
        <f t="shared" si="7"/>
        <v>161.56319999999999</v>
      </c>
      <c r="M37" s="297">
        <f t="shared" si="8"/>
        <v>4.2699999999999951</v>
      </c>
      <c r="N37" s="19">
        <f t="shared" si="9"/>
        <v>3.867753623188401E-2</v>
      </c>
      <c r="O37" s="52" t="s">
        <v>22</v>
      </c>
      <c r="P37" s="20" t="s">
        <v>672</v>
      </c>
      <c r="Q37" s="20" t="s">
        <v>84</v>
      </c>
      <c r="R37" s="65" t="s">
        <v>89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938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902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640" t="s">
        <v>907</v>
      </c>
      <c r="B41" s="450" t="s">
        <v>939</v>
      </c>
      <c r="C41" s="450"/>
      <c r="D41" s="451"/>
      <c r="E41" s="23"/>
      <c r="G41" s="21"/>
      <c r="H41" s="22"/>
    </row>
    <row r="42" spans="1:18" ht="20.45" customHeight="1" x14ac:dyDescent="0.35">
      <c r="A42" s="640"/>
      <c r="B42" s="641" t="s">
        <v>911</v>
      </c>
      <c r="C42" s="642" t="s">
        <v>940</v>
      </c>
      <c r="D42" s="643" t="s">
        <v>941</v>
      </c>
      <c r="E42" s="23"/>
      <c r="G42" s="21"/>
      <c r="H42" s="22"/>
    </row>
    <row r="43" spans="1:18" ht="20.45" customHeight="1" x14ac:dyDescent="0.35">
      <c r="A43" s="640"/>
      <c r="B43" s="641"/>
      <c r="C43" s="642"/>
      <c r="D43" s="643"/>
      <c r="E43" s="23"/>
      <c r="G43" s="21"/>
      <c r="H43" s="22"/>
    </row>
    <row r="44" spans="1:18" s="26" customFormat="1" ht="24.95" customHeight="1" x14ac:dyDescent="0.35">
      <c r="A44" s="302">
        <v>1</v>
      </c>
      <c r="B44" s="10" t="s">
        <v>41</v>
      </c>
      <c r="C44" s="33">
        <v>538.9</v>
      </c>
      <c r="D44" s="24">
        <f t="shared" ref="D44:D53" si="10">C44/$L$5</f>
        <v>8.3161783541713608E-2</v>
      </c>
      <c r="E44" s="25"/>
      <c r="G44" s="21"/>
      <c r="H44" s="22"/>
    </row>
    <row r="45" spans="1:18" s="26" customFormat="1" ht="24.95" customHeight="1" x14ac:dyDescent="0.35">
      <c r="A45" s="303">
        <v>2</v>
      </c>
      <c r="B45" s="10" t="s">
        <v>786</v>
      </c>
      <c r="C45" s="33">
        <v>490.97</v>
      </c>
      <c r="D45" s="24">
        <f t="shared" si="10"/>
        <v>7.5765338403182655E-2</v>
      </c>
      <c r="E45" s="25"/>
      <c r="G45" s="21"/>
      <c r="H45" s="22"/>
    </row>
    <row r="46" spans="1:18" s="26" customFormat="1" ht="24.95" customHeight="1" x14ac:dyDescent="0.35">
      <c r="A46" s="303">
        <v>3</v>
      </c>
      <c r="B46" s="10" t="s">
        <v>706</v>
      </c>
      <c r="C46" s="33">
        <v>434.75</v>
      </c>
      <c r="D46" s="24">
        <f t="shared" si="10"/>
        <v>6.7089599916051207E-2</v>
      </c>
      <c r="E46" s="25"/>
      <c r="G46" s="21"/>
      <c r="H46" s="22"/>
    </row>
    <row r="47" spans="1:18" s="26" customFormat="1" ht="24.95" customHeight="1" x14ac:dyDescent="0.35">
      <c r="A47" s="302">
        <v>4</v>
      </c>
      <c r="B47" s="10" t="s">
        <v>36</v>
      </c>
      <c r="C47" s="33">
        <v>388.69</v>
      </c>
      <c r="D47" s="24">
        <f t="shared" si="10"/>
        <v>5.9981728789810104E-2</v>
      </c>
      <c r="E47" s="25"/>
      <c r="G47" s="21"/>
      <c r="H47" s="22"/>
    </row>
    <row r="48" spans="1:18" s="26" customFormat="1" ht="24.95" customHeight="1" x14ac:dyDescent="0.35">
      <c r="A48" s="303">
        <v>5</v>
      </c>
      <c r="B48" s="10" t="s">
        <v>787</v>
      </c>
      <c r="C48" s="33">
        <v>278.39999999999998</v>
      </c>
      <c r="D48" s="24">
        <f t="shared" si="10"/>
        <v>4.2962034770853717E-2</v>
      </c>
      <c r="E48" s="25"/>
      <c r="G48" s="21"/>
      <c r="H48" s="22"/>
    </row>
    <row r="49" spans="1:5" s="26" customFormat="1" ht="24.95" customHeight="1" x14ac:dyDescent="0.25">
      <c r="A49" s="302">
        <v>6</v>
      </c>
      <c r="B49" s="10" t="s">
        <v>118</v>
      </c>
      <c r="C49" s="33">
        <v>162.94</v>
      </c>
      <c r="D49" s="24">
        <f t="shared" si="10"/>
        <v>2.5144518482625378E-2</v>
      </c>
      <c r="E49" s="25"/>
    </row>
    <row r="50" spans="1:5" s="26" customFormat="1" ht="24.95" customHeight="1" x14ac:dyDescent="0.25">
      <c r="A50" s="303">
        <v>7</v>
      </c>
      <c r="B50" s="10" t="s">
        <v>33</v>
      </c>
      <c r="C50" s="33">
        <v>162.80000000000001</v>
      </c>
      <c r="D50" s="24">
        <f t="shared" si="10"/>
        <v>2.5122914011117048E-2</v>
      </c>
      <c r="E50" s="25"/>
    </row>
    <row r="51" spans="1:5" s="26" customFormat="1" ht="24.95" customHeight="1" x14ac:dyDescent="0.25">
      <c r="A51" s="302">
        <v>8</v>
      </c>
      <c r="B51" s="10" t="s">
        <v>34</v>
      </c>
      <c r="C51" s="33">
        <v>162.79</v>
      </c>
      <c r="D51" s="24">
        <f t="shared" si="10"/>
        <v>2.5121370834580735E-2</v>
      </c>
      <c r="E51" s="25"/>
    </row>
    <row r="52" spans="1:5" s="26" customFormat="1" ht="24.95" customHeight="1" x14ac:dyDescent="0.25">
      <c r="A52" s="303">
        <v>9</v>
      </c>
      <c r="B52" s="10" t="s">
        <v>665</v>
      </c>
      <c r="C52" s="33">
        <v>162</v>
      </c>
      <c r="D52" s="24">
        <f t="shared" si="10"/>
        <v>2.4999459888212294E-2</v>
      </c>
      <c r="E52" s="25"/>
    </row>
    <row r="53" spans="1:5" s="26" customFormat="1" ht="24.95" customHeight="1" thickBot="1" x14ac:dyDescent="0.3">
      <c r="A53" s="304">
        <v>10</v>
      </c>
      <c r="B53" s="16" t="s">
        <v>567</v>
      </c>
      <c r="C53" s="34">
        <v>161.97</v>
      </c>
      <c r="D53" s="27">
        <f t="shared" si="10"/>
        <v>2.4994830358603365E-2</v>
      </c>
      <c r="E53" s="25"/>
    </row>
    <row r="54" spans="1:5" x14ac:dyDescent="0.25">
      <c r="A54" s="441" t="s">
        <v>942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835" priority="33" operator="containsText" text="024">
      <formula>NOT(ISERROR(SEARCH("024",A12)))</formula>
    </cfRule>
    <cfRule type="containsText" dxfId="834" priority="34" operator="containsText" text="白醬">
      <formula>NOT(ISERROR(SEARCH("白醬",A12)))</formula>
    </cfRule>
    <cfRule type="containsText" dxfId="833" priority="35" operator="containsText" text="青蔥">
      <formula>NOT(ISERROR(SEARCH("青蔥",A12)))</formula>
    </cfRule>
    <cfRule type="containsText" dxfId="832" priority="36" operator="containsText" text=")川燙小青花菜">
      <formula>NOT(ISERROR(SEARCH(")川燙小青花菜",A12)))</formula>
    </cfRule>
    <cfRule type="containsText" dxfId="831" priority="37" operator="containsText" text="湯凍">
      <formula>NOT(ISERROR(SEARCH("湯凍",A12)))</formula>
    </cfRule>
    <cfRule type="containsText" dxfId="830" priority="38" operator="containsText" text="中華">
      <formula>NOT(ISERROR(SEARCH("中華",A12)))</formula>
    </cfRule>
  </conditionalFormatting>
  <conditionalFormatting sqref="A12:A22">
    <cfRule type="containsText" dxfId="829" priority="31" operator="containsText" text="綠豆芽">
      <formula>NOT(ISERROR(SEARCH("綠豆芽",A12)))</formula>
    </cfRule>
    <cfRule type="containsText" dxfId="828" priority="32" operator="containsText" text="煮白細麵生(方#12)">
      <formula>NOT(ISERROR(SEARCH("煮白細麵生(方#12)",A12)))</formula>
    </cfRule>
  </conditionalFormatting>
  <conditionalFormatting sqref="E5">
    <cfRule type="cellIs" dxfId="827" priority="16" operator="greaterThan">
      <formula>0.0025</formula>
    </cfRule>
    <cfRule type="cellIs" dxfId="826" priority="19" operator="greaterThan">
      <formula>0.0025</formula>
    </cfRule>
    <cfRule type="cellIs" dxfId="825" priority="29" operator="greaterThan">
      <formula>0.072</formula>
    </cfRule>
    <cfRule type="cellIs" dxfId="824" priority="30" operator="greaterThan">
      <formula>7.2</formula>
    </cfRule>
  </conditionalFormatting>
  <conditionalFormatting sqref="E5">
    <cfRule type="cellIs" dxfId="823" priority="28" operator="greaterThan">
      <formula>0.0025</formula>
    </cfRule>
  </conditionalFormatting>
  <conditionalFormatting sqref="A44:A53">
    <cfRule type="containsText" dxfId="822" priority="22" operator="containsText" text="024">
      <formula>NOT(ISERROR(SEARCH("024",A44)))</formula>
    </cfRule>
    <cfRule type="containsText" dxfId="821" priority="23" operator="containsText" text="白醬">
      <formula>NOT(ISERROR(SEARCH("白醬",A44)))</formula>
    </cfRule>
    <cfRule type="containsText" dxfId="820" priority="24" operator="containsText" text="青蔥">
      <formula>NOT(ISERROR(SEARCH("青蔥",A44)))</formula>
    </cfRule>
    <cfRule type="containsText" dxfId="819" priority="25" operator="containsText" text=")川燙小青花菜">
      <formula>NOT(ISERROR(SEARCH(")川燙小青花菜",A44)))</formula>
    </cfRule>
    <cfRule type="containsText" dxfId="818" priority="26" operator="containsText" text="湯凍">
      <formula>NOT(ISERROR(SEARCH("湯凍",A44)))</formula>
    </cfRule>
    <cfRule type="containsText" dxfId="817" priority="27" operator="containsText" text="中華">
      <formula>NOT(ISERROR(SEARCH("中華",A44)))</formula>
    </cfRule>
  </conditionalFormatting>
  <conditionalFormatting sqref="A44:A53">
    <cfRule type="containsText" dxfId="816" priority="20" operator="containsText" text="綠豆芽">
      <formula>NOT(ISERROR(SEARCH("綠豆芽",A44)))</formula>
    </cfRule>
    <cfRule type="containsText" dxfId="815" priority="21" operator="containsText" text="煮白細麵生(方#12)">
      <formula>NOT(ISERROR(SEARCH("煮白細麵生(方#12)",A44)))</formula>
    </cfRule>
  </conditionalFormatting>
  <conditionalFormatting sqref="D44:D53">
    <cfRule type="cellIs" dxfId="814" priority="18" operator="greaterThan">
      <formula>0.146</formula>
    </cfRule>
  </conditionalFormatting>
  <conditionalFormatting sqref="H12:H22">
    <cfRule type="cellIs" dxfId="813" priority="17" operator="greaterThan">
      <formula>1.1</formula>
    </cfRule>
  </conditionalFormatting>
  <conditionalFormatting sqref="I5">
    <cfRule type="cellIs" dxfId="812" priority="15" operator="greaterThan">
      <formula>0.2</formula>
    </cfRule>
  </conditionalFormatting>
  <conditionalFormatting sqref="A28:A37">
    <cfRule type="containsText" dxfId="811" priority="9" operator="containsText" text="024">
      <formula>NOT(ISERROR(SEARCH("024",A28)))</formula>
    </cfRule>
    <cfRule type="containsText" dxfId="810" priority="10" operator="containsText" text="白醬">
      <formula>NOT(ISERROR(SEARCH("白醬",A28)))</formula>
    </cfRule>
    <cfRule type="containsText" dxfId="809" priority="11" operator="containsText" text="青蔥">
      <formula>NOT(ISERROR(SEARCH("青蔥",A28)))</formula>
    </cfRule>
    <cfRule type="containsText" dxfId="808" priority="12" operator="containsText" text=")川燙小青花菜">
      <formula>NOT(ISERROR(SEARCH(")川燙小青花菜",A28)))</formula>
    </cfRule>
    <cfRule type="containsText" dxfId="807" priority="13" operator="containsText" text="湯凍">
      <formula>NOT(ISERROR(SEARCH("湯凍",A28)))</formula>
    </cfRule>
    <cfRule type="containsText" dxfId="806" priority="14" operator="containsText" text="中華">
      <formula>NOT(ISERROR(SEARCH("中華",A28)))</formula>
    </cfRule>
  </conditionalFormatting>
  <conditionalFormatting sqref="A28:A37">
    <cfRule type="containsText" dxfId="805" priority="7" operator="containsText" text="綠豆芽">
      <formula>NOT(ISERROR(SEARCH("綠豆芽",A28)))</formula>
    </cfRule>
    <cfRule type="containsText" dxfId="804" priority="8" operator="containsText" text="煮白細麵生(方#12)">
      <formula>NOT(ISERROR(SEARCH("煮白細麵生(方#12)",A28)))</formula>
    </cfRule>
  </conditionalFormatting>
  <conditionalFormatting sqref="H28:H37">
    <cfRule type="cellIs" dxfId="803" priority="6" operator="greaterThan">
      <formula>1.1</formula>
    </cfRule>
  </conditionalFormatting>
  <conditionalFormatting sqref="G5">
    <cfRule type="cellIs" dxfId="802" priority="1" operator="greaterThan">
      <formula>0.0025</formula>
    </cfRule>
    <cfRule type="cellIs" dxfId="801" priority="2" operator="greaterThan">
      <formula>0.0025</formula>
    </cfRule>
    <cfRule type="cellIs" dxfId="800" priority="4" operator="greaterThan">
      <formula>0.072</formula>
    </cfRule>
    <cfRule type="cellIs" dxfId="799" priority="5" operator="greaterThan">
      <formula>7.2</formula>
    </cfRule>
  </conditionalFormatting>
  <conditionalFormatting sqref="G5">
    <cfRule type="cellIs" dxfId="79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H16" zoomScale="55" zoomScaleNormal="55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686" t="s">
        <v>92</v>
      </c>
      <c r="B2" s="687"/>
      <c r="C2" s="269" t="s">
        <v>93</v>
      </c>
      <c r="D2" s="688" t="s">
        <v>94</v>
      </c>
      <c r="E2" s="688"/>
      <c r="F2" s="688" t="s">
        <v>95</v>
      </c>
      <c r="G2" s="688"/>
      <c r="H2" s="688" t="s">
        <v>94</v>
      </c>
      <c r="I2" s="688"/>
      <c r="J2" s="688" t="s">
        <v>95</v>
      </c>
      <c r="K2" s="688"/>
      <c r="L2" s="688" t="s">
        <v>94</v>
      </c>
      <c r="M2" s="689"/>
      <c r="R2" s="54"/>
    </row>
    <row r="3" spans="1:18" s="1" customFormat="1" ht="28.5" x14ac:dyDescent="0.45">
      <c r="A3" s="683">
        <v>45890</v>
      </c>
      <c r="B3" s="684"/>
      <c r="C3" s="685">
        <v>5963895.6600000001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683"/>
      <c r="B4" s="684"/>
      <c r="C4" s="68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681" t="s">
        <v>105</v>
      </c>
      <c r="B5" s="682"/>
      <c r="C5" s="682"/>
      <c r="D5" s="270">
        <v>14483.700000000004</v>
      </c>
      <c r="E5" s="5">
        <f>D5/C3</f>
        <v>2.4285636144077013E-3</v>
      </c>
      <c r="F5" s="270">
        <v>51116.98</v>
      </c>
      <c r="G5" s="44">
        <f>F5/C3</f>
        <v>8.5710721505144506E-3</v>
      </c>
      <c r="H5" s="6">
        <f>SUM(C12:C21)</f>
        <v>4221.63</v>
      </c>
      <c r="I5" s="7">
        <f>H5/D5</f>
        <v>0.29147455415397994</v>
      </c>
      <c r="J5" s="6">
        <f>SUM(C28:C37)</f>
        <v>11496.08</v>
      </c>
      <c r="K5" s="46">
        <f>J5/F5</f>
        <v>0.22489748025020256</v>
      </c>
      <c r="L5" s="8">
        <v>6589.5400000000018</v>
      </c>
      <c r="M5" s="9">
        <f>L5/D5</f>
        <v>0.45496247505816884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859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860</v>
      </c>
      <c r="B8" s="447"/>
      <c r="C8" s="447"/>
      <c r="D8" s="447" t="s">
        <v>861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221</v>
      </c>
      <c r="P8" s="457" t="s">
        <v>791</v>
      </c>
      <c r="Q8" s="456" t="s">
        <v>862</v>
      </c>
      <c r="R8" s="668" t="s">
        <v>863</v>
      </c>
    </row>
    <row r="9" spans="1:18" ht="20.45" customHeight="1" x14ac:dyDescent="0.25">
      <c r="A9" s="669" t="s">
        <v>224</v>
      </c>
      <c r="B9" s="461" t="s">
        <v>864</v>
      </c>
      <c r="C9" s="462"/>
      <c r="D9" s="463" t="s">
        <v>865</v>
      </c>
      <c r="E9" s="463"/>
      <c r="F9" s="463"/>
      <c r="G9" s="463"/>
      <c r="H9" s="463"/>
      <c r="I9" s="463"/>
      <c r="J9" s="464" t="s">
        <v>866</v>
      </c>
      <c r="K9" s="464"/>
      <c r="L9" s="464"/>
      <c r="M9" s="465"/>
      <c r="N9" s="465"/>
      <c r="O9" s="456"/>
      <c r="P9" s="456"/>
      <c r="Q9" s="456"/>
      <c r="R9" s="668"/>
    </row>
    <row r="10" spans="1:18" ht="20.45" customHeight="1" x14ac:dyDescent="0.3">
      <c r="A10" s="670"/>
      <c r="B10" s="672" t="s">
        <v>867</v>
      </c>
      <c r="C10" s="674" t="s">
        <v>228</v>
      </c>
      <c r="D10" s="676" t="s">
        <v>110</v>
      </c>
      <c r="E10" s="676"/>
      <c r="F10" s="676"/>
      <c r="G10" s="676"/>
      <c r="H10" s="676"/>
      <c r="I10" s="676"/>
      <c r="J10" s="677" t="s">
        <v>868</v>
      </c>
      <c r="K10" s="679"/>
      <c r="L10" s="680" t="s">
        <v>869</v>
      </c>
      <c r="M10" s="677"/>
      <c r="N10" s="677"/>
      <c r="O10" s="456"/>
      <c r="P10" s="456"/>
      <c r="Q10" s="456"/>
      <c r="R10" s="668"/>
    </row>
    <row r="11" spans="1:18" s="55" customFormat="1" ht="47.25" customHeight="1" x14ac:dyDescent="0.25">
      <c r="A11" s="671"/>
      <c r="B11" s="673"/>
      <c r="C11" s="675"/>
      <c r="D11" s="271" t="s">
        <v>870</v>
      </c>
      <c r="E11" s="271" t="s">
        <v>792</v>
      </c>
      <c r="F11" s="271" t="s">
        <v>871</v>
      </c>
      <c r="G11" s="271" t="s">
        <v>872</v>
      </c>
      <c r="H11" s="271" t="s">
        <v>873</v>
      </c>
      <c r="I11" s="271" t="s">
        <v>874</v>
      </c>
      <c r="J11" s="272" t="s">
        <v>875</v>
      </c>
      <c r="K11" s="272" t="s">
        <v>876</v>
      </c>
      <c r="L11" s="272" t="s">
        <v>466</v>
      </c>
      <c r="M11" s="272" t="s">
        <v>876</v>
      </c>
      <c r="N11" s="273" t="s">
        <v>877</v>
      </c>
      <c r="O11" s="456"/>
      <c r="P11" s="456"/>
      <c r="Q11" s="456"/>
      <c r="R11" s="668"/>
    </row>
    <row r="12" spans="1:18" s="15" customFormat="1" ht="24.95" customHeight="1" x14ac:dyDescent="0.25">
      <c r="A12" s="274">
        <v>1</v>
      </c>
      <c r="B12" s="10" t="s">
        <v>542</v>
      </c>
      <c r="C12" s="33">
        <v>1051.7</v>
      </c>
      <c r="D12" s="56">
        <v>179.55</v>
      </c>
      <c r="E12" s="56">
        <v>179.55</v>
      </c>
      <c r="F12" s="56">
        <v>17.03</v>
      </c>
      <c r="G12" s="33">
        <v>194.04</v>
      </c>
      <c r="H12" s="11">
        <f t="shared" ref="H12:H21" si="0">(E12+F12)/D12</f>
        <v>1.094848231690337</v>
      </c>
      <c r="I12" s="33">
        <v>3304.5</v>
      </c>
      <c r="J12" s="56">
        <v>5.42</v>
      </c>
      <c r="K12" s="12">
        <f t="shared" ref="K12:K21" si="1">J12/D12</f>
        <v>3.0186577554998605E-2</v>
      </c>
      <c r="L12" s="275">
        <f t="shared" ref="L12:L21" si="2">((E12+F12)-D12)-J12</f>
        <v>11.610000000000001</v>
      </c>
      <c r="M12" s="13">
        <f t="shared" ref="M12:M21" si="3">L12/D12</f>
        <v>6.4661654135338351E-2</v>
      </c>
      <c r="N12" s="276">
        <f t="shared" ref="N12:N21" si="4">L12*G12</f>
        <v>2252.8044</v>
      </c>
      <c r="O12" s="66" t="s">
        <v>584</v>
      </c>
      <c r="P12" s="66" t="s">
        <v>672</v>
      </c>
      <c r="Q12" s="66" t="s">
        <v>975</v>
      </c>
      <c r="R12" s="28" t="s">
        <v>543</v>
      </c>
    </row>
    <row r="13" spans="1:18" s="15" customFormat="1" ht="24.95" customHeight="1" x14ac:dyDescent="0.25">
      <c r="A13" s="277">
        <v>2</v>
      </c>
      <c r="B13" s="10" t="s">
        <v>90</v>
      </c>
      <c r="C13" s="33">
        <v>679.56</v>
      </c>
      <c r="D13" s="56">
        <v>131.88</v>
      </c>
      <c r="E13" s="56">
        <v>131.88</v>
      </c>
      <c r="F13" s="56">
        <v>13.1</v>
      </c>
      <c r="G13" s="33">
        <v>166.56</v>
      </c>
      <c r="H13" s="11">
        <f t="shared" si="0"/>
        <v>1.0993327267212618</v>
      </c>
      <c r="I13" s="33">
        <v>2181.94</v>
      </c>
      <c r="J13" s="56">
        <v>4.08</v>
      </c>
      <c r="K13" s="12">
        <f t="shared" si="1"/>
        <v>3.0937215650591449E-2</v>
      </c>
      <c r="L13" s="275">
        <f t="shared" si="2"/>
        <v>9.0199999999999942</v>
      </c>
      <c r="M13" s="13">
        <f t="shared" si="3"/>
        <v>6.8395511070670267E-2</v>
      </c>
      <c r="N13" s="276">
        <f t="shared" si="4"/>
        <v>1502.3711999999991</v>
      </c>
      <c r="O13" s="66" t="s">
        <v>584</v>
      </c>
      <c r="P13" s="66" t="s">
        <v>672</v>
      </c>
      <c r="Q13" s="66" t="s">
        <v>975</v>
      </c>
      <c r="R13" s="28" t="s">
        <v>89</v>
      </c>
    </row>
    <row r="14" spans="1:18" s="57" customFormat="1" ht="24.95" customHeight="1" x14ac:dyDescent="0.25">
      <c r="A14" s="277">
        <v>3</v>
      </c>
      <c r="B14" s="10" t="s">
        <v>786</v>
      </c>
      <c r="C14" s="33">
        <v>519.27</v>
      </c>
      <c r="D14" s="56">
        <v>14286</v>
      </c>
      <c r="E14" s="56">
        <v>14286</v>
      </c>
      <c r="F14" s="56">
        <v>89.53</v>
      </c>
      <c r="G14" s="33">
        <v>5.8</v>
      </c>
      <c r="H14" s="11">
        <f t="shared" si="0"/>
        <v>1.0062669746605069</v>
      </c>
      <c r="I14" s="33">
        <v>519.27</v>
      </c>
      <c r="J14" s="56">
        <v>89.53</v>
      </c>
      <c r="K14" s="12">
        <f t="shared" si="1"/>
        <v>6.2669746605067897E-3</v>
      </c>
      <c r="L14" s="275">
        <f t="shared" si="2"/>
        <v>6.5369931689929217E-13</v>
      </c>
      <c r="M14" s="13">
        <f t="shared" si="3"/>
        <v>4.575803702221001E-17</v>
      </c>
      <c r="N14" s="276">
        <f t="shared" si="4"/>
        <v>3.7914560380158948E-12</v>
      </c>
      <c r="O14" s="66" t="s">
        <v>584</v>
      </c>
      <c r="P14" s="66" t="s">
        <v>675</v>
      </c>
      <c r="Q14" s="66" t="s">
        <v>973</v>
      </c>
      <c r="R14" s="28" t="s">
        <v>25</v>
      </c>
    </row>
    <row r="15" spans="1:18" s="15" customFormat="1" ht="24.95" customHeight="1" x14ac:dyDescent="0.25">
      <c r="A15" s="274">
        <v>4</v>
      </c>
      <c r="B15" s="10" t="s">
        <v>788</v>
      </c>
      <c r="C15" s="33">
        <v>463.41</v>
      </c>
      <c r="D15" s="56">
        <v>66.06</v>
      </c>
      <c r="E15" s="56">
        <v>66.06</v>
      </c>
      <c r="F15" s="56">
        <v>11.38</v>
      </c>
      <c r="G15" s="33">
        <v>114.14</v>
      </c>
      <c r="H15" s="11">
        <f t="shared" si="0"/>
        <v>1.1722676354828943</v>
      </c>
      <c r="I15" s="33">
        <v>1298.9100000000001</v>
      </c>
      <c r="J15" s="56">
        <v>4.0599999999999996</v>
      </c>
      <c r="K15" s="12">
        <f t="shared" si="1"/>
        <v>6.1459279442930663E-2</v>
      </c>
      <c r="L15" s="275">
        <f t="shared" si="2"/>
        <v>7.3199999999999958</v>
      </c>
      <c r="M15" s="13">
        <f t="shared" si="3"/>
        <v>0.1108083560399636</v>
      </c>
      <c r="N15" s="276">
        <f t="shared" si="4"/>
        <v>835.50479999999948</v>
      </c>
      <c r="O15" s="66" t="s">
        <v>584</v>
      </c>
      <c r="P15" s="66" t="s">
        <v>672</v>
      </c>
      <c r="Q15" s="66" t="s">
        <v>975</v>
      </c>
      <c r="R15" s="28" t="s">
        <v>789</v>
      </c>
    </row>
    <row r="16" spans="1:18" s="57" customFormat="1" ht="24.95" customHeight="1" x14ac:dyDescent="0.25">
      <c r="A16" s="277">
        <v>5</v>
      </c>
      <c r="B16" s="10" t="s">
        <v>787</v>
      </c>
      <c r="C16" s="33">
        <v>383.61</v>
      </c>
      <c r="D16" s="56">
        <v>6215</v>
      </c>
      <c r="E16" s="56">
        <v>6215</v>
      </c>
      <c r="F16" s="56">
        <v>58.3</v>
      </c>
      <c r="G16" s="33">
        <v>6.58</v>
      </c>
      <c r="H16" s="11">
        <f t="shared" si="0"/>
        <v>1.0093805309734514</v>
      </c>
      <c r="I16" s="33">
        <v>383.61</v>
      </c>
      <c r="J16" s="56">
        <v>58.3</v>
      </c>
      <c r="K16" s="12">
        <f t="shared" si="1"/>
        <v>9.3805309734513263E-3</v>
      </c>
      <c r="L16" s="275">
        <f t="shared" si="2"/>
        <v>1.8474111129762605E-13</v>
      </c>
      <c r="M16" s="13">
        <f t="shared" si="3"/>
        <v>2.9725038020535166E-17</v>
      </c>
      <c r="N16" s="276">
        <f t="shared" si="4"/>
        <v>1.2155965123383795E-12</v>
      </c>
      <c r="O16" s="66" t="s">
        <v>18</v>
      </c>
      <c r="P16" s="66" t="s">
        <v>673</v>
      </c>
      <c r="Q16" s="66" t="s">
        <v>974</v>
      </c>
      <c r="R16" s="28" t="s">
        <v>25</v>
      </c>
    </row>
    <row r="17" spans="1:18" s="15" customFormat="1" ht="24.95" customHeight="1" x14ac:dyDescent="0.25">
      <c r="A17" s="274">
        <v>6</v>
      </c>
      <c r="B17" s="10" t="s">
        <v>50</v>
      </c>
      <c r="C17" s="33">
        <v>335.82</v>
      </c>
      <c r="D17" s="56">
        <v>326.60000000000002</v>
      </c>
      <c r="E17" s="56">
        <v>326.60000000000002</v>
      </c>
      <c r="F17" s="56">
        <v>15.72</v>
      </c>
      <c r="G17" s="33">
        <v>111.2</v>
      </c>
      <c r="H17" s="11">
        <f t="shared" si="0"/>
        <v>1.048132271892223</v>
      </c>
      <c r="I17" s="33">
        <v>1748.06</v>
      </c>
      <c r="J17" s="56">
        <v>3.02</v>
      </c>
      <c r="K17" s="12">
        <f t="shared" si="1"/>
        <v>9.246785058175137E-3</v>
      </c>
      <c r="L17" s="275">
        <f t="shared" si="2"/>
        <v>12.700000000000028</v>
      </c>
      <c r="M17" s="13">
        <f t="shared" si="3"/>
        <v>3.8885486834047849E-2</v>
      </c>
      <c r="N17" s="276">
        <f t="shared" si="4"/>
        <v>1412.2400000000032</v>
      </c>
      <c r="O17" s="66" t="s">
        <v>584</v>
      </c>
      <c r="P17" s="66" t="s">
        <v>672</v>
      </c>
      <c r="Q17" s="66" t="s">
        <v>975</v>
      </c>
      <c r="R17" s="28" t="s">
        <v>49</v>
      </c>
    </row>
    <row r="18" spans="1:18" s="57" customFormat="1" ht="24.95" customHeight="1" x14ac:dyDescent="0.25">
      <c r="A18" s="277">
        <v>7</v>
      </c>
      <c r="B18" s="10" t="s">
        <v>45</v>
      </c>
      <c r="C18" s="33">
        <v>197.36</v>
      </c>
      <c r="D18" s="56">
        <v>68.819999999999993</v>
      </c>
      <c r="E18" s="56">
        <v>68.819999999999993</v>
      </c>
      <c r="F18" s="56">
        <v>2.3199999999999998</v>
      </c>
      <c r="G18" s="33">
        <v>318.32</v>
      </c>
      <c r="H18" s="11">
        <f t="shared" si="0"/>
        <v>1.0337111304853239</v>
      </c>
      <c r="I18" s="33">
        <v>738.5</v>
      </c>
      <c r="J18" s="56">
        <v>0.62</v>
      </c>
      <c r="K18" s="12">
        <f t="shared" si="1"/>
        <v>9.0090090090090107E-3</v>
      </c>
      <c r="L18" s="275">
        <f t="shared" si="2"/>
        <v>1.6999999999999931</v>
      </c>
      <c r="M18" s="13">
        <f t="shared" si="3"/>
        <v>2.4702121476314925E-2</v>
      </c>
      <c r="N18" s="276">
        <f t="shared" si="4"/>
        <v>541.14399999999773</v>
      </c>
      <c r="O18" s="66" t="s">
        <v>584</v>
      </c>
      <c r="P18" s="66" t="s">
        <v>672</v>
      </c>
      <c r="Q18" s="66" t="s">
        <v>67</v>
      </c>
      <c r="R18" s="28" t="s">
        <v>76</v>
      </c>
    </row>
    <row r="19" spans="1:18" s="15" customFormat="1" ht="24.95" customHeight="1" x14ac:dyDescent="0.25">
      <c r="A19" s="274">
        <v>8</v>
      </c>
      <c r="B19" s="10" t="s">
        <v>730</v>
      </c>
      <c r="C19" s="33">
        <v>197.01</v>
      </c>
      <c r="D19" s="56">
        <v>12.26</v>
      </c>
      <c r="E19" s="56">
        <v>12.26</v>
      </c>
      <c r="F19" s="56">
        <v>1.22</v>
      </c>
      <c r="G19" s="33">
        <v>469.08</v>
      </c>
      <c r="H19" s="11">
        <f t="shared" si="0"/>
        <v>1.0995106035889071</v>
      </c>
      <c r="I19" s="33">
        <v>572.28</v>
      </c>
      <c r="J19" s="56">
        <v>0.42</v>
      </c>
      <c r="K19" s="12">
        <f t="shared" si="1"/>
        <v>3.4257748776508973E-2</v>
      </c>
      <c r="L19" s="275">
        <f t="shared" si="2"/>
        <v>0.80000000000000071</v>
      </c>
      <c r="M19" s="13">
        <f t="shared" si="3"/>
        <v>6.5252854812398106E-2</v>
      </c>
      <c r="N19" s="276">
        <f t="shared" si="4"/>
        <v>375.26400000000029</v>
      </c>
      <c r="O19" s="66" t="s">
        <v>18</v>
      </c>
      <c r="P19" s="66" t="s">
        <v>673</v>
      </c>
      <c r="Q19" s="66" t="s">
        <v>583</v>
      </c>
      <c r="R19" s="28" t="s">
        <v>51</v>
      </c>
    </row>
    <row r="20" spans="1:18" s="15" customFormat="1" ht="24.95" customHeight="1" x14ac:dyDescent="0.25">
      <c r="A20" s="277">
        <v>9</v>
      </c>
      <c r="B20" s="10" t="s">
        <v>53</v>
      </c>
      <c r="C20" s="33">
        <v>197</v>
      </c>
      <c r="D20" s="56">
        <v>63.47</v>
      </c>
      <c r="E20" s="56">
        <v>63.47</v>
      </c>
      <c r="F20" s="56">
        <v>2.76</v>
      </c>
      <c r="G20" s="33">
        <v>333.9</v>
      </c>
      <c r="H20" s="11">
        <f t="shared" si="0"/>
        <v>1.043485111076099</v>
      </c>
      <c r="I20" s="33">
        <v>921.56</v>
      </c>
      <c r="J20" s="56">
        <v>0.59</v>
      </c>
      <c r="K20" s="12">
        <f t="shared" si="1"/>
        <v>9.2957302662675274E-3</v>
      </c>
      <c r="L20" s="275">
        <f t="shared" si="2"/>
        <v>2.1700000000000053</v>
      </c>
      <c r="M20" s="13">
        <f t="shared" si="3"/>
        <v>3.4189380809831499E-2</v>
      </c>
      <c r="N20" s="276">
        <f t="shared" si="4"/>
        <v>724.56300000000169</v>
      </c>
      <c r="O20" s="66" t="s">
        <v>584</v>
      </c>
      <c r="P20" s="66" t="s">
        <v>672</v>
      </c>
      <c r="Q20" s="66" t="s">
        <v>67</v>
      </c>
      <c r="R20" s="28" t="s">
        <v>78</v>
      </c>
    </row>
    <row r="21" spans="1:18" s="15" customFormat="1" ht="24.95" customHeight="1" thickBot="1" x14ac:dyDescent="0.3">
      <c r="A21" s="278">
        <v>10</v>
      </c>
      <c r="B21" s="16" t="s">
        <v>116</v>
      </c>
      <c r="C21" s="34">
        <v>196.89</v>
      </c>
      <c r="D21" s="58">
        <v>45.33</v>
      </c>
      <c r="E21" s="58">
        <v>45.33</v>
      </c>
      <c r="F21" s="58">
        <v>4.53</v>
      </c>
      <c r="G21" s="34">
        <v>149.16</v>
      </c>
      <c r="H21" s="17">
        <f t="shared" si="0"/>
        <v>1.0999338186631371</v>
      </c>
      <c r="I21" s="34">
        <v>675.69</v>
      </c>
      <c r="J21" s="58">
        <v>1.32</v>
      </c>
      <c r="K21" s="18">
        <f t="shared" si="1"/>
        <v>2.911978821972204E-2</v>
      </c>
      <c r="L21" s="279">
        <f t="shared" si="2"/>
        <v>3.2100000000000009</v>
      </c>
      <c r="M21" s="19">
        <f t="shared" si="3"/>
        <v>7.0814030443414985E-2</v>
      </c>
      <c r="N21" s="280">
        <f t="shared" si="4"/>
        <v>478.80360000000013</v>
      </c>
      <c r="O21" s="64" t="s">
        <v>584</v>
      </c>
      <c r="P21" s="64" t="s">
        <v>672</v>
      </c>
      <c r="Q21" s="64" t="s">
        <v>891</v>
      </c>
      <c r="R21" s="29" t="s">
        <v>25</v>
      </c>
    </row>
    <row r="22" spans="1:18" s="62" customFormat="1" ht="24.95" customHeight="1" thickBot="1" x14ac:dyDescent="0.3">
      <c r="A22" s="281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82"/>
      <c r="M22" s="30"/>
      <c r="N22" s="283"/>
      <c r="O22" s="61"/>
      <c r="P22" s="61"/>
      <c r="Q22" s="61"/>
      <c r="R22" s="59"/>
    </row>
    <row r="23" spans="1:18" s="62" customFormat="1" ht="40.5" customHeight="1" x14ac:dyDescent="0.25">
      <c r="A23" s="443" t="s">
        <v>878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860</v>
      </c>
      <c r="B24" s="447"/>
      <c r="C24" s="447"/>
      <c r="D24" s="447" t="s">
        <v>861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879</v>
      </c>
      <c r="P24" s="457" t="s">
        <v>880</v>
      </c>
      <c r="Q24" s="456" t="s">
        <v>862</v>
      </c>
      <c r="R24" s="668" t="s">
        <v>863</v>
      </c>
    </row>
    <row r="25" spans="1:18" s="62" customFormat="1" ht="24.95" customHeight="1" x14ac:dyDescent="0.25">
      <c r="A25" s="669" t="s">
        <v>881</v>
      </c>
      <c r="B25" s="461" t="s">
        <v>864</v>
      </c>
      <c r="C25" s="462"/>
      <c r="D25" s="463" t="s">
        <v>865</v>
      </c>
      <c r="E25" s="463"/>
      <c r="F25" s="463"/>
      <c r="G25" s="463"/>
      <c r="H25" s="463"/>
      <c r="I25" s="463"/>
      <c r="J25" s="464" t="s">
        <v>866</v>
      </c>
      <c r="K25" s="464"/>
      <c r="L25" s="464"/>
      <c r="M25" s="465"/>
      <c r="N25" s="465"/>
      <c r="O25" s="456"/>
      <c r="P25" s="456"/>
      <c r="Q25" s="456"/>
      <c r="R25" s="668"/>
    </row>
    <row r="26" spans="1:18" s="62" customFormat="1" ht="24.95" customHeight="1" x14ac:dyDescent="0.3">
      <c r="A26" s="670"/>
      <c r="B26" s="672" t="s">
        <v>784</v>
      </c>
      <c r="C26" s="674" t="s">
        <v>882</v>
      </c>
      <c r="D26" s="676" t="s">
        <v>883</v>
      </c>
      <c r="E26" s="676"/>
      <c r="F26" s="676"/>
      <c r="G26" s="676"/>
      <c r="H26" s="676"/>
      <c r="I26" s="676"/>
      <c r="J26" s="677" t="s">
        <v>236</v>
      </c>
      <c r="K26" s="678"/>
      <c r="L26" s="679"/>
      <c r="M26" s="677" t="s">
        <v>459</v>
      </c>
      <c r="N26" s="679"/>
      <c r="O26" s="456"/>
      <c r="P26" s="456"/>
      <c r="Q26" s="456"/>
      <c r="R26" s="668"/>
    </row>
    <row r="27" spans="1:18" s="62" customFormat="1" ht="50.1" customHeight="1" x14ac:dyDescent="0.25">
      <c r="A27" s="671"/>
      <c r="B27" s="673"/>
      <c r="C27" s="675"/>
      <c r="D27" s="271" t="s">
        <v>870</v>
      </c>
      <c r="E27" s="271" t="s">
        <v>884</v>
      </c>
      <c r="F27" s="271" t="s">
        <v>785</v>
      </c>
      <c r="G27" s="271" t="s">
        <v>872</v>
      </c>
      <c r="H27" s="271" t="s">
        <v>873</v>
      </c>
      <c r="I27" s="271" t="s">
        <v>793</v>
      </c>
      <c r="J27" s="272" t="s">
        <v>875</v>
      </c>
      <c r="K27" s="272" t="s">
        <v>876</v>
      </c>
      <c r="L27" s="273" t="s">
        <v>877</v>
      </c>
      <c r="M27" s="272" t="s">
        <v>875</v>
      </c>
      <c r="N27" s="272" t="s">
        <v>876</v>
      </c>
      <c r="O27" s="456"/>
      <c r="P27" s="456"/>
      <c r="Q27" s="456"/>
      <c r="R27" s="668"/>
    </row>
    <row r="28" spans="1:18" s="62" customFormat="1" ht="24.95" customHeight="1" x14ac:dyDescent="0.25">
      <c r="A28" s="274">
        <v>1</v>
      </c>
      <c r="B28" s="10" t="s">
        <v>542</v>
      </c>
      <c r="C28" s="33">
        <v>2252.8000000000002</v>
      </c>
      <c r="D28" s="56">
        <v>179.55</v>
      </c>
      <c r="E28" s="56">
        <v>179.55</v>
      </c>
      <c r="F28" s="56">
        <v>17.03</v>
      </c>
      <c r="G28" s="33">
        <v>194.04</v>
      </c>
      <c r="H28" s="35">
        <f t="shared" ref="H28:H37" si="5">(E28+F28)/D28</f>
        <v>1.094848231690337</v>
      </c>
      <c r="I28" s="33">
        <v>3304.5</v>
      </c>
      <c r="J28" s="56">
        <v>5.42</v>
      </c>
      <c r="K28" s="12">
        <f t="shared" ref="K28:K37" si="6">J28/D28</f>
        <v>3.0186577554998605E-2</v>
      </c>
      <c r="L28" s="276">
        <f t="shared" ref="L28:L37" si="7">J28*G28</f>
        <v>1051.6967999999999</v>
      </c>
      <c r="M28" s="275">
        <f t="shared" ref="M28:M37" si="8">((E28+F28)-D28)-J28</f>
        <v>11.610000000000001</v>
      </c>
      <c r="N28" s="13">
        <f t="shared" ref="N28:N37" si="9">M28/D28</f>
        <v>6.4661654135338351E-2</v>
      </c>
      <c r="O28" s="69" t="s">
        <v>22</v>
      </c>
      <c r="P28" s="14" t="s">
        <v>672</v>
      </c>
      <c r="Q28" s="14" t="s">
        <v>84</v>
      </c>
      <c r="R28" s="28" t="s">
        <v>543</v>
      </c>
    </row>
    <row r="29" spans="1:18" s="62" customFormat="1" ht="24.75" customHeight="1" x14ac:dyDescent="0.25">
      <c r="A29" s="277">
        <v>2</v>
      </c>
      <c r="B29" s="10" t="s">
        <v>90</v>
      </c>
      <c r="C29" s="33">
        <v>1502.38</v>
      </c>
      <c r="D29" s="56">
        <v>131.88</v>
      </c>
      <c r="E29" s="56">
        <v>131.88</v>
      </c>
      <c r="F29" s="56">
        <v>13.1</v>
      </c>
      <c r="G29" s="33">
        <v>166.56</v>
      </c>
      <c r="H29" s="35">
        <f t="shared" si="5"/>
        <v>1.0993327267212618</v>
      </c>
      <c r="I29" s="33">
        <v>2181.94</v>
      </c>
      <c r="J29" s="56">
        <v>4.08</v>
      </c>
      <c r="K29" s="12">
        <f t="shared" si="6"/>
        <v>3.0937215650591449E-2</v>
      </c>
      <c r="L29" s="276">
        <f t="shared" si="7"/>
        <v>679.56479999999999</v>
      </c>
      <c r="M29" s="275">
        <f t="shared" si="8"/>
        <v>9.0199999999999942</v>
      </c>
      <c r="N29" s="13">
        <f t="shared" si="9"/>
        <v>6.8395511070670267E-2</v>
      </c>
      <c r="O29" s="69" t="s">
        <v>22</v>
      </c>
      <c r="P29" s="14" t="s">
        <v>672</v>
      </c>
      <c r="Q29" s="14" t="s">
        <v>84</v>
      </c>
      <c r="R29" s="28" t="s">
        <v>89</v>
      </c>
    </row>
    <row r="30" spans="1:18" s="62" customFormat="1" ht="24.95" customHeight="1" x14ac:dyDescent="0.25">
      <c r="A30" s="277">
        <v>3</v>
      </c>
      <c r="B30" s="10" t="s">
        <v>50</v>
      </c>
      <c r="C30" s="33">
        <v>1412.24</v>
      </c>
      <c r="D30" s="56">
        <v>326.60000000000002</v>
      </c>
      <c r="E30" s="56">
        <v>326.60000000000002</v>
      </c>
      <c r="F30" s="56">
        <v>15.72</v>
      </c>
      <c r="G30" s="33">
        <v>111.2</v>
      </c>
      <c r="H30" s="35">
        <f t="shared" si="5"/>
        <v>1.048132271892223</v>
      </c>
      <c r="I30" s="33">
        <v>1748.06</v>
      </c>
      <c r="J30" s="32">
        <v>3.02</v>
      </c>
      <c r="K30" s="12">
        <f t="shared" si="6"/>
        <v>9.246785058175137E-3</v>
      </c>
      <c r="L30" s="276">
        <f t="shared" si="7"/>
        <v>335.82400000000001</v>
      </c>
      <c r="M30" s="275">
        <f t="shared" si="8"/>
        <v>12.700000000000028</v>
      </c>
      <c r="N30" s="13">
        <f t="shared" si="9"/>
        <v>3.8885486834047849E-2</v>
      </c>
      <c r="O30" s="69" t="s">
        <v>22</v>
      </c>
      <c r="P30" s="14" t="s">
        <v>672</v>
      </c>
      <c r="Q30" s="14" t="s">
        <v>84</v>
      </c>
      <c r="R30" s="28" t="s">
        <v>49</v>
      </c>
    </row>
    <row r="31" spans="1:18" s="62" customFormat="1" ht="24.95" customHeight="1" x14ac:dyDescent="0.25">
      <c r="A31" s="274">
        <v>4</v>
      </c>
      <c r="B31" s="10" t="s">
        <v>706</v>
      </c>
      <c r="C31" s="33">
        <v>1151.7099999999998</v>
      </c>
      <c r="D31" s="56">
        <v>249.57</v>
      </c>
      <c r="E31" s="56">
        <v>249.57</v>
      </c>
      <c r="F31" s="56">
        <v>14.14</v>
      </c>
      <c r="G31" s="33">
        <v>95.34</v>
      </c>
      <c r="H31" s="35">
        <f t="shared" si="5"/>
        <v>1.0566574508154025</v>
      </c>
      <c r="I31" s="33">
        <v>1348.11</v>
      </c>
      <c r="J31" s="56">
        <v>2.06</v>
      </c>
      <c r="K31" s="12">
        <f t="shared" si="6"/>
        <v>8.2541972192170538E-3</v>
      </c>
      <c r="L31" s="276">
        <f t="shared" si="7"/>
        <v>196.40040000000002</v>
      </c>
      <c r="M31" s="275">
        <f t="shared" si="8"/>
        <v>12.079999999999986</v>
      </c>
      <c r="N31" s="13">
        <f t="shared" si="9"/>
        <v>4.8403253596185386E-2</v>
      </c>
      <c r="O31" s="69" t="s">
        <v>22</v>
      </c>
      <c r="P31" s="14" t="s">
        <v>672</v>
      </c>
      <c r="Q31" s="14" t="s">
        <v>84</v>
      </c>
      <c r="R31" s="28" t="s">
        <v>25</v>
      </c>
    </row>
    <row r="32" spans="1:18" s="62" customFormat="1" ht="24.95" customHeight="1" x14ac:dyDescent="0.25">
      <c r="A32" s="277">
        <v>5</v>
      </c>
      <c r="B32" s="10" t="s">
        <v>40</v>
      </c>
      <c r="C32" s="33">
        <v>901.68000000000006</v>
      </c>
      <c r="D32" s="56">
        <v>213.14</v>
      </c>
      <c r="E32" s="56">
        <v>213.14</v>
      </c>
      <c r="F32" s="56">
        <v>14.07</v>
      </c>
      <c r="G32" s="33">
        <v>78</v>
      </c>
      <c r="H32" s="35">
        <f t="shared" si="5"/>
        <v>1.0660129492352444</v>
      </c>
      <c r="I32" s="33">
        <v>1097.46</v>
      </c>
      <c r="J32" s="56">
        <v>2.5099999999999998</v>
      </c>
      <c r="K32" s="12">
        <f t="shared" si="6"/>
        <v>1.1776297269400394E-2</v>
      </c>
      <c r="L32" s="276">
        <f t="shared" si="7"/>
        <v>195.77999999999997</v>
      </c>
      <c r="M32" s="275">
        <f t="shared" si="8"/>
        <v>11.559999999999993</v>
      </c>
      <c r="N32" s="13">
        <f t="shared" si="9"/>
        <v>5.423665196584402E-2</v>
      </c>
      <c r="O32" s="69" t="s">
        <v>22</v>
      </c>
      <c r="P32" s="14" t="s">
        <v>672</v>
      </c>
      <c r="Q32" s="14" t="s">
        <v>891</v>
      </c>
      <c r="R32" s="28" t="s">
        <v>25</v>
      </c>
    </row>
    <row r="33" spans="1:18" s="62" customFormat="1" ht="24.95" customHeight="1" x14ac:dyDescent="0.25">
      <c r="A33" s="274">
        <v>6</v>
      </c>
      <c r="B33" s="10" t="s">
        <v>46</v>
      </c>
      <c r="C33" s="33">
        <v>901.45</v>
      </c>
      <c r="D33" s="56">
        <v>20.46</v>
      </c>
      <c r="E33" s="56">
        <v>20.46</v>
      </c>
      <c r="F33" s="56">
        <v>1.08</v>
      </c>
      <c r="G33" s="33">
        <v>1012.86</v>
      </c>
      <c r="H33" s="35">
        <f t="shared" si="5"/>
        <v>1.0527859237536656</v>
      </c>
      <c r="I33" s="33">
        <v>1093.8900000000001</v>
      </c>
      <c r="J33" s="56">
        <v>0.19</v>
      </c>
      <c r="K33" s="12">
        <f t="shared" si="6"/>
        <v>9.2864125122189643E-3</v>
      </c>
      <c r="L33" s="276">
        <f t="shared" si="7"/>
        <v>192.4434</v>
      </c>
      <c r="M33" s="275">
        <f t="shared" si="8"/>
        <v>0.88999999999999835</v>
      </c>
      <c r="N33" s="13">
        <f t="shared" si="9"/>
        <v>4.3499511241446645E-2</v>
      </c>
      <c r="O33" s="69" t="s">
        <v>22</v>
      </c>
      <c r="P33" s="14" t="s">
        <v>672</v>
      </c>
      <c r="Q33" s="14" t="s">
        <v>901</v>
      </c>
      <c r="R33" s="28" t="s">
        <v>76</v>
      </c>
    </row>
    <row r="34" spans="1:18" s="62" customFormat="1" ht="24.95" customHeight="1" x14ac:dyDescent="0.25">
      <c r="A34" s="277">
        <v>7</v>
      </c>
      <c r="B34" s="10" t="s">
        <v>35</v>
      </c>
      <c r="C34" s="33">
        <v>877.7399999999999</v>
      </c>
      <c r="D34" s="56">
        <v>91.48</v>
      </c>
      <c r="E34" s="56">
        <v>91.48</v>
      </c>
      <c r="F34" s="56">
        <v>2.62</v>
      </c>
      <c r="G34" s="33">
        <v>410.16</v>
      </c>
      <c r="H34" s="35">
        <f t="shared" si="5"/>
        <v>1.0286401399212943</v>
      </c>
      <c r="I34" s="33">
        <v>1074.6199999999999</v>
      </c>
      <c r="J34" s="56">
        <v>0.48</v>
      </c>
      <c r="K34" s="12">
        <f t="shared" si="6"/>
        <v>5.2470485351989501E-3</v>
      </c>
      <c r="L34" s="276">
        <f t="shared" si="7"/>
        <v>196.8768</v>
      </c>
      <c r="M34" s="275">
        <f t="shared" si="8"/>
        <v>2.1400000000000046</v>
      </c>
      <c r="N34" s="13">
        <f t="shared" si="9"/>
        <v>2.3393091386095369E-2</v>
      </c>
      <c r="O34" s="69" t="s">
        <v>22</v>
      </c>
      <c r="P34" s="14" t="s">
        <v>672</v>
      </c>
      <c r="Q34" s="14" t="s">
        <v>67</v>
      </c>
      <c r="R34" s="28" t="s">
        <v>25</v>
      </c>
    </row>
    <row r="35" spans="1:18" s="62" customFormat="1" ht="24.95" customHeight="1" x14ac:dyDescent="0.25">
      <c r="A35" s="274">
        <v>8</v>
      </c>
      <c r="B35" s="10" t="s">
        <v>41</v>
      </c>
      <c r="C35" s="33">
        <v>876.51</v>
      </c>
      <c r="D35" s="56">
        <v>136.72999999999999</v>
      </c>
      <c r="E35" s="56">
        <v>136.72999999999999</v>
      </c>
      <c r="F35" s="56">
        <v>8.42</v>
      </c>
      <c r="G35" s="33">
        <v>127.4</v>
      </c>
      <c r="H35" s="35">
        <f t="shared" si="5"/>
        <v>1.0615812184597382</v>
      </c>
      <c r="I35" s="33">
        <v>1072.71</v>
      </c>
      <c r="J35" s="56">
        <v>1.54</v>
      </c>
      <c r="K35" s="12">
        <f t="shared" si="6"/>
        <v>1.1263073209975867E-2</v>
      </c>
      <c r="L35" s="276">
        <f t="shared" si="7"/>
        <v>196.19600000000003</v>
      </c>
      <c r="M35" s="275">
        <f t="shared" si="8"/>
        <v>6.8799999999999875</v>
      </c>
      <c r="N35" s="13">
        <f t="shared" si="9"/>
        <v>5.0318145249762219E-2</v>
      </c>
      <c r="O35" s="69" t="s">
        <v>22</v>
      </c>
      <c r="P35" s="14" t="s">
        <v>672</v>
      </c>
      <c r="Q35" s="14" t="s">
        <v>84</v>
      </c>
      <c r="R35" s="28" t="s">
        <v>25</v>
      </c>
    </row>
    <row r="36" spans="1:18" s="62" customFormat="1" ht="24.95" customHeight="1" x14ac:dyDescent="0.25">
      <c r="A36" s="277">
        <v>9</v>
      </c>
      <c r="B36" s="10" t="s">
        <v>788</v>
      </c>
      <c r="C36" s="33">
        <v>835.5</v>
      </c>
      <c r="D36" s="56">
        <v>66.06</v>
      </c>
      <c r="E36" s="56">
        <v>66.06</v>
      </c>
      <c r="F36" s="56">
        <v>11.38</v>
      </c>
      <c r="G36" s="33">
        <v>114.14</v>
      </c>
      <c r="H36" s="35">
        <f t="shared" si="5"/>
        <v>1.1722676354828943</v>
      </c>
      <c r="I36" s="33">
        <v>1298.9100000000001</v>
      </c>
      <c r="J36" s="56">
        <v>4.0599999999999996</v>
      </c>
      <c r="K36" s="12">
        <f t="shared" si="6"/>
        <v>6.1459279442930663E-2</v>
      </c>
      <c r="L36" s="276">
        <f t="shared" si="7"/>
        <v>463.40839999999997</v>
      </c>
      <c r="M36" s="275">
        <f t="shared" si="8"/>
        <v>7.3199999999999958</v>
      </c>
      <c r="N36" s="13">
        <f t="shared" si="9"/>
        <v>0.1108083560399636</v>
      </c>
      <c r="O36" s="69" t="s">
        <v>22</v>
      </c>
      <c r="P36" s="14" t="s">
        <v>672</v>
      </c>
      <c r="Q36" s="14" t="s">
        <v>84</v>
      </c>
      <c r="R36" s="28" t="s">
        <v>789</v>
      </c>
    </row>
    <row r="37" spans="1:18" s="62" customFormat="1" ht="24.95" customHeight="1" thickBot="1" x14ac:dyDescent="0.3">
      <c r="A37" s="278">
        <v>10</v>
      </c>
      <c r="B37" s="16" t="s">
        <v>885</v>
      </c>
      <c r="C37" s="34">
        <v>784.07</v>
      </c>
      <c r="D37" s="58">
        <v>448.35</v>
      </c>
      <c r="E37" s="58">
        <v>448.35</v>
      </c>
      <c r="F37" s="58">
        <v>16.55</v>
      </c>
      <c r="G37" s="34">
        <v>59.22</v>
      </c>
      <c r="H37" s="36">
        <f t="shared" si="5"/>
        <v>1.0369131259061002</v>
      </c>
      <c r="I37" s="34">
        <v>980.09</v>
      </c>
      <c r="J37" s="58">
        <v>3.31</v>
      </c>
      <c r="K37" s="18">
        <f t="shared" si="6"/>
        <v>7.3826251812200289E-3</v>
      </c>
      <c r="L37" s="280">
        <f t="shared" si="7"/>
        <v>196.01820000000001</v>
      </c>
      <c r="M37" s="279">
        <f t="shared" si="8"/>
        <v>13.240000000000011</v>
      </c>
      <c r="N37" s="19">
        <f t="shared" si="9"/>
        <v>2.953050072488014E-2</v>
      </c>
      <c r="O37" s="52" t="s">
        <v>22</v>
      </c>
      <c r="P37" s="20" t="s">
        <v>672</v>
      </c>
      <c r="Q37" s="20" t="s">
        <v>892</v>
      </c>
      <c r="R37" s="65" t="s">
        <v>886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887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860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665" t="s">
        <v>881</v>
      </c>
      <c r="B41" s="450" t="s">
        <v>864</v>
      </c>
      <c r="C41" s="450"/>
      <c r="D41" s="451"/>
      <c r="E41" s="23"/>
      <c r="G41" s="21"/>
      <c r="H41" s="22"/>
    </row>
    <row r="42" spans="1:18" ht="20.45" customHeight="1" x14ac:dyDescent="0.35">
      <c r="A42" s="665"/>
      <c r="B42" s="666" t="s">
        <v>867</v>
      </c>
      <c r="C42" s="667" t="s">
        <v>888</v>
      </c>
      <c r="D42" s="668" t="s">
        <v>790</v>
      </c>
      <c r="E42" s="23"/>
      <c r="G42" s="21"/>
      <c r="H42" s="22"/>
    </row>
    <row r="43" spans="1:18" ht="20.45" customHeight="1" x14ac:dyDescent="0.35">
      <c r="A43" s="665"/>
      <c r="B43" s="666"/>
      <c r="C43" s="667"/>
      <c r="D43" s="668"/>
      <c r="E43" s="23"/>
      <c r="G43" s="21"/>
      <c r="H43" s="22"/>
    </row>
    <row r="44" spans="1:18" s="26" customFormat="1" ht="24.95" customHeight="1" x14ac:dyDescent="0.35">
      <c r="A44" s="284">
        <v>1</v>
      </c>
      <c r="B44" s="10" t="s">
        <v>786</v>
      </c>
      <c r="C44" s="33">
        <v>519.27</v>
      </c>
      <c r="D44" s="24">
        <f t="shared" ref="D44:D53" si="10">C44/$L$5</f>
        <v>7.8802162214661395E-2</v>
      </c>
      <c r="E44" s="25"/>
      <c r="G44" s="21"/>
      <c r="H44" s="22"/>
    </row>
    <row r="45" spans="1:18" s="26" customFormat="1" ht="24.95" customHeight="1" x14ac:dyDescent="0.35">
      <c r="A45" s="285">
        <v>2</v>
      </c>
      <c r="B45" s="10" t="s">
        <v>787</v>
      </c>
      <c r="C45" s="33">
        <v>383.61</v>
      </c>
      <c r="D45" s="24">
        <f t="shared" si="10"/>
        <v>5.8214989210172471E-2</v>
      </c>
      <c r="E45" s="25"/>
      <c r="G45" s="21"/>
      <c r="H45" s="22"/>
    </row>
    <row r="46" spans="1:18" s="26" customFormat="1" ht="24.95" customHeight="1" x14ac:dyDescent="0.35">
      <c r="A46" s="285">
        <v>3</v>
      </c>
      <c r="B46" s="10" t="s">
        <v>116</v>
      </c>
      <c r="C46" s="33">
        <v>196.89</v>
      </c>
      <c r="D46" s="24">
        <f t="shared" si="10"/>
        <v>2.9879172142516765E-2</v>
      </c>
      <c r="E46" s="25"/>
      <c r="G46" s="21"/>
      <c r="H46" s="22"/>
    </row>
    <row r="47" spans="1:18" s="26" customFormat="1" ht="24.95" customHeight="1" x14ac:dyDescent="0.35">
      <c r="A47" s="284">
        <v>4</v>
      </c>
      <c r="B47" s="10" t="s">
        <v>35</v>
      </c>
      <c r="C47" s="33">
        <v>196.88</v>
      </c>
      <c r="D47" s="24">
        <f t="shared" si="10"/>
        <v>2.9877654585904318E-2</v>
      </c>
      <c r="E47" s="25"/>
      <c r="G47" s="21"/>
      <c r="H47" s="22"/>
    </row>
    <row r="48" spans="1:18" s="26" customFormat="1" ht="24.95" customHeight="1" x14ac:dyDescent="0.35">
      <c r="A48" s="285">
        <v>5</v>
      </c>
      <c r="B48" s="10" t="s">
        <v>567</v>
      </c>
      <c r="C48" s="33">
        <v>196.58</v>
      </c>
      <c r="D48" s="24">
        <f t="shared" si="10"/>
        <v>2.9832127887530837E-2</v>
      </c>
      <c r="E48" s="25"/>
      <c r="G48" s="21"/>
      <c r="H48" s="22"/>
    </row>
    <row r="49" spans="1:5" s="26" customFormat="1" ht="24.95" customHeight="1" x14ac:dyDescent="0.25">
      <c r="A49" s="284">
        <v>6</v>
      </c>
      <c r="B49" s="10" t="s">
        <v>59</v>
      </c>
      <c r="C49" s="33">
        <v>196.53</v>
      </c>
      <c r="D49" s="24">
        <f t="shared" si="10"/>
        <v>2.982454010446859E-2</v>
      </c>
      <c r="E49" s="25"/>
    </row>
    <row r="50" spans="1:5" s="26" customFormat="1" ht="24.95" customHeight="1" x14ac:dyDescent="0.25">
      <c r="A50" s="285">
        <v>7</v>
      </c>
      <c r="B50" s="10" t="s">
        <v>342</v>
      </c>
      <c r="C50" s="33">
        <v>196.51</v>
      </c>
      <c r="D50" s="24">
        <f t="shared" si="10"/>
        <v>2.982150499124369E-2</v>
      </c>
      <c r="E50" s="25"/>
    </row>
    <row r="51" spans="1:5" s="26" customFormat="1" ht="24.95" customHeight="1" x14ac:dyDescent="0.25">
      <c r="A51" s="284">
        <v>8</v>
      </c>
      <c r="B51" s="10" t="s">
        <v>706</v>
      </c>
      <c r="C51" s="33">
        <v>196.4</v>
      </c>
      <c r="D51" s="24">
        <f t="shared" si="10"/>
        <v>2.9804811868506746E-2</v>
      </c>
      <c r="E51" s="25"/>
    </row>
    <row r="52" spans="1:5" s="26" customFormat="1" ht="24.95" customHeight="1" x14ac:dyDescent="0.25">
      <c r="A52" s="285">
        <v>9</v>
      </c>
      <c r="B52" s="10" t="s">
        <v>60</v>
      </c>
      <c r="C52" s="33">
        <v>196.37</v>
      </c>
      <c r="D52" s="24">
        <f t="shared" si="10"/>
        <v>2.9800259198669399E-2</v>
      </c>
      <c r="E52" s="25"/>
    </row>
    <row r="53" spans="1:5" s="26" customFormat="1" ht="24.95" customHeight="1" thickBot="1" x14ac:dyDescent="0.3">
      <c r="A53" s="286">
        <v>10</v>
      </c>
      <c r="B53" s="16" t="s">
        <v>42</v>
      </c>
      <c r="C53" s="34">
        <v>196.27</v>
      </c>
      <c r="D53" s="27">
        <f t="shared" si="10"/>
        <v>2.9785083632544906E-2</v>
      </c>
      <c r="E53" s="25"/>
    </row>
    <row r="54" spans="1:5" x14ac:dyDescent="0.25">
      <c r="A54" s="441" t="s">
        <v>889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890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797" priority="33" operator="containsText" text="024">
      <formula>NOT(ISERROR(SEARCH("024",A12)))</formula>
    </cfRule>
    <cfRule type="containsText" dxfId="796" priority="34" operator="containsText" text="白醬">
      <formula>NOT(ISERROR(SEARCH("白醬",A12)))</formula>
    </cfRule>
    <cfRule type="containsText" dxfId="795" priority="35" operator="containsText" text="青蔥">
      <formula>NOT(ISERROR(SEARCH("青蔥",A12)))</formula>
    </cfRule>
    <cfRule type="containsText" dxfId="794" priority="36" operator="containsText" text=")川燙小青花菜">
      <formula>NOT(ISERROR(SEARCH(")川燙小青花菜",A12)))</formula>
    </cfRule>
    <cfRule type="containsText" dxfId="793" priority="37" operator="containsText" text="湯凍">
      <formula>NOT(ISERROR(SEARCH("湯凍",A12)))</formula>
    </cfRule>
    <cfRule type="containsText" dxfId="792" priority="38" operator="containsText" text="中華">
      <formula>NOT(ISERROR(SEARCH("中華",A12)))</formula>
    </cfRule>
  </conditionalFormatting>
  <conditionalFormatting sqref="A12:A22">
    <cfRule type="containsText" dxfId="791" priority="31" operator="containsText" text="綠豆芽">
      <formula>NOT(ISERROR(SEARCH("綠豆芽",A12)))</formula>
    </cfRule>
    <cfRule type="containsText" dxfId="790" priority="32" operator="containsText" text="煮白細麵生(方#12)">
      <formula>NOT(ISERROR(SEARCH("煮白細麵生(方#12)",A12)))</formula>
    </cfRule>
  </conditionalFormatting>
  <conditionalFormatting sqref="E5">
    <cfRule type="cellIs" dxfId="789" priority="16" operator="greaterThan">
      <formula>0.0025</formula>
    </cfRule>
    <cfRule type="cellIs" dxfId="788" priority="19" operator="greaterThan">
      <formula>0.0025</formula>
    </cfRule>
    <cfRule type="cellIs" dxfId="787" priority="29" operator="greaterThan">
      <formula>0.072</formula>
    </cfRule>
    <cfRule type="cellIs" dxfId="786" priority="30" operator="greaterThan">
      <formula>7.2</formula>
    </cfRule>
  </conditionalFormatting>
  <conditionalFormatting sqref="E5">
    <cfRule type="cellIs" dxfId="785" priority="28" operator="greaterThan">
      <formula>0.0025</formula>
    </cfRule>
  </conditionalFormatting>
  <conditionalFormatting sqref="A44:A53">
    <cfRule type="containsText" dxfId="784" priority="22" operator="containsText" text="024">
      <formula>NOT(ISERROR(SEARCH("024",A44)))</formula>
    </cfRule>
    <cfRule type="containsText" dxfId="783" priority="23" operator="containsText" text="白醬">
      <formula>NOT(ISERROR(SEARCH("白醬",A44)))</formula>
    </cfRule>
    <cfRule type="containsText" dxfId="782" priority="24" operator="containsText" text="青蔥">
      <formula>NOT(ISERROR(SEARCH("青蔥",A44)))</formula>
    </cfRule>
    <cfRule type="containsText" dxfId="781" priority="25" operator="containsText" text=")川燙小青花菜">
      <formula>NOT(ISERROR(SEARCH(")川燙小青花菜",A44)))</formula>
    </cfRule>
    <cfRule type="containsText" dxfId="780" priority="26" operator="containsText" text="湯凍">
      <formula>NOT(ISERROR(SEARCH("湯凍",A44)))</formula>
    </cfRule>
    <cfRule type="containsText" dxfId="779" priority="27" operator="containsText" text="中華">
      <formula>NOT(ISERROR(SEARCH("中華",A44)))</formula>
    </cfRule>
  </conditionalFormatting>
  <conditionalFormatting sqref="A44:A53">
    <cfRule type="containsText" dxfId="778" priority="20" operator="containsText" text="綠豆芽">
      <formula>NOT(ISERROR(SEARCH("綠豆芽",A44)))</formula>
    </cfRule>
    <cfRule type="containsText" dxfId="777" priority="21" operator="containsText" text="煮白細麵生(方#12)">
      <formula>NOT(ISERROR(SEARCH("煮白細麵生(方#12)",A44)))</formula>
    </cfRule>
  </conditionalFormatting>
  <conditionalFormatting sqref="D44:D53">
    <cfRule type="cellIs" dxfId="776" priority="18" operator="greaterThan">
      <formula>0.146</formula>
    </cfRule>
  </conditionalFormatting>
  <conditionalFormatting sqref="H12:H22">
    <cfRule type="cellIs" dxfId="775" priority="17" operator="greaterThan">
      <formula>1.1</formula>
    </cfRule>
  </conditionalFormatting>
  <conditionalFormatting sqref="I5">
    <cfRule type="cellIs" dxfId="774" priority="15" operator="greaterThan">
      <formula>0.2</formula>
    </cfRule>
  </conditionalFormatting>
  <conditionalFormatting sqref="A28:A37">
    <cfRule type="containsText" dxfId="773" priority="9" operator="containsText" text="024">
      <formula>NOT(ISERROR(SEARCH("024",A28)))</formula>
    </cfRule>
    <cfRule type="containsText" dxfId="772" priority="10" operator="containsText" text="白醬">
      <formula>NOT(ISERROR(SEARCH("白醬",A28)))</formula>
    </cfRule>
    <cfRule type="containsText" dxfId="771" priority="11" operator="containsText" text="青蔥">
      <formula>NOT(ISERROR(SEARCH("青蔥",A28)))</formula>
    </cfRule>
    <cfRule type="containsText" dxfId="770" priority="12" operator="containsText" text=")川燙小青花菜">
      <formula>NOT(ISERROR(SEARCH(")川燙小青花菜",A28)))</formula>
    </cfRule>
    <cfRule type="containsText" dxfId="769" priority="13" operator="containsText" text="湯凍">
      <formula>NOT(ISERROR(SEARCH("湯凍",A28)))</formula>
    </cfRule>
    <cfRule type="containsText" dxfId="768" priority="14" operator="containsText" text="中華">
      <formula>NOT(ISERROR(SEARCH("中華",A28)))</formula>
    </cfRule>
  </conditionalFormatting>
  <conditionalFormatting sqref="A28:A37">
    <cfRule type="containsText" dxfId="767" priority="7" operator="containsText" text="綠豆芽">
      <formula>NOT(ISERROR(SEARCH("綠豆芽",A28)))</formula>
    </cfRule>
    <cfRule type="containsText" dxfId="766" priority="8" operator="containsText" text="煮白細麵生(方#12)">
      <formula>NOT(ISERROR(SEARCH("煮白細麵生(方#12)",A28)))</formula>
    </cfRule>
  </conditionalFormatting>
  <conditionalFormatting sqref="H28:H37">
    <cfRule type="cellIs" dxfId="765" priority="6" operator="greaterThan">
      <formula>1.1</formula>
    </cfRule>
  </conditionalFormatting>
  <conditionalFormatting sqref="G5">
    <cfRule type="cellIs" dxfId="764" priority="1" operator="greaterThan">
      <formula>0.0025</formula>
    </cfRule>
    <cfRule type="cellIs" dxfId="763" priority="2" operator="greaterThan">
      <formula>0.0025</formula>
    </cfRule>
    <cfRule type="cellIs" dxfId="762" priority="4" operator="greaterThan">
      <formula>0.072</formula>
    </cfRule>
    <cfRule type="cellIs" dxfId="761" priority="5" operator="greaterThan">
      <formula>7.2</formula>
    </cfRule>
  </conditionalFormatting>
  <conditionalFormatting sqref="G5">
    <cfRule type="cellIs" dxfId="76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K7" zoomScale="55" zoomScaleNormal="55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686" t="s">
        <v>92</v>
      </c>
      <c r="B2" s="687"/>
      <c r="C2" s="269" t="s">
        <v>93</v>
      </c>
      <c r="D2" s="688" t="s">
        <v>94</v>
      </c>
      <c r="E2" s="688"/>
      <c r="F2" s="688" t="s">
        <v>95</v>
      </c>
      <c r="G2" s="688"/>
      <c r="H2" s="688" t="s">
        <v>94</v>
      </c>
      <c r="I2" s="688"/>
      <c r="J2" s="688" t="s">
        <v>95</v>
      </c>
      <c r="K2" s="688"/>
      <c r="L2" s="688" t="s">
        <v>94</v>
      </c>
      <c r="M2" s="689"/>
      <c r="R2" s="54"/>
    </row>
    <row r="3" spans="1:18" s="1" customFormat="1" ht="28.5" x14ac:dyDescent="0.45">
      <c r="A3" s="683" t="s">
        <v>794</v>
      </c>
      <c r="B3" s="684"/>
      <c r="C3" s="685">
        <v>6333786.3600000003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683"/>
      <c r="B4" s="684"/>
      <c r="C4" s="68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681" t="s">
        <v>105</v>
      </c>
      <c r="B5" s="682"/>
      <c r="C5" s="682"/>
      <c r="D5" s="270">
        <v>15433.27</v>
      </c>
      <c r="E5" s="5">
        <f>D5/C3</f>
        <v>2.436657809847568E-3</v>
      </c>
      <c r="F5" s="270">
        <v>54238.009999999995</v>
      </c>
      <c r="G5" s="44">
        <f>F5/C3</f>
        <v>8.563283779593726E-3</v>
      </c>
      <c r="H5" s="6">
        <f>SUM(C12:C21)</f>
        <v>4575.1135000000013</v>
      </c>
      <c r="I5" s="7">
        <f>H5/D5</f>
        <v>0.29644485582122265</v>
      </c>
      <c r="J5" s="6">
        <f>SUM(C28:C37)</f>
        <v>14483.2145</v>
      </c>
      <c r="K5" s="46">
        <f>J5/F5</f>
        <v>0.2670307133318498</v>
      </c>
      <c r="L5" s="268">
        <v>7981.86</v>
      </c>
      <c r="M5" s="9">
        <f>L5/D5</f>
        <v>0.51718527570631501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826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827</v>
      </c>
      <c r="B8" s="447"/>
      <c r="C8" s="447"/>
      <c r="D8" s="447" t="s">
        <v>828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221</v>
      </c>
      <c r="P8" s="457" t="s">
        <v>829</v>
      </c>
      <c r="Q8" s="456" t="s">
        <v>830</v>
      </c>
      <c r="R8" s="668" t="s">
        <v>244</v>
      </c>
    </row>
    <row r="9" spans="1:18" ht="20.45" customHeight="1" x14ac:dyDescent="0.25">
      <c r="A9" s="669" t="s">
        <v>831</v>
      </c>
      <c r="B9" s="461" t="s">
        <v>832</v>
      </c>
      <c r="C9" s="462"/>
      <c r="D9" s="463" t="s">
        <v>833</v>
      </c>
      <c r="E9" s="463"/>
      <c r="F9" s="463"/>
      <c r="G9" s="463"/>
      <c r="H9" s="463"/>
      <c r="I9" s="463"/>
      <c r="J9" s="464" t="s">
        <v>834</v>
      </c>
      <c r="K9" s="464"/>
      <c r="L9" s="464"/>
      <c r="M9" s="465"/>
      <c r="N9" s="465"/>
      <c r="O9" s="456"/>
      <c r="P9" s="456"/>
      <c r="Q9" s="456"/>
      <c r="R9" s="668"/>
    </row>
    <row r="10" spans="1:18" ht="20.45" customHeight="1" x14ac:dyDescent="0.3">
      <c r="A10" s="670"/>
      <c r="B10" s="672" t="s">
        <v>835</v>
      </c>
      <c r="C10" s="674" t="s">
        <v>836</v>
      </c>
      <c r="D10" s="676" t="s">
        <v>837</v>
      </c>
      <c r="E10" s="676"/>
      <c r="F10" s="676"/>
      <c r="G10" s="676"/>
      <c r="H10" s="676"/>
      <c r="I10" s="676"/>
      <c r="J10" s="677" t="s">
        <v>838</v>
      </c>
      <c r="K10" s="679"/>
      <c r="L10" s="680" t="s">
        <v>839</v>
      </c>
      <c r="M10" s="677"/>
      <c r="N10" s="677"/>
      <c r="O10" s="456"/>
      <c r="P10" s="456"/>
      <c r="Q10" s="456"/>
      <c r="R10" s="668"/>
    </row>
    <row r="11" spans="1:18" s="55" customFormat="1" ht="47.25" customHeight="1" x14ac:dyDescent="0.25">
      <c r="A11" s="671"/>
      <c r="B11" s="673"/>
      <c r="C11" s="675"/>
      <c r="D11" s="271" t="s">
        <v>840</v>
      </c>
      <c r="E11" s="271" t="s">
        <v>841</v>
      </c>
      <c r="F11" s="271" t="s">
        <v>842</v>
      </c>
      <c r="G11" s="271" t="s">
        <v>463</v>
      </c>
      <c r="H11" s="271" t="s">
        <v>843</v>
      </c>
      <c r="I11" s="271" t="s">
        <v>844</v>
      </c>
      <c r="J11" s="272" t="s">
        <v>845</v>
      </c>
      <c r="K11" s="272" t="s">
        <v>846</v>
      </c>
      <c r="L11" s="272" t="s">
        <v>845</v>
      </c>
      <c r="M11" s="272" t="s">
        <v>846</v>
      </c>
      <c r="N11" s="273" t="s">
        <v>847</v>
      </c>
      <c r="O11" s="456"/>
      <c r="P11" s="456"/>
      <c r="Q11" s="456"/>
      <c r="R11" s="668"/>
    </row>
    <row r="12" spans="1:18" s="15" customFormat="1" ht="24.95" customHeight="1" x14ac:dyDescent="0.25">
      <c r="A12" s="274">
        <v>1</v>
      </c>
      <c r="B12" s="10" t="s">
        <v>542</v>
      </c>
      <c r="C12" s="33">
        <v>1109.9087999999999</v>
      </c>
      <c r="D12" s="56">
        <v>185.07</v>
      </c>
      <c r="E12" s="56">
        <v>185.07</v>
      </c>
      <c r="F12" s="56">
        <v>31.12</v>
      </c>
      <c r="G12" s="33">
        <v>194.04</v>
      </c>
      <c r="H12" s="11">
        <f t="shared" ref="H12:H21" si="0">(E12+F12)/D12</f>
        <v>1.1681525909115471</v>
      </c>
      <c r="I12" s="33">
        <v>6038.5248000000001</v>
      </c>
      <c r="J12" s="56">
        <v>5.72</v>
      </c>
      <c r="K12" s="12">
        <f t="shared" ref="K12:K21" si="1">J12/D12</f>
        <v>3.0907224293510564E-2</v>
      </c>
      <c r="L12" s="275">
        <f t="shared" ref="L12:L21" si="2">((E12+F12)-D12)-J12</f>
        <v>25.400000000000006</v>
      </c>
      <c r="M12" s="13">
        <f t="shared" ref="M12:M21" si="3">L12/D12</f>
        <v>0.13724536661803646</v>
      </c>
      <c r="N12" s="276">
        <f t="shared" ref="N12:N21" si="4">L12*G12</f>
        <v>4928.6160000000009</v>
      </c>
      <c r="O12" s="66" t="s">
        <v>584</v>
      </c>
      <c r="P12" s="66" t="s">
        <v>672</v>
      </c>
      <c r="Q12" s="66" t="s">
        <v>975</v>
      </c>
      <c r="R12" s="28" t="s">
        <v>543</v>
      </c>
    </row>
    <row r="13" spans="1:18" s="15" customFormat="1" ht="24.95" customHeight="1" x14ac:dyDescent="0.25">
      <c r="A13" s="277">
        <v>2</v>
      </c>
      <c r="B13" s="10" t="s">
        <v>787</v>
      </c>
      <c r="C13" s="33">
        <v>1080.1728000000001</v>
      </c>
      <c r="D13" s="56">
        <v>6668</v>
      </c>
      <c r="E13" s="56">
        <v>6668</v>
      </c>
      <c r="F13" s="56">
        <v>164.16</v>
      </c>
      <c r="G13" s="33">
        <v>6.58</v>
      </c>
      <c r="H13" s="11">
        <f t="shared" si="0"/>
        <v>1.0246190761847631</v>
      </c>
      <c r="I13" s="33">
        <v>1080.1728000000001</v>
      </c>
      <c r="J13" s="56">
        <v>164.16</v>
      </c>
      <c r="K13" s="12">
        <f t="shared" si="1"/>
        <v>2.4619076184763045E-2</v>
      </c>
      <c r="L13" s="275">
        <f t="shared" si="2"/>
        <v>0</v>
      </c>
      <c r="M13" s="13">
        <f t="shared" si="3"/>
        <v>0</v>
      </c>
      <c r="N13" s="276">
        <f t="shared" si="4"/>
        <v>0</v>
      </c>
      <c r="O13" s="66" t="s">
        <v>18</v>
      </c>
      <c r="P13" s="66" t="s">
        <v>673</v>
      </c>
      <c r="Q13" s="66" t="s">
        <v>974</v>
      </c>
      <c r="R13" s="28" t="s">
        <v>25</v>
      </c>
    </row>
    <row r="14" spans="1:18" s="57" customFormat="1" ht="24.95" customHeight="1" x14ac:dyDescent="0.25">
      <c r="A14" s="277">
        <v>3</v>
      </c>
      <c r="B14" s="10" t="s">
        <v>786</v>
      </c>
      <c r="C14" s="33">
        <v>708.06399999999996</v>
      </c>
      <c r="D14" s="56">
        <v>15388</v>
      </c>
      <c r="E14" s="56">
        <v>15388</v>
      </c>
      <c r="F14" s="56">
        <v>122.08</v>
      </c>
      <c r="G14" s="33">
        <v>5.8</v>
      </c>
      <c r="H14" s="11">
        <f t="shared" si="0"/>
        <v>1.0079334546399792</v>
      </c>
      <c r="I14" s="33">
        <v>708.06399999999996</v>
      </c>
      <c r="J14" s="56">
        <v>122.08</v>
      </c>
      <c r="K14" s="12">
        <f t="shared" si="1"/>
        <v>7.9334546399792046E-3</v>
      </c>
      <c r="L14" s="275">
        <f t="shared" si="2"/>
        <v>0</v>
      </c>
      <c r="M14" s="13">
        <f t="shared" si="3"/>
        <v>0</v>
      </c>
      <c r="N14" s="276">
        <f t="shared" si="4"/>
        <v>0</v>
      </c>
      <c r="O14" s="66" t="s">
        <v>584</v>
      </c>
      <c r="P14" s="66" t="s">
        <v>675</v>
      </c>
      <c r="Q14" s="66" t="s">
        <v>973</v>
      </c>
      <c r="R14" s="28" t="s">
        <v>25</v>
      </c>
    </row>
    <row r="15" spans="1:18" s="15" customFormat="1" ht="24.95" customHeight="1" x14ac:dyDescent="0.25">
      <c r="A15" s="274">
        <v>4</v>
      </c>
      <c r="B15" s="10" t="s">
        <v>59</v>
      </c>
      <c r="C15" s="33">
        <v>281.92320000000001</v>
      </c>
      <c r="D15" s="56">
        <v>87.66</v>
      </c>
      <c r="E15" s="56">
        <v>87.66</v>
      </c>
      <c r="F15" s="56">
        <v>11.33</v>
      </c>
      <c r="G15" s="33">
        <v>135.54</v>
      </c>
      <c r="H15" s="11">
        <f t="shared" si="0"/>
        <v>1.1292493725758612</v>
      </c>
      <c r="I15" s="33">
        <v>1535.6682000000001</v>
      </c>
      <c r="J15" s="56">
        <v>2.08</v>
      </c>
      <c r="K15" s="12">
        <f t="shared" si="1"/>
        <v>2.3728040155144878E-2</v>
      </c>
      <c r="L15" s="275">
        <f t="shared" si="2"/>
        <v>9.2499999999999982</v>
      </c>
      <c r="M15" s="13">
        <f t="shared" si="3"/>
        <v>0.10552133242071639</v>
      </c>
      <c r="N15" s="276">
        <f t="shared" si="4"/>
        <v>1253.7449999999997</v>
      </c>
      <c r="O15" s="66" t="s">
        <v>584</v>
      </c>
      <c r="P15" s="66" t="s">
        <v>672</v>
      </c>
      <c r="Q15" s="66" t="s">
        <v>585</v>
      </c>
      <c r="R15" s="28" t="s">
        <v>25</v>
      </c>
    </row>
    <row r="16" spans="1:18" s="57" customFormat="1" ht="24.95" customHeight="1" x14ac:dyDescent="0.25">
      <c r="A16" s="277">
        <v>5</v>
      </c>
      <c r="B16" s="10" t="s">
        <v>510</v>
      </c>
      <c r="C16" s="33">
        <v>279.5403</v>
      </c>
      <c r="D16" s="56">
        <v>68.760000000000005</v>
      </c>
      <c r="E16" s="56">
        <v>68.760000000000005</v>
      </c>
      <c r="F16" s="56">
        <v>11.16</v>
      </c>
      <c r="G16" s="33">
        <v>122.07</v>
      </c>
      <c r="H16" s="11">
        <f t="shared" si="0"/>
        <v>1.162303664921466</v>
      </c>
      <c r="I16" s="33">
        <v>1362.3012000000001</v>
      </c>
      <c r="J16" s="56">
        <v>2.29</v>
      </c>
      <c r="K16" s="12">
        <f t="shared" si="1"/>
        <v>3.3304246655031997E-2</v>
      </c>
      <c r="L16" s="275">
        <f t="shared" si="2"/>
        <v>8.8699999999999974</v>
      </c>
      <c r="M16" s="13">
        <f t="shared" si="3"/>
        <v>0.12899941826643394</v>
      </c>
      <c r="N16" s="276">
        <f t="shared" si="4"/>
        <v>1082.7608999999995</v>
      </c>
      <c r="O16" s="66" t="s">
        <v>584</v>
      </c>
      <c r="P16" s="66" t="s">
        <v>672</v>
      </c>
      <c r="Q16" s="66" t="s">
        <v>585</v>
      </c>
      <c r="R16" s="28" t="s">
        <v>511</v>
      </c>
    </row>
    <row r="17" spans="1:18" s="15" customFormat="1" ht="24.95" customHeight="1" x14ac:dyDescent="0.25">
      <c r="A17" s="274">
        <v>6</v>
      </c>
      <c r="B17" s="10" t="s">
        <v>38</v>
      </c>
      <c r="C17" s="33">
        <v>241.8528</v>
      </c>
      <c r="D17" s="56">
        <v>233.38</v>
      </c>
      <c r="E17" s="56">
        <v>233.38</v>
      </c>
      <c r="F17" s="56">
        <v>12.99</v>
      </c>
      <c r="G17" s="33">
        <v>99.12</v>
      </c>
      <c r="H17" s="11">
        <f t="shared" si="0"/>
        <v>1.0556602965121262</v>
      </c>
      <c r="I17" s="33">
        <v>1287.5688</v>
      </c>
      <c r="J17" s="56">
        <v>2.44</v>
      </c>
      <c r="K17" s="12">
        <f t="shared" si="1"/>
        <v>1.0455051846773502E-2</v>
      </c>
      <c r="L17" s="275">
        <f t="shared" si="2"/>
        <v>10.55000000000001</v>
      </c>
      <c r="M17" s="13">
        <f t="shared" si="3"/>
        <v>4.5205244665352688E-2</v>
      </c>
      <c r="N17" s="276">
        <f t="shared" si="4"/>
        <v>1045.716000000001</v>
      </c>
      <c r="O17" s="66" t="s">
        <v>584</v>
      </c>
      <c r="P17" s="66" t="s">
        <v>672</v>
      </c>
      <c r="Q17" s="66" t="s">
        <v>585</v>
      </c>
      <c r="R17" s="28" t="s">
        <v>25</v>
      </c>
    </row>
    <row r="18" spans="1:18" s="57" customFormat="1" ht="24.95" customHeight="1" x14ac:dyDescent="0.25">
      <c r="A18" s="277">
        <v>7</v>
      </c>
      <c r="B18" s="10" t="s">
        <v>35</v>
      </c>
      <c r="C18" s="33">
        <v>233.7912</v>
      </c>
      <c r="D18" s="56">
        <v>97.28</v>
      </c>
      <c r="E18" s="56">
        <v>97.28</v>
      </c>
      <c r="F18" s="56">
        <v>3.25</v>
      </c>
      <c r="G18" s="33">
        <v>410.16</v>
      </c>
      <c r="H18" s="11">
        <f t="shared" si="0"/>
        <v>1.0334087171052631</v>
      </c>
      <c r="I18" s="33">
        <v>1333.02</v>
      </c>
      <c r="J18" s="56">
        <v>0.56999999999999995</v>
      </c>
      <c r="K18" s="12">
        <f t="shared" si="1"/>
        <v>5.8593749999999991E-3</v>
      </c>
      <c r="L18" s="275">
        <f t="shared" si="2"/>
        <v>2.68</v>
      </c>
      <c r="M18" s="13">
        <f t="shared" si="3"/>
        <v>2.754934210526316E-2</v>
      </c>
      <c r="N18" s="276">
        <f t="shared" si="4"/>
        <v>1099.2288000000001</v>
      </c>
      <c r="O18" s="66" t="s">
        <v>584</v>
      </c>
      <c r="P18" s="66" t="s">
        <v>672</v>
      </c>
      <c r="Q18" s="66" t="s">
        <v>585</v>
      </c>
      <c r="R18" s="28" t="s">
        <v>25</v>
      </c>
    </row>
    <row r="19" spans="1:18" s="15" customFormat="1" ht="24.95" customHeight="1" x14ac:dyDescent="0.25">
      <c r="A19" s="274">
        <v>8</v>
      </c>
      <c r="B19" s="10" t="s">
        <v>53</v>
      </c>
      <c r="C19" s="33">
        <v>213.696</v>
      </c>
      <c r="D19" s="56">
        <v>69.97</v>
      </c>
      <c r="E19" s="56">
        <v>69.97</v>
      </c>
      <c r="F19" s="56">
        <v>3.11</v>
      </c>
      <c r="G19" s="33">
        <v>333.9</v>
      </c>
      <c r="H19" s="11">
        <f t="shared" si="0"/>
        <v>1.0444476204087465</v>
      </c>
      <c r="I19" s="33">
        <v>1038.4290000000001</v>
      </c>
      <c r="J19" s="56">
        <v>0.64</v>
      </c>
      <c r="K19" s="12">
        <f t="shared" si="1"/>
        <v>9.1467771902243814E-3</v>
      </c>
      <c r="L19" s="275">
        <f t="shared" si="2"/>
        <v>2.4699999999999993</v>
      </c>
      <c r="M19" s="13">
        <f t="shared" si="3"/>
        <v>3.5300843218522213E-2</v>
      </c>
      <c r="N19" s="276">
        <f t="shared" si="4"/>
        <v>824.73299999999972</v>
      </c>
      <c r="O19" s="66" t="s">
        <v>584</v>
      </c>
      <c r="P19" s="66" t="s">
        <v>672</v>
      </c>
      <c r="Q19" s="66" t="s">
        <v>67</v>
      </c>
      <c r="R19" s="28" t="s">
        <v>78</v>
      </c>
    </row>
    <row r="20" spans="1:18" s="15" customFormat="1" ht="24.95" customHeight="1" x14ac:dyDescent="0.25">
      <c r="A20" s="277">
        <v>9</v>
      </c>
      <c r="B20" s="10" t="s">
        <v>45</v>
      </c>
      <c r="C20" s="33">
        <v>213.27440000000001</v>
      </c>
      <c r="D20" s="56">
        <v>78.88</v>
      </c>
      <c r="E20" s="56">
        <v>78.88</v>
      </c>
      <c r="F20" s="56">
        <v>3.74</v>
      </c>
      <c r="G20" s="33">
        <v>318.32</v>
      </c>
      <c r="H20" s="11">
        <f t="shared" si="0"/>
        <v>1.0474137931034482</v>
      </c>
      <c r="I20" s="33">
        <v>1190.5168000000001</v>
      </c>
      <c r="J20" s="56">
        <v>0.67</v>
      </c>
      <c r="K20" s="12">
        <f t="shared" si="1"/>
        <v>8.493914807302232E-3</v>
      </c>
      <c r="L20" s="275">
        <f t="shared" si="2"/>
        <v>3.069999999999995</v>
      </c>
      <c r="M20" s="13">
        <f t="shared" si="3"/>
        <v>3.8919878296145981E-2</v>
      </c>
      <c r="N20" s="276">
        <f t="shared" si="4"/>
        <v>977.24239999999838</v>
      </c>
      <c r="O20" s="66" t="s">
        <v>584</v>
      </c>
      <c r="P20" s="66" t="s">
        <v>672</v>
      </c>
      <c r="Q20" s="66" t="s">
        <v>67</v>
      </c>
      <c r="R20" s="28" t="s">
        <v>76</v>
      </c>
    </row>
    <row r="21" spans="1:18" s="15" customFormat="1" ht="24.95" customHeight="1" thickBot="1" x14ac:dyDescent="0.3">
      <c r="A21" s="278">
        <v>10</v>
      </c>
      <c r="B21" s="16" t="s">
        <v>32</v>
      </c>
      <c r="C21" s="34">
        <v>212.89</v>
      </c>
      <c r="D21" s="58">
        <v>168.56</v>
      </c>
      <c r="E21" s="58">
        <v>168.56</v>
      </c>
      <c r="F21" s="58">
        <v>4.9800000000000004</v>
      </c>
      <c r="G21" s="34">
        <v>212.89</v>
      </c>
      <c r="H21" s="17">
        <f t="shared" si="0"/>
        <v>1.0295443758898908</v>
      </c>
      <c r="I21" s="34">
        <v>1060.1922</v>
      </c>
      <c r="J21" s="58">
        <v>1</v>
      </c>
      <c r="K21" s="18">
        <f t="shared" si="1"/>
        <v>5.9326056003796866E-3</v>
      </c>
      <c r="L21" s="279">
        <f t="shared" si="2"/>
        <v>3.9799999999999898</v>
      </c>
      <c r="M21" s="19">
        <f t="shared" si="3"/>
        <v>2.3611770289511093E-2</v>
      </c>
      <c r="N21" s="280">
        <f t="shared" si="4"/>
        <v>847.30219999999781</v>
      </c>
      <c r="O21" s="64" t="s">
        <v>584</v>
      </c>
      <c r="P21" s="64" t="s">
        <v>672</v>
      </c>
      <c r="Q21" s="64" t="s">
        <v>585</v>
      </c>
      <c r="R21" s="29" t="s">
        <v>25</v>
      </c>
    </row>
    <row r="22" spans="1:18" s="62" customFormat="1" ht="24.95" customHeight="1" thickBot="1" x14ac:dyDescent="0.3">
      <c r="A22" s="281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82"/>
      <c r="M22" s="30"/>
      <c r="N22" s="283"/>
      <c r="O22" s="61"/>
      <c r="P22" s="61"/>
      <c r="Q22" s="61"/>
      <c r="R22" s="59"/>
    </row>
    <row r="23" spans="1:18" s="62" customFormat="1" ht="40.5" customHeight="1" x14ac:dyDescent="0.25">
      <c r="A23" s="443" t="s">
        <v>848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849</v>
      </c>
      <c r="B24" s="447"/>
      <c r="C24" s="447"/>
      <c r="D24" s="447" t="s">
        <v>797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850</v>
      </c>
      <c r="P24" s="457" t="s">
        <v>829</v>
      </c>
      <c r="Q24" s="456" t="s">
        <v>830</v>
      </c>
      <c r="R24" s="668" t="s">
        <v>821</v>
      </c>
    </row>
    <row r="25" spans="1:18" s="62" customFormat="1" ht="24.95" customHeight="1" x14ac:dyDescent="0.25">
      <c r="A25" s="669" t="s">
        <v>831</v>
      </c>
      <c r="B25" s="461" t="s">
        <v>832</v>
      </c>
      <c r="C25" s="462"/>
      <c r="D25" s="463" t="s">
        <v>822</v>
      </c>
      <c r="E25" s="463"/>
      <c r="F25" s="463"/>
      <c r="G25" s="463"/>
      <c r="H25" s="463"/>
      <c r="I25" s="463"/>
      <c r="J25" s="464" t="s">
        <v>834</v>
      </c>
      <c r="K25" s="464"/>
      <c r="L25" s="464"/>
      <c r="M25" s="465"/>
      <c r="N25" s="465"/>
      <c r="O25" s="456"/>
      <c r="P25" s="456"/>
      <c r="Q25" s="456"/>
      <c r="R25" s="668"/>
    </row>
    <row r="26" spans="1:18" s="62" customFormat="1" ht="24.95" customHeight="1" x14ac:dyDescent="0.3">
      <c r="A26" s="670"/>
      <c r="B26" s="672" t="s">
        <v>835</v>
      </c>
      <c r="C26" s="674" t="s">
        <v>851</v>
      </c>
      <c r="D26" s="676" t="s">
        <v>852</v>
      </c>
      <c r="E26" s="676"/>
      <c r="F26" s="676"/>
      <c r="G26" s="676"/>
      <c r="H26" s="676"/>
      <c r="I26" s="676"/>
      <c r="J26" s="677" t="s">
        <v>853</v>
      </c>
      <c r="K26" s="678"/>
      <c r="L26" s="679"/>
      <c r="M26" s="677" t="s">
        <v>839</v>
      </c>
      <c r="N26" s="679"/>
      <c r="O26" s="456"/>
      <c r="P26" s="456"/>
      <c r="Q26" s="456"/>
      <c r="R26" s="668"/>
    </row>
    <row r="27" spans="1:18" s="62" customFormat="1" ht="50.1" customHeight="1" x14ac:dyDescent="0.25">
      <c r="A27" s="671"/>
      <c r="B27" s="673"/>
      <c r="C27" s="675"/>
      <c r="D27" s="271" t="s">
        <v>840</v>
      </c>
      <c r="E27" s="271" t="s">
        <v>841</v>
      </c>
      <c r="F27" s="271" t="s">
        <v>810</v>
      </c>
      <c r="G27" s="271" t="s">
        <v>854</v>
      </c>
      <c r="H27" s="271" t="s">
        <v>811</v>
      </c>
      <c r="I27" s="271" t="s">
        <v>812</v>
      </c>
      <c r="J27" s="272" t="s">
        <v>813</v>
      </c>
      <c r="K27" s="272" t="s">
        <v>846</v>
      </c>
      <c r="L27" s="273" t="s">
        <v>847</v>
      </c>
      <c r="M27" s="272" t="s">
        <v>845</v>
      </c>
      <c r="N27" s="272" t="s">
        <v>846</v>
      </c>
      <c r="O27" s="456"/>
      <c r="P27" s="456"/>
      <c r="Q27" s="456"/>
      <c r="R27" s="668"/>
    </row>
    <row r="28" spans="1:18" s="62" customFormat="1" ht="24.95" customHeight="1" x14ac:dyDescent="0.25">
      <c r="A28" s="274">
        <v>1</v>
      </c>
      <c r="B28" s="10" t="s">
        <v>542</v>
      </c>
      <c r="C28" s="33">
        <v>4928.616</v>
      </c>
      <c r="D28" s="56">
        <v>185.07</v>
      </c>
      <c r="E28" s="56">
        <v>185.07</v>
      </c>
      <c r="F28" s="56">
        <v>31.12</v>
      </c>
      <c r="G28" s="33">
        <v>194.04</v>
      </c>
      <c r="H28" s="35">
        <f t="shared" ref="H28:H37" si="5">(E28+F28)/D28</f>
        <v>1.1681525909115471</v>
      </c>
      <c r="I28" s="33">
        <v>6038.5248000000001</v>
      </c>
      <c r="J28" s="56">
        <v>5.72</v>
      </c>
      <c r="K28" s="12">
        <f t="shared" ref="K28:K37" si="6">J28/D28</f>
        <v>3.0907224293510564E-2</v>
      </c>
      <c r="L28" s="276">
        <f t="shared" ref="L28:L37" si="7">J28*G28</f>
        <v>1109.9087999999999</v>
      </c>
      <c r="M28" s="275">
        <f t="shared" ref="M28:M37" si="8">((E28+F28)-D28)-J28</f>
        <v>25.400000000000006</v>
      </c>
      <c r="N28" s="13">
        <f t="shared" ref="N28:N37" si="9">M28/D28</f>
        <v>0.13724536661803646</v>
      </c>
      <c r="O28" s="69" t="s">
        <v>22</v>
      </c>
      <c r="P28" s="14" t="s">
        <v>672</v>
      </c>
      <c r="Q28" s="14" t="s">
        <v>84</v>
      </c>
      <c r="R28" s="28" t="s">
        <v>543</v>
      </c>
    </row>
    <row r="29" spans="1:18" s="62" customFormat="1" ht="24.75" customHeight="1" x14ac:dyDescent="0.25">
      <c r="A29" s="277">
        <v>2</v>
      </c>
      <c r="B29" s="10" t="s">
        <v>899</v>
      </c>
      <c r="C29" s="33">
        <v>1253.7449999999999</v>
      </c>
      <c r="D29" s="56">
        <v>87.66</v>
      </c>
      <c r="E29" s="56">
        <v>87.66</v>
      </c>
      <c r="F29" s="56">
        <v>11.33</v>
      </c>
      <c r="G29" s="33">
        <v>135.54</v>
      </c>
      <c r="H29" s="35">
        <f t="shared" si="5"/>
        <v>1.1292493725758612</v>
      </c>
      <c r="I29" s="33">
        <v>1535.6682000000001</v>
      </c>
      <c r="J29" s="56">
        <v>2.08</v>
      </c>
      <c r="K29" s="12">
        <f t="shared" si="6"/>
        <v>2.3728040155144878E-2</v>
      </c>
      <c r="L29" s="276">
        <f t="shared" si="7"/>
        <v>281.92320000000001</v>
      </c>
      <c r="M29" s="275">
        <f t="shared" si="8"/>
        <v>9.2499999999999982</v>
      </c>
      <c r="N29" s="13">
        <f t="shared" si="9"/>
        <v>0.10552133242071639</v>
      </c>
      <c r="O29" s="69" t="s">
        <v>584</v>
      </c>
      <c r="P29" s="14" t="s">
        <v>672</v>
      </c>
      <c r="Q29" s="14" t="s">
        <v>585</v>
      </c>
      <c r="R29" s="28" t="s">
        <v>25</v>
      </c>
    </row>
    <row r="30" spans="1:18" s="62" customFormat="1" ht="24.95" customHeight="1" x14ac:dyDescent="0.25">
      <c r="A30" s="277">
        <v>3</v>
      </c>
      <c r="B30" s="10" t="s">
        <v>35</v>
      </c>
      <c r="C30" s="33">
        <v>1099.2288000000001</v>
      </c>
      <c r="D30" s="56">
        <v>97.28</v>
      </c>
      <c r="E30" s="56">
        <v>97.28</v>
      </c>
      <c r="F30" s="56">
        <v>3.25</v>
      </c>
      <c r="G30" s="33">
        <v>410.16</v>
      </c>
      <c r="H30" s="35">
        <f t="shared" si="5"/>
        <v>1.0334087171052631</v>
      </c>
      <c r="I30" s="33">
        <v>1333.02</v>
      </c>
      <c r="J30" s="32">
        <v>0.56999999999999995</v>
      </c>
      <c r="K30" s="12">
        <f t="shared" si="6"/>
        <v>5.8593749999999991E-3</v>
      </c>
      <c r="L30" s="276">
        <f t="shared" si="7"/>
        <v>233.7912</v>
      </c>
      <c r="M30" s="275">
        <f t="shared" si="8"/>
        <v>2.68</v>
      </c>
      <c r="N30" s="13">
        <f t="shared" si="9"/>
        <v>2.754934210526316E-2</v>
      </c>
      <c r="O30" s="69" t="s">
        <v>22</v>
      </c>
      <c r="P30" s="14" t="s">
        <v>672</v>
      </c>
      <c r="Q30" s="14" t="s">
        <v>67</v>
      </c>
      <c r="R30" s="28" t="s">
        <v>25</v>
      </c>
    </row>
    <row r="31" spans="1:18" s="62" customFormat="1" ht="24.95" customHeight="1" x14ac:dyDescent="0.25">
      <c r="A31" s="274">
        <v>4</v>
      </c>
      <c r="B31" s="10" t="s">
        <v>510</v>
      </c>
      <c r="C31" s="33">
        <v>1082.7609</v>
      </c>
      <c r="D31" s="56">
        <v>68.760000000000005</v>
      </c>
      <c r="E31" s="56">
        <v>68.760000000000005</v>
      </c>
      <c r="F31" s="56">
        <v>11.16</v>
      </c>
      <c r="G31" s="33">
        <v>122.07</v>
      </c>
      <c r="H31" s="35">
        <f t="shared" si="5"/>
        <v>1.162303664921466</v>
      </c>
      <c r="I31" s="33">
        <v>1362.3012000000001</v>
      </c>
      <c r="J31" s="56">
        <v>2.29</v>
      </c>
      <c r="K31" s="12">
        <f t="shared" si="6"/>
        <v>3.3304246655031997E-2</v>
      </c>
      <c r="L31" s="276">
        <f t="shared" si="7"/>
        <v>279.5403</v>
      </c>
      <c r="M31" s="275">
        <f t="shared" si="8"/>
        <v>8.8699999999999974</v>
      </c>
      <c r="N31" s="13">
        <f t="shared" si="9"/>
        <v>0.12899941826643394</v>
      </c>
      <c r="O31" s="69" t="s">
        <v>22</v>
      </c>
      <c r="P31" s="14" t="s">
        <v>672</v>
      </c>
      <c r="Q31" s="14" t="s">
        <v>891</v>
      </c>
      <c r="R31" s="28" t="s">
        <v>511</v>
      </c>
    </row>
    <row r="32" spans="1:18" s="62" customFormat="1" ht="24.95" customHeight="1" x14ac:dyDescent="0.25">
      <c r="A32" s="277">
        <v>5</v>
      </c>
      <c r="B32" s="10" t="s">
        <v>38</v>
      </c>
      <c r="C32" s="33">
        <v>1045.7159999999999</v>
      </c>
      <c r="D32" s="56">
        <v>233.38</v>
      </c>
      <c r="E32" s="56">
        <v>233.38</v>
      </c>
      <c r="F32" s="56">
        <v>12.99</v>
      </c>
      <c r="G32" s="33">
        <v>99.12</v>
      </c>
      <c r="H32" s="35">
        <f t="shared" si="5"/>
        <v>1.0556602965121262</v>
      </c>
      <c r="I32" s="33">
        <v>1287.5688</v>
      </c>
      <c r="J32" s="56">
        <v>2.44</v>
      </c>
      <c r="K32" s="12">
        <f t="shared" si="6"/>
        <v>1.0455051846773502E-2</v>
      </c>
      <c r="L32" s="276">
        <f t="shared" si="7"/>
        <v>241.8528</v>
      </c>
      <c r="M32" s="275">
        <f t="shared" si="8"/>
        <v>10.55000000000001</v>
      </c>
      <c r="N32" s="13">
        <f t="shared" si="9"/>
        <v>4.5205244665352688E-2</v>
      </c>
      <c r="O32" s="69" t="s">
        <v>22</v>
      </c>
      <c r="P32" s="14" t="s">
        <v>672</v>
      </c>
      <c r="Q32" s="14" t="s">
        <v>408</v>
      </c>
      <c r="R32" s="28" t="s">
        <v>25</v>
      </c>
    </row>
    <row r="33" spans="1:18" s="62" customFormat="1" ht="24.95" customHeight="1" x14ac:dyDescent="0.25">
      <c r="A33" s="274">
        <v>6</v>
      </c>
      <c r="B33" s="10" t="s">
        <v>898</v>
      </c>
      <c r="C33" s="33">
        <v>1043.2457999999999</v>
      </c>
      <c r="D33" s="56">
        <v>23.45</v>
      </c>
      <c r="E33" s="56">
        <v>23.45</v>
      </c>
      <c r="F33" s="56">
        <v>1.24</v>
      </c>
      <c r="G33" s="33">
        <v>1012.86</v>
      </c>
      <c r="H33" s="35">
        <f t="shared" si="5"/>
        <v>1.0528784648187632</v>
      </c>
      <c r="I33" s="33">
        <v>1255.9464</v>
      </c>
      <c r="J33" s="56">
        <v>0.21</v>
      </c>
      <c r="K33" s="12">
        <f t="shared" si="6"/>
        <v>8.9552238805970154E-3</v>
      </c>
      <c r="L33" s="276">
        <f t="shared" si="7"/>
        <v>212.70060000000001</v>
      </c>
      <c r="M33" s="275">
        <f t="shared" si="8"/>
        <v>1.0299999999999985</v>
      </c>
      <c r="N33" s="13">
        <f t="shared" si="9"/>
        <v>4.3923240938166248E-2</v>
      </c>
      <c r="O33" s="69" t="s">
        <v>22</v>
      </c>
      <c r="P33" s="14" t="s">
        <v>672</v>
      </c>
      <c r="Q33" s="14" t="s">
        <v>900</v>
      </c>
      <c r="R33" s="28" t="s">
        <v>76</v>
      </c>
    </row>
    <row r="34" spans="1:18" s="62" customFormat="1" ht="24.95" customHeight="1" x14ac:dyDescent="0.25">
      <c r="A34" s="277">
        <v>7</v>
      </c>
      <c r="B34" s="10" t="s">
        <v>40</v>
      </c>
      <c r="C34" s="33">
        <v>1028.82</v>
      </c>
      <c r="D34" s="56">
        <v>225.68</v>
      </c>
      <c r="E34" s="56">
        <v>225.68</v>
      </c>
      <c r="F34" s="56">
        <v>15.91</v>
      </c>
      <c r="G34" s="33">
        <v>78</v>
      </c>
      <c r="H34" s="35">
        <f t="shared" si="5"/>
        <v>1.07049805033676</v>
      </c>
      <c r="I34" s="33">
        <v>1240.98</v>
      </c>
      <c r="J34" s="56">
        <v>2.72</v>
      </c>
      <c r="K34" s="12">
        <f t="shared" si="6"/>
        <v>1.2052463665366891E-2</v>
      </c>
      <c r="L34" s="276">
        <f t="shared" si="7"/>
        <v>212.16000000000003</v>
      </c>
      <c r="M34" s="275">
        <f t="shared" si="8"/>
        <v>13.189999999999996</v>
      </c>
      <c r="N34" s="13">
        <f t="shared" si="9"/>
        <v>5.8445586671393102E-2</v>
      </c>
      <c r="O34" s="69" t="s">
        <v>22</v>
      </c>
      <c r="P34" s="14" t="s">
        <v>672</v>
      </c>
      <c r="Q34" s="14" t="s">
        <v>891</v>
      </c>
      <c r="R34" s="28" t="s">
        <v>25</v>
      </c>
    </row>
    <row r="35" spans="1:18" s="62" customFormat="1" ht="24.95" customHeight="1" x14ac:dyDescent="0.25">
      <c r="A35" s="274">
        <v>8</v>
      </c>
      <c r="B35" s="10" t="s">
        <v>706</v>
      </c>
      <c r="C35" s="33">
        <v>1001.07</v>
      </c>
      <c r="D35" s="56">
        <v>264.86</v>
      </c>
      <c r="E35" s="56">
        <v>264.86</v>
      </c>
      <c r="F35" s="56">
        <v>12.73</v>
      </c>
      <c r="G35" s="33">
        <v>95.34</v>
      </c>
      <c r="H35" s="35">
        <f t="shared" si="5"/>
        <v>1.0480631276901005</v>
      </c>
      <c r="I35" s="33">
        <v>1213.6782000000001</v>
      </c>
      <c r="J35" s="56">
        <v>2.23</v>
      </c>
      <c r="K35" s="12">
        <f t="shared" si="6"/>
        <v>8.4195423997583622E-3</v>
      </c>
      <c r="L35" s="276">
        <f t="shared" si="7"/>
        <v>212.60820000000001</v>
      </c>
      <c r="M35" s="275">
        <f t="shared" si="8"/>
        <v>10.500000000000018</v>
      </c>
      <c r="N35" s="13">
        <f t="shared" si="9"/>
        <v>3.9643585290342134E-2</v>
      </c>
      <c r="O35" s="69" t="s">
        <v>22</v>
      </c>
      <c r="P35" s="14" t="s">
        <v>672</v>
      </c>
      <c r="Q35" s="14" t="s">
        <v>84</v>
      </c>
      <c r="R35" s="28" t="s">
        <v>25</v>
      </c>
    </row>
    <row r="36" spans="1:18" s="62" customFormat="1" ht="24.95" customHeight="1" x14ac:dyDescent="0.25">
      <c r="A36" s="277">
        <v>9</v>
      </c>
      <c r="B36" s="10" t="s">
        <v>41</v>
      </c>
      <c r="C36" s="33">
        <v>1000.09</v>
      </c>
      <c r="D36" s="56">
        <v>146.69</v>
      </c>
      <c r="E36" s="56">
        <v>146.69</v>
      </c>
      <c r="F36" s="56">
        <v>9.52</v>
      </c>
      <c r="G36" s="33">
        <v>127.4</v>
      </c>
      <c r="H36" s="35">
        <f t="shared" si="5"/>
        <v>1.0648987661053924</v>
      </c>
      <c r="I36" s="33">
        <v>1212.848</v>
      </c>
      <c r="J36" s="56">
        <v>1.67</v>
      </c>
      <c r="K36" s="12">
        <f t="shared" si="6"/>
        <v>1.138455245756357E-2</v>
      </c>
      <c r="L36" s="276">
        <f t="shared" si="7"/>
        <v>212.75800000000001</v>
      </c>
      <c r="M36" s="275">
        <f t="shared" si="8"/>
        <v>7.8500000000000103</v>
      </c>
      <c r="N36" s="13">
        <f t="shared" si="9"/>
        <v>5.3514213647828823E-2</v>
      </c>
      <c r="O36" s="69" t="s">
        <v>22</v>
      </c>
      <c r="P36" s="14" t="s">
        <v>672</v>
      </c>
      <c r="Q36" s="14" t="s">
        <v>84</v>
      </c>
      <c r="R36" s="28" t="s">
        <v>25</v>
      </c>
    </row>
    <row r="37" spans="1:18" s="62" customFormat="1" ht="24.95" customHeight="1" thickBot="1" x14ac:dyDescent="0.3">
      <c r="A37" s="278">
        <v>10</v>
      </c>
      <c r="B37" s="16" t="s">
        <v>669</v>
      </c>
      <c r="C37" s="34">
        <v>999.92200000000003</v>
      </c>
      <c r="D37" s="58">
        <v>121.61</v>
      </c>
      <c r="E37" s="58">
        <v>121.61</v>
      </c>
      <c r="F37" s="58">
        <v>18.670000000000002</v>
      </c>
      <c r="G37" s="34">
        <v>64.930000000000007</v>
      </c>
      <c r="H37" s="36">
        <f t="shared" si="5"/>
        <v>1.1535235589178521</v>
      </c>
      <c r="I37" s="34">
        <v>1212.2430999999999</v>
      </c>
      <c r="J37" s="58">
        <v>3.27</v>
      </c>
      <c r="K37" s="18">
        <f t="shared" si="6"/>
        <v>2.6889236082559002E-2</v>
      </c>
      <c r="L37" s="280">
        <f t="shared" si="7"/>
        <v>212.32110000000003</v>
      </c>
      <c r="M37" s="279">
        <f t="shared" si="8"/>
        <v>15.400000000000002</v>
      </c>
      <c r="N37" s="19">
        <f t="shared" si="9"/>
        <v>0.12663432283529316</v>
      </c>
      <c r="O37" s="52" t="s">
        <v>22</v>
      </c>
      <c r="P37" s="20" t="s">
        <v>672</v>
      </c>
      <c r="Q37" s="20" t="s">
        <v>84</v>
      </c>
      <c r="R37" s="65" t="s">
        <v>25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855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849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665" t="s">
        <v>801</v>
      </c>
      <c r="B41" s="450" t="s">
        <v>832</v>
      </c>
      <c r="C41" s="450"/>
      <c r="D41" s="451"/>
      <c r="E41" s="23"/>
      <c r="G41" s="21"/>
      <c r="H41" s="22"/>
    </row>
    <row r="42" spans="1:18" ht="20.45" customHeight="1" x14ac:dyDescent="0.35">
      <c r="A42" s="665"/>
      <c r="B42" s="666" t="s">
        <v>835</v>
      </c>
      <c r="C42" s="667" t="s">
        <v>836</v>
      </c>
      <c r="D42" s="668" t="s">
        <v>856</v>
      </c>
      <c r="E42" s="23"/>
      <c r="G42" s="21"/>
      <c r="H42" s="22"/>
    </row>
    <row r="43" spans="1:18" ht="20.45" customHeight="1" x14ac:dyDescent="0.35">
      <c r="A43" s="665"/>
      <c r="B43" s="666"/>
      <c r="C43" s="667"/>
      <c r="D43" s="668"/>
      <c r="E43" s="23"/>
      <c r="G43" s="21"/>
      <c r="H43" s="22"/>
    </row>
    <row r="44" spans="1:18" s="26" customFormat="1" ht="24.95" customHeight="1" x14ac:dyDescent="0.35">
      <c r="A44" s="284">
        <v>1</v>
      </c>
      <c r="B44" s="10" t="s">
        <v>787</v>
      </c>
      <c r="C44" s="33">
        <v>1080.17</v>
      </c>
      <c r="D44" s="24">
        <f t="shared" ref="D44:D53" si="10">C44/$L$5</f>
        <v>0.13532810648144669</v>
      </c>
      <c r="E44" s="25"/>
      <c r="G44" s="21"/>
      <c r="H44" s="22"/>
    </row>
    <row r="45" spans="1:18" s="26" customFormat="1" ht="24.95" customHeight="1" x14ac:dyDescent="0.35">
      <c r="A45" s="285">
        <v>2</v>
      </c>
      <c r="B45" s="10" t="s">
        <v>786</v>
      </c>
      <c r="C45" s="33">
        <v>708.06</v>
      </c>
      <c r="D45" s="24">
        <f t="shared" si="10"/>
        <v>8.8708646856747675E-2</v>
      </c>
      <c r="E45" s="25"/>
      <c r="G45" s="21"/>
      <c r="H45" s="22"/>
    </row>
    <row r="46" spans="1:18" s="26" customFormat="1" ht="24.95" customHeight="1" x14ac:dyDescent="0.35">
      <c r="A46" s="285">
        <v>3</v>
      </c>
      <c r="B46" s="10" t="s">
        <v>59</v>
      </c>
      <c r="C46" s="33">
        <v>281.92</v>
      </c>
      <c r="D46" s="24">
        <f t="shared" si="10"/>
        <v>3.5320088300220757E-2</v>
      </c>
      <c r="E46" s="25"/>
      <c r="G46" s="21"/>
      <c r="H46" s="22"/>
    </row>
    <row r="47" spans="1:18" s="26" customFormat="1" ht="24.95" customHeight="1" x14ac:dyDescent="0.35">
      <c r="A47" s="284">
        <v>4</v>
      </c>
      <c r="B47" s="10" t="s">
        <v>38</v>
      </c>
      <c r="C47" s="33">
        <v>241.85</v>
      </c>
      <c r="D47" s="24">
        <f t="shared" si="10"/>
        <v>3.0299955148298769E-2</v>
      </c>
      <c r="E47" s="25"/>
      <c r="G47" s="21"/>
      <c r="H47" s="22"/>
    </row>
    <row r="48" spans="1:18" s="26" customFormat="1" ht="24.95" customHeight="1" x14ac:dyDescent="0.35">
      <c r="A48" s="285">
        <v>5</v>
      </c>
      <c r="B48" s="10" t="s">
        <v>35</v>
      </c>
      <c r="C48" s="33">
        <v>233.79</v>
      </c>
      <c r="D48" s="24">
        <f t="shared" si="10"/>
        <v>2.9290165450158234E-2</v>
      </c>
      <c r="E48" s="25"/>
      <c r="G48" s="21"/>
      <c r="H48" s="22"/>
    </row>
    <row r="49" spans="1:5" s="26" customFormat="1" ht="24.95" customHeight="1" x14ac:dyDescent="0.25">
      <c r="A49" s="284">
        <v>6</v>
      </c>
      <c r="B49" s="10" t="s">
        <v>32</v>
      </c>
      <c r="C49" s="33">
        <v>212.89</v>
      </c>
      <c r="D49" s="24">
        <f t="shared" si="10"/>
        <v>2.6671728143565533E-2</v>
      </c>
      <c r="E49" s="25"/>
    </row>
    <row r="50" spans="1:5" s="26" customFormat="1" ht="24.95" customHeight="1" x14ac:dyDescent="0.25">
      <c r="A50" s="285">
        <v>7</v>
      </c>
      <c r="B50" s="10" t="s">
        <v>41</v>
      </c>
      <c r="C50" s="33">
        <v>212.76</v>
      </c>
      <c r="D50" s="24">
        <f t="shared" si="10"/>
        <v>2.6655441212950364E-2</v>
      </c>
      <c r="E50" s="25"/>
    </row>
    <row r="51" spans="1:5" s="26" customFormat="1" ht="24.95" customHeight="1" x14ac:dyDescent="0.25">
      <c r="A51" s="284">
        <v>8</v>
      </c>
      <c r="B51" s="10" t="s">
        <v>706</v>
      </c>
      <c r="C51" s="33">
        <v>212.61</v>
      </c>
      <c r="D51" s="24">
        <f t="shared" si="10"/>
        <v>2.6636648600702095E-2</v>
      </c>
      <c r="E51" s="25"/>
    </row>
    <row r="52" spans="1:5" s="26" customFormat="1" ht="24.95" customHeight="1" x14ac:dyDescent="0.25">
      <c r="A52" s="285">
        <v>9</v>
      </c>
      <c r="B52" s="10" t="s">
        <v>342</v>
      </c>
      <c r="C52" s="33">
        <v>212.55</v>
      </c>
      <c r="D52" s="24">
        <f t="shared" si="10"/>
        <v>2.6629131555802786E-2</v>
      </c>
      <c r="E52" s="25"/>
    </row>
    <row r="53" spans="1:5" s="26" customFormat="1" ht="24.95" customHeight="1" thickBot="1" x14ac:dyDescent="0.3">
      <c r="A53" s="286">
        <v>10</v>
      </c>
      <c r="B53" s="16" t="s">
        <v>795</v>
      </c>
      <c r="C53" s="34">
        <v>212.48</v>
      </c>
      <c r="D53" s="27">
        <f t="shared" si="10"/>
        <v>2.6620361670086922E-2</v>
      </c>
      <c r="E53" s="25"/>
    </row>
    <row r="54" spans="1:5" x14ac:dyDescent="0.25">
      <c r="A54" s="441" t="s">
        <v>857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858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759" priority="33" operator="containsText" text="024">
      <formula>NOT(ISERROR(SEARCH("024",A12)))</formula>
    </cfRule>
    <cfRule type="containsText" dxfId="758" priority="34" operator="containsText" text="白醬">
      <formula>NOT(ISERROR(SEARCH("白醬",A12)))</formula>
    </cfRule>
    <cfRule type="containsText" dxfId="757" priority="35" operator="containsText" text="青蔥">
      <formula>NOT(ISERROR(SEARCH("青蔥",A12)))</formula>
    </cfRule>
    <cfRule type="containsText" dxfId="756" priority="36" operator="containsText" text=")川燙小青花菜">
      <formula>NOT(ISERROR(SEARCH(")川燙小青花菜",A12)))</formula>
    </cfRule>
    <cfRule type="containsText" dxfId="755" priority="37" operator="containsText" text="湯凍">
      <formula>NOT(ISERROR(SEARCH("湯凍",A12)))</formula>
    </cfRule>
    <cfRule type="containsText" dxfId="754" priority="38" operator="containsText" text="中華">
      <formula>NOT(ISERROR(SEARCH("中華",A12)))</formula>
    </cfRule>
  </conditionalFormatting>
  <conditionalFormatting sqref="A12:A22">
    <cfRule type="containsText" dxfId="753" priority="31" operator="containsText" text="綠豆芽">
      <formula>NOT(ISERROR(SEARCH("綠豆芽",A12)))</formula>
    </cfRule>
    <cfRule type="containsText" dxfId="752" priority="32" operator="containsText" text="煮白細麵生(方#12)">
      <formula>NOT(ISERROR(SEARCH("煮白細麵生(方#12)",A12)))</formula>
    </cfRule>
  </conditionalFormatting>
  <conditionalFormatting sqref="E5">
    <cfRule type="cellIs" dxfId="751" priority="16" operator="greaterThan">
      <formula>0.0025</formula>
    </cfRule>
    <cfRule type="cellIs" dxfId="750" priority="19" operator="greaterThan">
      <formula>0.0025</formula>
    </cfRule>
    <cfRule type="cellIs" dxfId="749" priority="29" operator="greaterThan">
      <formula>0.072</formula>
    </cfRule>
    <cfRule type="cellIs" dxfId="748" priority="30" operator="greaterThan">
      <formula>7.2</formula>
    </cfRule>
  </conditionalFormatting>
  <conditionalFormatting sqref="E5">
    <cfRule type="cellIs" dxfId="747" priority="28" operator="greaterThan">
      <formula>0.0025</formula>
    </cfRule>
  </conditionalFormatting>
  <conditionalFormatting sqref="A44:A53">
    <cfRule type="containsText" dxfId="746" priority="22" operator="containsText" text="024">
      <formula>NOT(ISERROR(SEARCH("024",A44)))</formula>
    </cfRule>
    <cfRule type="containsText" dxfId="745" priority="23" operator="containsText" text="白醬">
      <formula>NOT(ISERROR(SEARCH("白醬",A44)))</formula>
    </cfRule>
    <cfRule type="containsText" dxfId="744" priority="24" operator="containsText" text="青蔥">
      <formula>NOT(ISERROR(SEARCH("青蔥",A44)))</formula>
    </cfRule>
    <cfRule type="containsText" dxfId="743" priority="25" operator="containsText" text=")川燙小青花菜">
      <formula>NOT(ISERROR(SEARCH(")川燙小青花菜",A44)))</formula>
    </cfRule>
    <cfRule type="containsText" dxfId="742" priority="26" operator="containsText" text="湯凍">
      <formula>NOT(ISERROR(SEARCH("湯凍",A44)))</formula>
    </cfRule>
    <cfRule type="containsText" dxfId="741" priority="27" operator="containsText" text="中華">
      <formula>NOT(ISERROR(SEARCH("中華",A44)))</formula>
    </cfRule>
  </conditionalFormatting>
  <conditionalFormatting sqref="A44:A53">
    <cfRule type="containsText" dxfId="740" priority="20" operator="containsText" text="綠豆芽">
      <formula>NOT(ISERROR(SEARCH("綠豆芽",A44)))</formula>
    </cfRule>
    <cfRule type="containsText" dxfId="739" priority="21" operator="containsText" text="煮白細麵生(方#12)">
      <formula>NOT(ISERROR(SEARCH("煮白細麵生(方#12)",A44)))</formula>
    </cfRule>
  </conditionalFormatting>
  <conditionalFormatting sqref="D44:D53">
    <cfRule type="cellIs" dxfId="738" priority="18" operator="greaterThan">
      <formula>0.146</formula>
    </cfRule>
  </conditionalFormatting>
  <conditionalFormatting sqref="H12:H22">
    <cfRule type="cellIs" dxfId="737" priority="17" operator="greaterThan">
      <formula>1.1</formula>
    </cfRule>
  </conditionalFormatting>
  <conditionalFormatting sqref="I5">
    <cfRule type="cellIs" dxfId="736" priority="15" operator="greaterThan">
      <formula>0.2</formula>
    </cfRule>
  </conditionalFormatting>
  <conditionalFormatting sqref="A28:A37">
    <cfRule type="containsText" dxfId="735" priority="9" operator="containsText" text="024">
      <formula>NOT(ISERROR(SEARCH("024",A28)))</formula>
    </cfRule>
    <cfRule type="containsText" dxfId="734" priority="10" operator="containsText" text="白醬">
      <formula>NOT(ISERROR(SEARCH("白醬",A28)))</formula>
    </cfRule>
    <cfRule type="containsText" dxfId="733" priority="11" operator="containsText" text="青蔥">
      <formula>NOT(ISERROR(SEARCH("青蔥",A28)))</formula>
    </cfRule>
    <cfRule type="containsText" dxfId="732" priority="12" operator="containsText" text=")川燙小青花菜">
      <formula>NOT(ISERROR(SEARCH(")川燙小青花菜",A28)))</formula>
    </cfRule>
    <cfRule type="containsText" dxfId="731" priority="13" operator="containsText" text="湯凍">
      <formula>NOT(ISERROR(SEARCH("湯凍",A28)))</formula>
    </cfRule>
    <cfRule type="containsText" dxfId="730" priority="14" operator="containsText" text="中華">
      <formula>NOT(ISERROR(SEARCH("中華",A28)))</formula>
    </cfRule>
  </conditionalFormatting>
  <conditionalFormatting sqref="A28:A37">
    <cfRule type="containsText" dxfId="729" priority="7" operator="containsText" text="綠豆芽">
      <formula>NOT(ISERROR(SEARCH("綠豆芽",A28)))</formula>
    </cfRule>
    <cfRule type="containsText" dxfId="728" priority="8" operator="containsText" text="煮白細麵生(方#12)">
      <formula>NOT(ISERROR(SEARCH("煮白細麵生(方#12)",A28)))</formula>
    </cfRule>
  </conditionalFormatting>
  <conditionalFormatting sqref="H28:H37">
    <cfRule type="cellIs" dxfId="727" priority="6" operator="greaterThan">
      <formula>1.1</formula>
    </cfRule>
  </conditionalFormatting>
  <conditionalFormatting sqref="G5">
    <cfRule type="cellIs" dxfId="726" priority="1" operator="greaterThan">
      <formula>0.0025</formula>
    </cfRule>
    <cfRule type="cellIs" dxfId="725" priority="2" operator="greaterThan">
      <formula>0.0025</formula>
    </cfRule>
    <cfRule type="cellIs" dxfId="724" priority="4" operator="greaterThan">
      <formula>0.072</formula>
    </cfRule>
    <cfRule type="cellIs" dxfId="723" priority="5" operator="greaterThan">
      <formula>7.2</formula>
    </cfRule>
  </conditionalFormatting>
  <conditionalFormatting sqref="G5">
    <cfRule type="cellIs" dxfId="72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9" scale="2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E1" zoomScale="55" zoomScaleNormal="55" zoomScaleSheetLayoutView="7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686" t="s">
        <v>92</v>
      </c>
      <c r="B2" s="687"/>
      <c r="C2" s="269" t="s">
        <v>93</v>
      </c>
      <c r="D2" s="688" t="s">
        <v>94</v>
      </c>
      <c r="E2" s="688"/>
      <c r="F2" s="688" t="s">
        <v>95</v>
      </c>
      <c r="G2" s="688"/>
      <c r="H2" s="688" t="s">
        <v>94</v>
      </c>
      <c r="I2" s="688"/>
      <c r="J2" s="688" t="s">
        <v>95</v>
      </c>
      <c r="K2" s="688"/>
      <c r="L2" s="688" t="s">
        <v>94</v>
      </c>
      <c r="M2" s="689"/>
      <c r="R2" s="54"/>
    </row>
    <row r="3" spans="1:18" s="1" customFormat="1" ht="28.5" x14ac:dyDescent="0.45">
      <c r="A3" s="683">
        <v>45888</v>
      </c>
      <c r="B3" s="684"/>
      <c r="C3" s="685">
        <v>6939236.5499999998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683"/>
      <c r="B4" s="684"/>
      <c r="C4" s="68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681" t="s">
        <v>105</v>
      </c>
      <c r="B5" s="682"/>
      <c r="C5" s="682"/>
      <c r="D5" s="270">
        <v>17003.490000000002</v>
      </c>
      <c r="E5" s="5">
        <f>D5/C3</f>
        <v>2.4503401602586961E-3</v>
      </c>
      <c r="F5" s="270">
        <v>59330.150000000009</v>
      </c>
      <c r="G5" s="44">
        <f>F5/C3</f>
        <v>8.5499535247865292E-3</v>
      </c>
      <c r="H5" s="6">
        <f>SUM(C12:C21)</f>
        <v>7155.3000000000011</v>
      </c>
      <c r="I5" s="7">
        <f>H5/D5</f>
        <v>0.42081360944135587</v>
      </c>
      <c r="J5" s="6">
        <f>SUM(C28:C37)</f>
        <v>16978.46</v>
      </c>
      <c r="K5" s="46">
        <f>J5/F5</f>
        <v>0.28616917368319472</v>
      </c>
      <c r="L5" s="8">
        <v>8190.55</v>
      </c>
      <c r="M5" s="9">
        <f>L5/D5</f>
        <v>0.4816981690229476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242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796</v>
      </c>
      <c r="B8" s="447"/>
      <c r="C8" s="447"/>
      <c r="D8" s="447" t="s">
        <v>797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798</v>
      </c>
      <c r="P8" s="457" t="s">
        <v>799</v>
      </c>
      <c r="Q8" s="456" t="s">
        <v>800</v>
      </c>
      <c r="R8" s="668" t="s">
        <v>244</v>
      </c>
    </row>
    <row r="9" spans="1:18" ht="20.45" customHeight="1" x14ac:dyDescent="0.25">
      <c r="A9" s="669" t="s">
        <v>801</v>
      </c>
      <c r="B9" s="461" t="s">
        <v>802</v>
      </c>
      <c r="C9" s="462"/>
      <c r="D9" s="463" t="s">
        <v>247</v>
      </c>
      <c r="E9" s="463"/>
      <c r="F9" s="463"/>
      <c r="G9" s="463"/>
      <c r="H9" s="463"/>
      <c r="I9" s="463"/>
      <c r="J9" s="464" t="s">
        <v>803</v>
      </c>
      <c r="K9" s="464"/>
      <c r="L9" s="464"/>
      <c r="M9" s="465"/>
      <c r="N9" s="465"/>
      <c r="O9" s="456"/>
      <c r="P9" s="456"/>
      <c r="Q9" s="456"/>
      <c r="R9" s="668"/>
    </row>
    <row r="10" spans="1:18" ht="20.45" customHeight="1" x14ac:dyDescent="0.3">
      <c r="A10" s="670"/>
      <c r="B10" s="672" t="s">
        <v>804</v>
      </c>
      <c r="C10" s="674" t="s">
        <v>805</v>
      </c>
      <c r="D10" s="676" t="s">
        <v>806</v>
      </c>
      <c r="E10" s="676"/>
      <c r="F10" s="676"/>
      <c r="G10" s="676"/>
      <c r="H10" s="676"/>
      <c r="I10" s="676"/>
      <c r="J10" s="677" t="s">
        <v>807</v>
      </c>
      <c r="K10" s="679"/>
      <c r="L10" s="680" t="s">
        <v>229</v>
      </c>
      <c r="M10" s="677"/>
      <c r="N10" s="677"/>
      <c r="O10" s="456"/>
      <c r="P10" s="456"/>
      <c r="Q10" s="456"/>
      <c r="R10" s="668"/>
    </row>
    <row r="11" spans="1:18" s="55" customFormat="1" ht="47.25" customHeight="1" x14ac:dyDescent="0.25">
      <c r="A11" s="671"/>
      <c r="B11" s="673"/>
      <c r="C11" s="675"/>
      <c r="D11" s="271" t="s">
        <v>808</v>
      </c>
      <c r="E11" s="271" t="s">
        <v>809</v>
      </c>
      <c r="F11" s="271" t="s">
        <v>810</v>
      </c>
      <c r="G11" s="271" t="s">
        <v>230</v>
      </c>
      <c r="H11" s="271" t="s">
        <v>811</v>
      </c>
      <c r="I11" s="271" t="s">
        <v>812</v>
      </c>
      <c r="J11" s="272" t="s">
        <v>813</v>
      </c>
      <c r="K11" s="272" t="s">
        <v>814</v>
      </c>
      <c r="L11" s="272" t="s">
        <v>813</v>
      </c>
      <c r="M11" s="272" t="s">
        <v>814</v>
      </c>
      <c r="N11" s="273" t="s">
        <v>815</v>
      </c>
      <c r="O11" s="456"/>
      <c r="P11" s="456"/>
      <c r="Q11" s="456"/>
      <c r="R11" s="668"/>
    </row>
    <row r="12" spans="1:18" s="15" customFormat="1" ht="24.95" customHeight="1" x14ac:dyDescent="0.25">
      <c r="A12" s="274">
        <v>1</v>
      </c>
      <c r="B12" s="10" t="s">
        <v>786</v>
      </c>
      <c r="C12" s="33">
        <v>1647.2</v>
      </c>
      <c r="D12" s="56">
        <v>15596</v>
      </c>
      <c r="E12" s="56">
        <v>15596</v>
      </c>
      <c r="F12" s="56">
        <v>284</v>
      </c>
      <c r="G12" s="33">
        <v>5.8</v>
      </c>
      <c r="H12" s="11">
        <f t="shared" ref="H12:H21" si="0">(E12+F12)/D12</f>
        <v>1.0182097973839446</v>
      </c>
      <c r="I12" s="33">
        <v>1647.2</v>
      </c>
      <c r="J12" s="56">
        <v>284</v>
      </c>
      <c r="K12" s="12">
        <f t="shared" ref="K12:K21" si="1">J12/D12</f>
        <v>1.8209797383944602E-2</v>
      </c>
      <c r="L12" s="275">
        <f t="shared" ref="L12:L21" si="2">((E12+F12)-D12)-J12</f>
        <v>0</v>
      </c>
      <c r="M12" s="13">
        <f t="shared" ref="M12:M21" si="3">L12/D12</f>
        <v>0</v>
      </c>
      <c r="N12" s="276">
        <f t="shared" ref="N12:N21" si="4">L12*G12</f>
        <v>0</v>
      </c>
      <c r="O12" s="66" t="s">
        <v>584</v>
      </c>
      <c r="P12" s="66" t="s">
        <v>675</v>
      </c>
      <c r="Q12" s="66" t="s">
        <v>973</v>
      </c>
      <c r="R12" s="28" t="s">
        <v>25</v>
      </c>
    </row>
    <row r="13" spans="1:18" s="15" customFormat="1" ht="24.95" customHeight="1" x14ac:dyDescent="0.25">
      <c r="A13" s="277">
        <v>2</v>
      </c>
      <c r="B13" s="10" t="s">
        <v>787</v>
      </c>
      <c r="C13" s="33">
        <v>1329.16</v>
      </c>
      <c r="D13" s="56">
        <v>6607</v>
      </c>
      <c r="E13" s="56">
        <v>6607</v>
      </c>
      <c r="F13" s="56">
        <v>202</v>
      </c>
      <c r="G13" s="33">
        <v>6.58</v>
      </c>
      <c r="H13" s="11">
        <f t="shared" si="0"/>
        <v>1.0305736340245195</v>
      </c>
      <c r="I13" s="33">
        <v>1329.16</v>
      </c>
      <c r="J13" s="56">
        <v>202</v>
      </c>
      <c r="K13" s="12">
        <f t="shared" si="1"/>
        <v>3.0573634024519448E-2</v>
      </c>
      <c r="L13" s="275">
        <f t="shared" si="2"/>
        <v>0</v>
      </c>
      <c r="M13" s="13">
        <f t="shared" si="3"/>
        <v>0</v>
      </c>
      <c r="N13" s="276">
        <f t="shared" si="4"/>
        <v>0</v>
      </c>
      <c r="O13" s="66" t="s">
        <v>18</v>
      </c>
      <c r="P13" s="66" t="s">
        <v>673</v>
      </c>
      <c r="Q13" s="66" t="s">
        <v>974</v>
      </c>
      <c r="R13" s="28" t="s">
        <v>25</v>
      </c>
    </row>
    <row r="14" spans="1:18" s="57" customFormat="1" ht="24.95" customHeight="1" x14ac:dyDescent="0.25">
      <c r="A14" s="277">
        <v>3</v>
      </c>
      <c r="B14" s="10" t="s">
        <v>816</v>
      </c>
      <c r="C14" s="33">
        <v>943.95</v>
      </c>
      <c r="D14" s="56">
        <v>4973</v>
      </c>
      <c r="E14" s="56">
        <v>4973</v>
      </c>
      <c r="F14" s="56">
        <v>217</v>
      </c>
      <c r="G14" s="33">
        <v>4.3499999999999996</v>
      </c>
      <c r="H14" s="11">
        <f t="shared" si="0"/>
        <v>1.0436356324150413</v>
      </c>
      <c r="I14" s="33">
        <v>943.95</v>
      </c>
      <c r="J14" s="56">
        <v>217</v>
      </c>
      <c r="K14" s="12">
        <f t="shared" si="1"/>
        <v>4.3635632415041224E-2</v>
      </c>
      <c r="L14" s="275">
        <f t="shared" si="2"/>
        <v>0</v>
      </c>
      <c r="M14" s="13">
        <f t="shared" si="3"/>
        <v>0</v>
      </c>
      <c r="N14" s="276">
        <f t="shared" si="4"/>
        <v>0</v>
      </c>
      <c r="O14" s="66" t="s">
        <v>584</v>
      </c>
      <c r="P14" s="66" t="s">
        <v>675</v>
      </c>
      <c r="Q14" s="66" t="s">
        <v>973</v>
      </c>
      <c r="R14" s="28" t="s">
        <v>817</v>
      </c>
    </row>
    <row r="15" spans="1:18" s="15" customFormat="1" ht="24.95" customHeight="1" x14ac:dyDescent="0.25">
      <c r="A15" s="274">
        <v>4</v>
      </c>
      <c r="B15" s="10" t="s">
        <v>36</v>
      </c>
      <c r="C15" s="33">
        <v>871.42</v>
      </c>
      <c r="D15" s="56">
        <v>320.33999999999997</v>
      </c>
      <c r="E15" s="56">
        <v>320.33999999999997</v>
      </c>
      <c r="F15" s="56">
        <v>18.57</v>
      </c>
      <c r="G15" s="33">
        <v>156.72999999999999</v>
      </c>
      <c r="H15" s="11">
        <f t="shared" si="0"/>
        <v>1.0579696572391835</v>
      </c>
      <c r="I15" s="33">
        <v>2910.48</v>
      </c>
      <c r="J15" s="56">
        <v>5.56</v>
      </c>
      <c r="K15" s="12">
        <f t="shared" si="1"/>
        <v>1.7356558656427545E-2</v>
      </c>
      <c r="L15" s="275">
        <f t="shared" si="2"/>
        <v>13.009999999999994</v>
      </c>
      <c r="M15" s="13">
        <f t="shared" si="3"/>
        <v>4.0613098582755809E-2</v>
      </c>
      <c r="N15" s="276">
        <f t="shared" si="4"/>
        <v>2039.057299999999</v>
      </c>
      <c r="O15" s="66" t="s">
        <v>18</v>
      </c>
      <c r="P15" s="66" t="s">
        <v>673</v>
      </c>
      <c r="Q15" s="66" t="s">
        <v>583</v>
      </c>
      <c r="R15" s="28" t="s">
        <v>25</v>
      </c>
    </row>
    <row r="16" spans="1:18" s="57" customFormat="1" ht="24.95" customHeight="1" x14ac:dyDescent="0.25">
      <c r="A16" s="277">
        <v>5</v>
      </c>
      <c r="B16" s="10" t="s">
        <v>38</v>
      </c>
      <c r="C16" s="33">
        <v>608.6</v>
      </c>
      <c r="D16" s="56">
        <v>231.25</v>
      </c>
      <c r="E16" s="56">
        <v>231.25</v>
      </c>
      <c r="F16" s="56">
        <v>23.76</v>
      </c>
      <c r="G16" s="33">
        <v>99.12</v>
      </c>
      <c r="H16" s="11">
        <f t="shared" si="0"/>
        <v>1.1027459459459459</v>
      </c>
      <c r="I16" s="33">
        <v>2355.09</v>
      </c>
      <c r="J16" s="56">
        <v>6.14</v>
      </c>
      <c r="K16" s="12">
        <f t="shared" si="1"/>
        <v>2.6551351351351352E-2</v>
      </c>
      <c r="L16" s="275">
        <f t="shared" si="2"/>
        <v>17.61999999999999</v>
      </c>
      <c r="M16" s="13">
        <f t="shared" si="3"/>
        <v>7.6194594594594559E-2</v>
      </c>
      <c r="N16" s="276">
        <f t="shared" si="4"/>
        <v>1746.4943999999991</v>
      </c>
      <c r="O16" s="66" t="s">
        <v>584</v>
      </c>
      <c r="P16" s="66" t="s">
        <v>672</v>
      </c>
      <c r="Q16" s="66" t="s">
        <v>585</v>
      </c>
      <c r="R16" s="28" t="s">
        <v>25</v>
      </c>
    </row>
    <row r="17" spans="1:18" s="15" customFormat="1" ht="24.95" customHeight="1" x14ac:dyDescent="0.25">
      <c r="A17" s="274">
        <v>6</v>
      </c>
      <c r="B17" s="10" t="s">
        <v>818</v>
      </c>
      <c r="C17" s="33">
        <v>583.01</v>
      </c>
      <c r="D17" s="56">
        <v>90.63</v>
      </c>
      <c r="E17" s="56">
        <v>90.63</v>
      </c>
      <c r="F17" s="56">
        <v>13.74</v>
      </c>
      <c r="G17" s="33">
        <v>121.46</v>
      </c>
      <c r="H17" s="11">
        <f t="shared" si="0"/>
        <v>1.1516054286660047</v>
      </c>
      <c r="I17" s="33">
        <v>1668.86</v>
      </c>
      <c r="J17" s="56">
        <v>4.8</v>
      </c>
      <c r="K17" s="12">
        <f t="shared" si="1"/>
        <v>5.2962595167163194E-2</v>
      </c>
      <c r="L17" s="275">
        <f t="shared" si="2"/>
        <v>8.9399999999999942</v>
      </c>
      <c r="M17" s="13">
        <f t="shared" si="3"/>
        <v>9.8642833498841384E-2</v>
      </c>
      <c r="N17" s="276">
        <f t="shared" si="4"/>
        <v>1085.8523999999993</v>
      </c>
      <c r="O17" s="66" t="s">
        <v>584</v>
      </c>
      <c r="P17" s="66" t="s">
        <v>672</v>
      </c>
      <c r="Q17" s="66" t="s">
        <v>975</v>
      </c>
      <c r="R17" s="28" t="s">
        <v>819</v>
      </c>
    </row>
    <row r="18" spans="1:18" s="57" customFormat="1" ht="24.95" customHeight="1" x14ac:dyDescent="0.25">
      <c r="A18" s="277">
        <v>7</v>
      </c>
      <c r="B18" s="10" t="s">
        <v>730</v>
      </c>
      <c r="C18" s="33">
        <v>431.55</v>
      </c>
      <c r="D18" s="56">
        <v>12.82</v>
      </c>
      <c r="E18" s="56">
        <v>12.82</v>
      </c>
      <c r="F18" s="56">
        <v>2.4700000000000002</v>
      </c>
      <c r="G18" s="33">
        <v>469.08</v>
      </c>
      <c r="H18" s="11">
        <f t="shared" si="0"/>
        <v>1.1926677067082683</v>
      </c>
      <c r="I18" s="33">
        <v>1158.6300000000001</v>
      </c>
      <c r="J18" s="56">
        <v>0.92</v>
      </c>
      <c r="K18" s="12">
        <f t="shared" si="1"/>
        <v>7.1762870514820595E-2</v>
      </c>
      <c r="L18" s="275">
        <f t="shared" si="2"/>
        <v>1.5500000000000007</v>
      </c>
      <c r="M18" s="13">
        <f t="shared" si="3"/>
        <v>0.12090483619344779</v>
      </c>
      <c r="N18" s="276">
        <f t="shared" si="4"/>
        <v>727.0740000000003</v>
      </c>
      <c r="O18" s="66" t="s">
        <v>584</v>
      </c>
      <c r="P18" s="66" t="s">
        <v>672</v>
      </c>
      <c r="Q18" s="66" t="s">
        <v>585</v>
      </c>
      <c r="R18" s="28" t="s">
        <v>51</v>
      </c>
    </row>
    <row r="19" spans="1:18" s="15" customFormat="1" ht="24.95" customHeight="1" x14ac:dyDescent="0.25">
      <c r="A19" s="274">
        <v>8</v>
      </c>
      <c r="B19" s="10" t="s">
        <v>42</v>
      </c>
      <c r="C19" s="33">
        <v>255.31</v>
      </c>
      <c r="D19" s="56">
        <v>71.87</v>
      </c>
      <c r="E19" s="56">
        <v>71.87</v>
      </c>
      <c r="F19" s="56">
        <v>6.67</v>
      </c>
      <c r="G19" s="33">
        <v>159.57</v>
      </c>
      <c r="H19" s="11">
        <f t="shared" si="0"/>
        <v>1.092806456101294</v>
      </c>
      <c r="I19" s="33">
        <v>1064.33</v>
      </c>
      <c r="J19" s="56">
        <v>1.6</v>
      </c>
      <c r="K19" s="12">
        <f t="shared" si="1"/>
        <v>2.2262418255182968E-2</v>
      </c>
      <c r="L19" s="275">
        <f t="shared" si="2"/>
        <v>5.0700000000000021</v>
      </c>
      <c r="M19" s="13">
        <f t="shared" si="3"/>
        <v>7.054403784611106E-2</v>
      </c>
      <c r="N19" s="276">
        <f t="shared" si="4"/>
        <v>809.01990000000035</v>
      </c>
      <c r="O19" s="66" t="s">
        <v>19</v>
      </c>
      <c r="P19" s="66" t="s">
        <v>670</v>
      </c>
      <c r="Q19" s="66" t="s">
        <v>587</v>
      </c>
      <c r="R19" s="28" t="s">
        <v>25</v>
      </c>
    </row>
    <row r="20" spans="1:18" s="15" customFormat="1" ht="24.95" customHeight="1" x14ac:dyDescent="0.25">
      <c r="A20" s="277">
        <v>9</v>
      </c>
      <c r="B20" s="10" t="s">
        <v>470</v>
      </c>
      <c r="C20" s="33">
        <v>243.11</v>
      </c>
      <c r="D20" s="56">
        <v>21.8</v>
      </c>
      <c r="E20" s="56">
        <v>21.8</v>
      </c>
      <c r="F20" s="56">
        <v>4.32</v>
      </c>
      <c r="G20" s="33">
        <v>127.95</v>
      </c>
      <c r="H20" s="11">
        <f t="shared" si="0"/>
        <v>1.1981651376146789</v>
      </c>
      <c r="I20" s="33">
        <v>552.74</v>
      </c>
      <c r="J20" s="56">
        <v>1.9</v>
      </c>
      <c r="K20" s="12">
        <f t="shared" si="1"/>
        <v>8.7155963302752285E-2</v>
      </c>
      <c r="L20" s="275">
        <f t="shared" si="2"/>
        <v>2.4200000000000004</v>
      </c>
      <c r="M20" s="13">
        <f t="shared" si="3"/>
        <v>0.11100917431192663</v>
      </c>
      <c r="N20" s="276">
        <f t="shared" si="4"/>
        <v>309.63900000000007</v>
      </c>
      <c r="O20" s="66" t="s">
        <v>19</v>
      </c>
      <c r="P20" s="66" t="s">
        <v>670</v>
      </c>
      <c r="Q20" s="66" t="s">
        <v>587</v>
      </c>
      <c r="R20" s="28" t="s">
        <v>471</v>
      </c>
    </row>
    <row r="21" spans="1:18" s="15" customFormat="1" ht="24.95" customHeight="1" thickBot="1" x14ac:dyDescent="0.3">
      <c r="A21" s="278">
        <v>10</v>
      </c>
      <c r="B21" s="16" t="s">
        <v>35</v>
      </c>
      <c r="C21" s="34">
        <v>241.99</v>
      </c>
      <c r="D21" s="58">
        <v>95.82</v>
      </c>
      <c r="E21" s="58">
        <v>95.82</v>
      </c>
      <c r="F21" s="58">
        <v>2.9</v>
      </c>
      <c r="G21" s="34">
        <v>410.16</v>
      </c>
      <c r="H21" s="17">
        <f t="shared" si="0"/>
        <v>1.0302650803590065</v>
      </c>
      <c r="I21" s="34">
        <v>1189.46</v>
      </c>
      <c r="J21" s="58">
        <v>0.59</v>
      </c>
      <c r="K21" s="18">
        <f t="shared" si="1"/>
        <v>6.1573784178668338E-3</v>
      </c>
      <c r="L21" s="279">
        <f t="shared" si="2"/>
        <v>2.3100000000000058</v>
      </c>
      <c r="M21" s="19">
        <f t="shared" si="3"/>
        <v>2.41077019411397E-2</v>
      </c>
      <c r="N21" s="280">
        <f t="shared" si="4"/>
        <v>947.4696000000024</v>
      </c>
      <c r="O21" s="64" t="s">
        <v>584</v>
      </c>
      <c r="P21" s="64" t="s">
        <v>672</v>
      </c>
      <c r="Q21" s="64" t="s">
        <v>585</v>
      </c>
      <c r="R21" s="29" t="s">
        <v>25</v>
      </c>
    </row>
    <row r="22" spans="1:18" s="62" customFormat="1" ht="24.95" customHeight="1" thickBot="1" x14ac:dyDescent="0.3">
      <c r="A22" s="281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82"/>
      <c r="M22" s="30"/>
      <c r="N22" s="283"/>
      <c r="O22" s="61"/>
      <c r="P22" s="61"/>
      <c r="Q22" s="61"/>
      <c r="R22" s="59"/>
    </row>
    <row r="23" spans="1:18" s="62" customFormat="1" ht="40.5" customHeight="1" x14ac:dyDescent="0.25">
      <c r="A23" s="443" t="s">
        <v>820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219</v>
      </c>
      <c r="B24" s="447"/>
      <c r="C24" s="447"/>
      <c r="D24" s="447" t="s">
        <v>797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798</v>
      </c>
      <c r="P24" s="457" t="s">
        <v>799</v>
      </c>
      <c r="Q24" s="456" t="s">
        <v>800</v>
      </c>
      <c r="R24" s="668" t="s">
        <v>821</v>
      </c>
    </row>
    <row r="25" spans="1:18" s="62" customFormat="1" ht="24.95" customHeight="1" x14ac:dyDescent="0.25">
      <c r="A25" s="669" t="s">
        <v>801</v>
      </c>
      <c r="B25" s="461" t="s">
        <v>802</v>
      </c>
      <c r="C25" s="462"/>
      <c r="D25" s="463" t="s">
        <v>822</v>
      </c>
      <c r="E25" s="463"/>
      <c r="F25" s="463"/>
      <c r="G25" s="463"/>
      <c r="H25" s="463"/>
      <c r="I25" s="463"/>
      <c r="J25" s="464" t="s">
        <v>803</v>
      </c>
      <c r="K25" s="464"/>
      <c r="L25" s="464"/>
      <c r="M25" s="465"/>
      <c r="N25" s="465"/>
      <c r="O25" s="456"/>
      <c r="P25" s="456"/>
      <c r="Q25" s="456"/>
      <c r="R25" s="668"/>
    </row>
    <row r="26" spans="1:18" s="62" customFormat="1" ht="24.95" customHeight="1" x14ac:dyDescent="0.3">
      <c r="A26" s="670"/>
      <c r="B26" s="672" t="s">
        <v>804</v>
      </c>
      <c r="C26" s="674" t="s">
        <v>823</v>
      </c>
      <c r="D26" s="676" t="s">
        <v>806</v>
      </c>
      <c r="E26" s="676"/>
      <c r="F26" s="676"/>
      <c r="G26" s="676"/>
      <c r="H26" s="676"/>
      <c r="I26" s="676"/>
      <c r="J26" s="677" t="s">
        <v>807</v>
      </c>
      <c r="K26" s="678"/>
      <c r="L26" s="679"/>
      <c r="M26" s="677" t="s">
        <v>229</v>
      </c>
      <c r="N26" s="679"/>
      <c r="O26" s="456"/>
      <c r="P26" s="456"/>
      <c r="Q26" s="456"/>
      <c r="R26" s="668"/>
    </row>
    <row r="27" spans="1:18" s="62" customFormat="1" ht="50.1" customHeight="1" x14ac:dyDescent="0.25">
      <c r="A27" s="671"/>
      <c r="B27" s="673"/>
      <c r="C27" s="675"/>
      <c r="D27" s="271" t="s">
        <v>808</v>
      </c>
      <c r="E27" s="271" t="s">
        <v>809</v>
      </c>
      <c r="F27" s="271" t="s">
        <v>810</v>
      </c>
      <c r="G27" s="271" t="s">
        <v>230</v>
      </c>
      <c r="H27" s="271" t="s">
        <v>811</v>
      </c>
      <c r="I27" s="271" t="s">
        <v>812</v>
      </c>
      <c r="J27" s="272" t="s">
        <v>813</v>
      </c>
      <c r="K27" s="272" t="s">
        <v>814</v>
      </c>
      <c r="L27" s="273" t="s">
        <v>815</v>
      </c>
      <c r="M27" s="272" t="s">
        <v>813</v>
      </c>
      <c r="N27" s="272" t="s">
        <v>814</v>
      </c>
      <c r="O27" s="456"/>
      <c r="P27" s="456"/>
      <c r="Q27" s="456"/>
      <c r="R27" s="668"/>
    </row>
    <row r="28" spans="1:18" s="62" customFormat="1" ht="24.95" customHeight="1" x14ac:dyDescent="0.25">
      <c r="A28" s="274">
        <v>1</v>
      </c>
      <c r="B28" s="10" t="s">
        <v>41</v>
      </c>
      <c r="C28" s="33">
        <v>3502.23</v>
      </c>
      <c r="D28" s="56">
        <v>145.35</v>
      </c>
      <c r="E28" s="56">
        <v>145.35</v>
      </c>
      <c r="F28" s="56">
        <v>29.35</v>
      </c>
      <c r="G28" s="33">
        <v>127.4</v>
      </c>
      <c r="H28" s="35">
        <f t="shared" ref="H28:H37" si="5">(E28+F28)/D28</f>
        <v>1.2019263845889232</v>
      </c>
      <c r="I28" s="33">
        <v>3739.19</v>
      </c>
      <c r="J28" s="56">
        <v>1.86</v>
      </c>
      <c r="K28" s="12">
        <f t="shared" ref="K28:K37" si="6">J28/D28</f>
        <v>1.2796697626418991E-2</v>
      </c>
      <c r="L28" s="276">
        <f t="shared" ref="L28:L37" si="7">J28*G28</f>
        <v>236.96400000000003</v>
      </c>
      <c r="M28" s="275">
        <f t="shared" ref="M28:M37" si="8">((E28+F28)-D28)-J28</f>
        <v>27.489999999999995</v>
      </c>
      <c r="N28" s="13">
        <f t="shared" ref="N28:N37" si="9">M28/D28</f>
        <v>0.18912968696250426</v>
      </c>
      <c r="O28" s="69" t="s">
        <v>22</v>
      </c>
      <c r="P28" s="14" t="s">
        <v>672</v>
      </c>
      <c r="Q28" s="14" t="s">
        <v>84</v>
      </c>
      <c r="R28" s="28" t="s">
        <v>25</v>
      </c>
    </row>
    <row r="29" spans="1:18" s="62" customFormat="1" ht="24.75" customHeight="1" x14ac:dyDescent="0.25">
      <c r="A29" s="277">
        <v>2</v>
      </c>
      <c r="B29" s="10" t="s">
        <v>706</v>
      </c>
      <c r="C29" s="33">
        <v>2289.11</v>
      </c>
      <c r="D29" s="56">
        <v>262.92</v>
      </c>
      <c r="E29" s="56">
        <v>262.92</v>
      </c>
      <c r="F29" s="56">
        <v>25.5</v>
      </c>
      <c r="G29" s="33">
        <v>95.34</v>
      </c>
      <c r="H29" s="35">
        <f t="shared" si="5"/>
        <v>1.0969876768598814</v>
      </c>
      <c r="I29" s="33">
        <v>2431.17</v>
      </c>
      <c r="J29" s="56">
        <v>1.49</v>
      </c>
      <c r="K29" s="12">
        <f t="shared" si="6"/>
        <v>5.6671230792636543E-3</v>
      </c>
      <c r="L29" s="276">
        <f t="shared" si="7"/>
        <v>142.0566</v>
      </c>
      <c r="M29" s="275">
        <f t="shared" si="8"/>
        <v>24.01</v>
      </c>
      <c r="N29" s="13">
        <f t="shared" si="9"/>
        <v>9.132055378061768E-2</v>
      </c>
      <c r="O29" s="69" t="s">
        <v>22</v>
      </c>
      <c r="P29" s="14" t="s">
        <v>672</v>
      </c>
      <c r="Q29" s="14" t="s">
        <v>84</v>
      </c>
      <c r="R29" s="28" t="s">
        <v>25</v>
      </c>
    </row>
    <row r="30" spans="1:18" s="62" customFormat="1" ht="24.95" customHeight="1" x14ac:dyDescent="0.25">
      <c r="A30" s="277">
        <v>3</v>
      </c>
      <c r="B30" s="10" t="s">
        <v>36</v>
      </c>
      <c r="C30" s="33">
        <v>2039.06</v>
      </c>
      <c r="D30" s="56">
        <v>320.33999999999997</v>
      </c>
      <c r="E30" s="56">
        <v>320.33999999999997</v>
      </c>
      <c r="F30" s="56">
        <v>18.57</v>
      </c>
      <c r="G30" s="33">
        <v>156.72999999999999</v>
      </c>
      <c r="H30" s="35">
        <f t="shared" si="5"/>
        <v>1.0579696572391835</v>
      </c>
      <c r="I30" s="33">
        <v>2910.48</v>
      </c>
      <c r="J30" s="32">
        <v>5.56</v>
      </c>
      <c r="K30" s="12">
        <f t="shared" si="6"/>
        <v>1.7356558656427545E-2</v>
      </c>
      <c r="L30" s="276">
        <f t="shared" si="7"/>
        <v>871.41879999999992</v>
      </c>
      <c r="M30" s="275">
        <f t="shared" si="8"/>
        <v>13.009999999999994</v>
      </c>
      <c r="N30" s="13">
        <f t="shared" si="9"/>
        <v>4.0613098582755809E-2</v>
      </c>
      <c r="O30" s="69" t="s">
        <v>22</v>
      </c>
      <c r="P30" s="14" t="s">
        <v>672</v>
      </c>
      <c r="Q30" s="14" t="s">
        <v>65</v>
      </c>
      <c r="R30" s="28" t="s">
        <v>25</v>
      </c>
    </row>
    <row r="31" spans="1:18" s="62" customFormat="1" ht="24.95" customHeight="1" x14ac:dyDescent="0.25">
      <c r="A31" s="274">
        <v>4</v>
      </c>
      <c r="B31" s="10" t="s">
        <v>39</v>
      </c>
      <c r="C31" s="33">
        <v>1943.73</v>
      </c>
      <c r="D31" s="56">
        <v>95.82</v>
      </c>
      <c r="E31" s="56">
        <v>95.82</v>
      </c>
      <c r="F31" s="56">
        <v>20.8</v>
      </c>
      <c r="G31" s="33">
        <v>104.84</v>
      </c>
      <c r="H31" s="35">
        <f t="shared" si="5"/>
        <v>1.2170736798163222</v>
      </c>
      <c r="I31" s="33">
        <v>2180.67</v>
      </c>
      <c r="J31" s="56">
        <v>2.2599999999999998</v>
      </c>
      <c r="K31" s="12">
        <f t="shared" si="6"/>
        <v>2.3585890210811939E-2</v>
      </c>
      <c r="L31" s="276">
        <f t="shared" si="7"/>
        <v>236.93839999999997</v>
      </c>
      <c r="M31" s="275">
        <f t="shared" si="8"/>
        <v>18.54</v>
      </c>
      <c r="N31" s="13">
        <f t="shared" si="9"/>
        <v>0.19348778960551033</v>
      </c>
      <c r="O31" s="69" t="s">
        <v>22</v>
      </c>
      <c r="P31" s="14" t="s">
        <v>672</v>
      </c>
      <c r="Q31" s="14" t="s">
        <v>897</v>
      </c>
      <c r="R31" s="28" t="s">
        <v>25</v>
      </c>
    </row>
    <row r="32" spans="1:18" s="62" customFormat="1" ht="24.95" customHeight="1" x14ac:dyDescent="0.25">
      <c r="A32" s="277">
        <v>5</v>
      </c>
      <c r="B32" s="10" t="s">
        <v>38</v>
      </c>
      <c r="C32" s="33">
        <v>1746.4900000000002</v>
      </c>
      <c r="D32" s="56">
        <v>231.25</v>
      </c>
      <c r="E32" s="56">
        <v>231.25</v>
      </c>
      <c r="F32" s="56">
        <v>23.76</v>
      </c>
      <c r="G32" s="33">
        <v>99.12</v>
      </c>
      <c r="H32" s="35">
        <f t="shared" si="5"/>
        <v>1.1027459459459459</v>
      </c>
      <c r="I32" s="33">
        <v>2355.09</v>
      </c>
      <c r="J32" s="56">
        <v>6.14</v>
      </c>
      <c r="K32" s="12">
        <f t="shared" si="6"/>
        <v>2.6551351351351352E-2</v>
      </c>
      <c r="L32" s="276">
        <f t="shared" si="7"/>
        <v>608.59680000000003</v>
      </c>
      <c r="M32" s="275">
        <f t="shared" si="8"/>
        <v>17.61999999999999</v>
      </c>
      <c r="N32" s="13">
        <f t="shared" si="9"/>
        <v>7.6194594594594559E-2</v>
      </c>
      <c r="O32" s="69" t="s">
        <v>22</v>
      </c>
      <c r="P32" s="14" t="s">
        <v>672</v>
      </c>
      <c r="Q32" s="14" t="s">
        <v>408</v>
      </c>
      <c r="R32" s="28" t="s">
        <v>25</v>
      </c>
    </row>
    <row r="33" spans="1:18" s="62" customFormat="1" ht="24.95" customHeight="1" x14ac:dyDescent="0.25">
      <c r="A33" s="274">
        <v>6</v>
      </c>
      <c r="B33" s="10" t="s">
        <v>669</v>
      </c>
      <c r="C33" s="33">
        <v>1147.97</v>
      </c>
      <c r="D33" s="56">
        <v>119.78</v>
      </c>
      <c r="E33" s="56">
        <v>119.78</v>
      </c>
      <c r="F33" s="56">
        <v>20.329999999999998</v>
      </c>
      <c r="G33" s="33">
        <v>64.930000000000007</v>
      </c>
      <c r="H33" s="35">
        <f t="shared" si="5"/>
        <v>1.1697278343629989</v>
      </c>
      <c r="I33" s="33">
        <v>1320.03</v>
      </c>
      <c r="J33" s="56">
        <v>2.65</v>
      </c>
      <c r="K33" s="12">
        <f t="shared" si="6"/>
        <v>2.2123893805309734E-2</v>
      </c>
      <c r="L33" s="276">
        <f t="shared" si="7"/>
        <v>172.06450000000001</v>
      </c>
      <c r="M33" s="275">
        <f t="shared" si="8"/>
        <v>17.680000000000014</v>
      </c>
      <c r="N33" s="13">
        <f t="shared" si="9"/>
        <v>0.14760394055768922</v>
      </c>
      <c r="O33" s="69" t="s">
        <v>22</v>
      </c>
      <c r="P33" s="14" t="s">
        <v>672</v>
      </c>
      <c r="Q33" s="14" t="s">
        <v>84</v>
      </c>
      <c r="R33" s="28" t="s">
        <v>25</v>
      </c>
    </row>
    <row r="34" spans="1:18" s="62" customFormat="1" ht="24.95" customHeight="1" x14ac:dyDescent="0.25">
      <c r="A34" s="277">
        <v>7</v>
      </c>
      <c r="B34" s="10" t="s">
        <v>824</v>
      </c>
      <c r="C34" s="33">
        <v>1104.01</v>
      </c>
      <c r="D34" s="56">
        <v>272.2</v>
      </c>
      <c r="E34" s="56">
        <v>272.2</v>
      </c>
      <c r="F34" s="56">
        <v>25.89</v>
      </c>
      <c r="G34" s="33">
        <v>44.86</v>
      </c>
      <c r="H34" s="35">
        <f t="shared" si="5"/>
        <v>1.095113886847906</v>
      </c>
      <c r="I34" s="33">
        <v>1161.43</v>
      </c>
      <c r="J34" s="56">
        <v>1.28</v>
      </c>
      <c r="K34" s="12">
        <f t="shared" si="6"/>
        <v>4.7024246877296113E-3</v>
      </c>
      <c r="L34" s="276">
        <f t="shared" si="7"/>
        <v>57.4208</v>
      </c>
      <c r="M34" s="275">
        <f t="shared" si="8"/>
        <v>24.609999999999985</v>
      </c>
      <c r="N34" s="13">
        <f t="shared" si="9"/>
        <v>9.0411462160176287E-2</v>
      </c>
      <c r="O34" s="69" t="s">
        <v>895</v>
      </c>
      <c r="P34" s="14" t="s">
        <v>896</v>
      </c>
      <c r="Q34" s="14" t="s">
        <v>894</v>
      </c>
      <c r="R34" s="28" t="s">
        <v>25</v>
      </c>
    </row>
    <row r="35" spans="1:18" s="62" customFormat="1" ht="24.95" customHeight="1" x14ac:dyDescent="0.25">
      <c r="A35" s="274">
        <v>8</v>
      </c>
      <c r="B35" s="10" t="s">
        <v>818</v>
      </c>
      <c r="C35" s="33">
        <v>1085.8499999999999</v>
      </c>
      <c r="D35" s="56">
        <v>90.63</v>
      </c>
      <c r="E35" s="56">
        <v>90.63</v>
      </c>
      <c r="F35" s="56">
        <v>13.74</v>
      </c>
      <c r="G35" s="33">
        <v>121.46</v>
      </c>
      <c r="H35" s="35">
        <f t="shared" si="5"/>
        <v>1.1516054286660047</v>
      </c>
      <c r="I35" s="33">
        <v>1668.86</v>
      </c>
      <c r="J35" s="56">
        <v>4.8</v>
      </c>
      <c r="K35" s="12">
        <f t="shared" si="6"/>
        <v>5.2962595167163194E-2</v>
      </c>
      <c r="L35" s="276">
        <f t="shared" si="7"/>
        <v>583.00799999999992</v>
      </c>
      <c r="M35" s="275">
        <f t="shared" si="8"/>
        <v>8.9399999999999942</v>
      </c>
      <c r="N35" s="13">
        <f t="shared" si="9"/>
        <v>9.8642833498841384E-2</v>
      </c>
      <c r="O35" s="69" t="s">
        <v>22</v>
      </c>
      <c r="P35" s="14" t="s">
        <v>896</v>
      </c>
      <c r="Q35" s="14" t="s">
        <v>84</v>
      </c>
      <c r="R35" s="28" t="s">
        <v>819</v>
      </c>
    </row>
    <row r="36" spans="1:18" s="62" customFormat="1" ht="24.95" customHeight="1" x14ac:dyDescent="0.25">
      <c r="A36" s="277">
        <v>9</v>
      </c>
      <c r="B36" s="10" t="s">
        <v>40</v>
      </c>
      <c r="C36" s="33">
        <v>1062.3600000000001</v>
      </c>
      <c r="D36" s="56">
        <v>229.88</v>
      </c>
      <c r="E36" s="56">
        <v>229.88</v>
      </c>
      <c r="F36" s="56">
        <v>15.66</v>
      </c>
      <c r="G36" s="33">
        <v>78</v>
      </c>
      <c r="H36" s="35">
        <f t="shared" si="5"/>
        <v>1.0681224986949713</v>
      </c>
      <c r="I36" s="33">
        <v>1221.48</v>
      </c>
      <c r="J36" s="56">
        <v>2.04</v>
      </c>
      <c r="K36" s="12">
        <f t="shared" si="6"/>
        <v>8.8741952322951116E-3</v>
      </c>
      <c r="L36" s="276">
        <f t="shared" si="7"/>
        <v>159.12</v>
      </c>
      <c r="M36" s="275">
        <f t="shared" si="8"/>
        <v>13.619999999999997</v>
      </c>
      <c r="N36" s="13">
        <f t="shared" si="9"/>
        <v>5.924830346267617E-2</v>
      </c>
      <c r="O36" s="69" t="s">
        <v>22</v>
      </c>
      <c r="P36" s="14" t="s">
        <v>672</v>
      </c>
      <c r="Q36" s="14" t="s">
        <v>891</v>
      </c>
      <c r="R36" s="28" t="s">
        <v>25</v>
      </c>
    </row>
    <row r="37" spans="1:18" s="62" customFormat="1" ht="24.95" customHeight="1" thickBot="1" x14ac:dyDescent="0.3">
      <c r="A37" s="278">
        <v>10</v>
      </c>
      <c r="B37" s="16" t="s">
        <v>52</v>
      </c>
      <c r="C37" s="34">
        <v>1057.6499999999999</v>
      </c>
      <c r="D37" s="58">
        <v>332.9</v>
      </c>
      <c r="E37" s="58">
        <v>332.9</v>
      </c>
      <c r="F37" s="58">
        <v>9.67</v>
      </c>
      <c r="G37" s="34">
        <v>133.88</v>
      </c>
      <c r="H37" s="36">
        <f t="shared" si="5"/>
        <v>1.0290477620907179</v>
      </c>
      <c r="I37" s="34">
        <v>1294.6199999999999</v>
      </c>
      <c r="J37" s="58">
        <v>1.77</v>
      </c>
      <c r="K37" s="18">
        <f t="shared" si="6"/>
        <v>5.3169119855812561E-3</v>
      </c>
      <c r="L37" s="280">
        <f t="shared" si="7"/>
        <v>236.9676</v>
      </c>
      <c r="M37" s="279">
        <f t="shared" si="8"/>
        <v>7.9000000000000163</v>
      </c>
      <c r="N37" s="19">
        <f t="shared" si="9"/>
        <v>2.3730850105136727E-2</v>
      </c>
      <c r="O37" s="52" t="s">
        <v>22</v>
      </c>
      <c r="P37" s="20" t="s">
        <v>672</v>
      </c>
      <c r="Q37" s="20" t="s">
        <v>893</v>
      </c>
      <c r="R37" s="65" t="s">
        <v>77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825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796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665" t="s">
        <v>224</v>
      </c>
      <c r="B41" s="450" t="s">
        <v>802</v>
      </c>
      <c r="C41" s="450"/>
      <c r="D41" s="451"/>
      <c r="E41" s="23"/>
      <c r="G41" s="21"/>
      <c r="H41" s="22"/>
    </row>
    <row r="42" spans="1:18" ht="20.45" customHeight="1" x14ac:dyDescent="0.35">
      <c r="A42" s="665"/>
      <c r="B42" s="666" t="s">
        <v>804</v>
      </c>
      <c r="C42" s="667" t="s">
        <v>805</v>
      </c>
      <c r="D42" s="668" t="s">
        <v>240</v>
      </c>
      <c r="E42" s="23"/>
      <c r="G42" s="21"/>
      <c r="H42" s="22"/>
    </row>
    <row r="43" spans="1:18" ht="20.45" customHeight="1" x14ac:dyDescent="0.35">
      <c r="A43" s="665"/>
      <c r="B43" s="666"/>
      <c r="C43" s="667"/>
      <c r="D43" s="668"/>
      <c r="E43" s="23"/>
      <c r="G43" s="21"/>
      <c r="H43" s="22"/>
    </row>
    <row r="44" spans="1:18" s="26" customFormat="1" ht="24.95" customHeight="1" x14ac:dyDescent="0.35">
      <c r="A44" s="284">
        <v>1</v>
      </c>
      <c r="B44" s="10" t="s">
        <v>786</v>
      </c>
      <c r="C44" s="33">
        <v>1647.2</v>
      </c>
      <c r="D44" s="24">
        <f t="shared" ref="D44:D53" si="10">C44/$L$5</f>
        <v>0.20110981558015029</v>
      </c>
      <c r="E44" s="25"/>
      <c r="G44" s="21"/>
      <c r="H44" s="22"/>
    </row>
    <row r="45" spans="1:18" s="26" customFormat="1" ht="24.95" customHeight="1" x14ac:dyDescent="0.35">
      <c r="A45" s="285">
        <v>2</v>
      </c>
      <c r="B45" s="10" t="s">
        <v>787</v>
      </c>
      <c r="C45" s="33">
        <v>1329.16</v>
      </c>
      <c r="D45" s="24">
        <f t="shared" si="10"/>
        <v>0.16227970038642095</v>
      </c>
      <c r="E45" s="25"/>
      <c r="G45" s="21"/>
      <c r="H45" s="22"/>
    </row>
    <row r="46" spans="1:18" s="26" customFormat="1" ht="24.95" customHeight="1" x14ac:dyDescent="0.35">
      <c r="A46" s="285">
        <v>3</v>
      </c>
      <c r="B46" s="10" t="s">
        <v>36</v>
      </c>
      <c r="C46" s="33">
        <v>871.42</v>
      </c>
      <c r="D46" s="24">
        <f t="shared" si="10"/>
        <v>0.10639334354835756</v>
      </c>
      <c r="E46" s="25"/>
      <c r="G46" s="21"/>
      <c r="H46" s="22"/>
    </row>
    <row r="47" spans="1:18" s="26" customFormat="1" ht="24.95" customHeight="1" x14ac:dyDescent="0.35">
      <c r="A47" s="284">
        <v>4</v>
      </c>
      <c r="B47" s="10" t="s">
        <v>38</v>
      </c>
      <c r="C47" s="33">
        <v>608.6</v>
      </c>
      <c r="D47" s="24">
        <f t="shared" si="10"/>
        <v>7.4305144343175977E-2</v>
      </c>
      <c r="E47" s="25"/>
      <c r="G47" s="21"/>
      <c r="H47" s="22"/>
    </row>
    <row r="48" spans="1:18" s="26" customFormat="1" ht="24.95" customHeight="1" x14ac:dyDescent="0.35">
      <c r="A48" s="285">
        <v>5</v>
      </c>
      <c r="B48" s="10" t="s">
        <v>42</v>
      </c>
      <c r="C48" s="33">
        <v>255.31</v>
      </c>
      <c r="D48" s="24">
        <f t="shared" si="10"/>
        <v>3.1171288863385244E-2</v>
      </c>
      <c r="E48" s="25"/>
      <c r="G48" s="21"/>
      <c r="H48" s="22"/>
    </row>
    <row r="49" spans="1:5" s="26" customFormat="1" ht="24.95" customHeight="1" x14ac:dyDescent="0.25">
      <c r="A49" s="284">
        <v>6</v>
      </c>
      <c r="B49" s="10" t="s">
        <v>35</v>
      </c>
      <c r="C49" s="33">
        <v>241.99</v>
      </c>
      <c r="D49" s="24">
        <f t="shared" si="10"/>
        <v>2.9545024448907584E-2</v>
      </c>
      <c r="E49" s="25"/>
    </row>
    <row r="50" spans="1:5" s="26" customFormat="1" ht="24.95" customHeight="1" x14ac:dyDescent="0.25">
      <c r="A50" s="285">
        <v>7</v>
      </c>
      <c r="B50" s="10" t="s">
        <v>665</v>
      </c>
      <c r="C50" s="33">
        <v>237.33</v>
      </c>
      <c r="D50" s="24">
        <f t="shared" si="10"/>
        <v>2.8976076087686421E-2</v>
      </c>
      <c r="E50" s="25"/>
    </row>
    <row r="51" spans="1:5" s="26" customFormat="1" ht="24.95" customHeight="1" x14ac:dyDescent="0.25">
      <c r="A51" s="284">
        <v>8</v>
      </c>
      <c r="B51" s="10" t="s">
        <v>34</v>
      </c>
      <c r="C51" s="33">
        <v>237.2</v>
      </c>
      <c r="D51" s="24">
        <f t="shared" si="10"/>
        <v>2.8960204137695268E-2</v>
      </c>
      <c r="E51" s="25"/>
    </row>
    <row r="52" spans="1:5" s="26" customFormat="1" ht="24.95" customHeight="1" x14ac:dyDescent="0.25">
      <c r="A52" s="285">
        <v>9</v>
      </c>
      <c r="B52" s="10" t="s">
        <v>59</v>
      </c>
      <c r="C52" s="33">
        <v>237.2</v>
      </c>
      <c r="D52" s="24">
        <f t="shared" si="10"/>
        <v>2.8960204137695268E-2</v>
      </c>
      <c r="E52" s="25"/>
    </row>
    <row r="53" spans="1:5" s="26" customFormat="1" ht="24.95" customHeight="1" thickBot="1" x14ac:dyDescent="0.3">
      <c r="A53" s="286">
        <v>10</v>
      </c>
      <c r="B53" s="16" t="s">
        <v>41</v>
      </c>
      <c r="C53" s="34">
        <v>236.96</v>
      </c>
      <c r="D53" s="27">
        <f t="shared" si="10"/>
        <v>2.8930902076173153E-2</v>
      </c>
      <c r="E53" s="25"/>
    </row>
    <row r="54" spans="1:5" x14ac:dyDescent="0.25">
      <c r="A54" s="441" t="s">
        <v>216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217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721" priority="33" operator="containsText" text="024">
      <formula>NOT(ISERROR(SEARCH("024",A12)))</formula>
    </cfRule>
    <cfRule type="containsText" dxfId="720" priority="34" operator="containsText" text="白醬">
      <formula>NOT(ISERROR(SEARCH("白醬",A12)))</formula>
    </cfRule>
    <cfRule type="containsText" dxfId="719" priority="35" operator="containsText" text="青蔥">
      <formula>NOT(ISERROR(SEARCH("青蔥",A12)))</formula>
    </cfRule>
    <cfRule type="containsText" dxfId="718" priority="36" operator="containsText" text=")川燙小青花菜">
      <formula>NOT(ISERROR(SEARCH(")川燙小青花菜",A12)))</formula>
    </cfRule>
    <cfRule type="containsText" dxfId="717" priority="37" operator="containsText" text="湯凍">
      <formula>NOT(ISERROR(SEARCH("湯凍",A12)))</formula>
    </cfRule>
    <cfRule type="containsText" dxfId="716" priority="38" operator="containsText" text="中華">
      <formula>NOT(ISERROR(SEARCH("中華",A12)))</formula>
    </cfRule>
  </conditionalFormatting>
  <conditionalFormatting sqref="A12:A22">
    <cfRule type="containsText" dxfId="715" priority="31" operator="containsText" text="綠豆芽">
      <formula>NOT(ISERROR(SEARCH("綠豆芽",A12)))</formula>
    </cfRule>
    <cfRule type="containsText" dxfId="714" priority="32" operator="containsText" text="煮白細麵生(方#12)">
      <formula>NOT(ISERROR(SEARCH("煮白細麵生(方#12)",A12)))</formula>
    </cfRule>
  </conditionalFormatting>
  <conditionalFormatting sqref="E5">
    <cfRule type="cellIs" dxfId="713" priority="16" operator="greaterThan">
      <formula>0.0025</formula>
    </cfRule>
    <cfRule type="cellIs" dxfId="712" priority="19" operator="greaterThan">
      <formula>0.0025</formula>
    </cfRule>
    <cfRule type="cellIs" dxfId="711" priority="29" operator="greaterThan">
      <formula>0.072</formula>
    </cfRule>
    <cfRule type="cellIs" dxfId="710" priority="30" operator="greaterThan">
      <formula>7.2</formula>
    </cfRule>
  </conditionalFormatting>
  <conditionalFormatting sqref="E5">
    <cfRule type="cellIs" dxfId="709" priority="28" operator="greaterThan">
      <formula>0.0025</formula>
    </cfRule>
  </conditionalFormatting>
  <conditionalFormatting sqref="A44:A53">
    <cfRule type="containsText" dxfId="708" priority="22" operator="containsText" text="024">
      <formula>NOT(ISERROR(SEARCH("024",A44)))</formula>
    </cfRule>
    <cfRule type="containsText" dxfId="707" priority="23" operator="containsText" text="白醬">
      <formula>NOT(ISERROR(SEARCH("白醬",A44)))</formula>
    </cfRule>
    <cfRule type="containsText" dxfId="706" priority="24" operator="containsText" text="青蔥">
      <formula>NOT(ISERROR(SEARCH("青蔥",A44)))</formula>
    </cfRule>
    <cfRule type="containsText" dxfId="705" priority="25" operator="containsText" text=")川燙小青花菜">
      <formula>NOT(ISERROR(SEARCH(")川燙小青花菜",A44)))</formula>
    </cfRule>
    <cfRule type="containsText" dxfId="704" priority="26" operator="containsText" text="湯凍">
      <formula>NOT(ISERROR(SEARCH("湯凍",A44)))</formula>
    </cfRule>
    <cfRule type="containsText" dxfId="703" priority="27" operator="containsText" text="中華">
      <formula>NOT(ISERROR(SEARCH("中華",A44)))</formula>
    </cfRule>
  </conditionalFormatting>
  <conditionalFormatting sqref="A44:A53">
    <cfRule type="containsText" dxfId="702" priority="20" operator="containsText" text="綠豆芽">
      <formula>NOT(ISERROR(SEARCH("綠豆芽",A44)))</formula>
    </cfRule>
    <cfRule type="containsText" dxfId="701" priority="21" operator="containsText" text="煮白細麵生(方#12)">
      <formula>NOT(ISERROR(SEARCH("煮白細麵生(方#12)",A44)))</formula>
    </cfRule>
  </conditionalFormatting>
  <conditionalFormatting sqref="D44:D53">
    <cfRule type="cellIs" dxfId="700" priority="18" operator="greaterThan">
      <formula>0.146</formula>
    </cfRule>
  </conditionalFormatting>
  <conditionalFormatting sqref="H12:H22">
    <cfRule type="cellIs" dxfId="699" priority="17" operator="greaterThan">
      <formula>1.1</formula>
    </cfRule>
  </conditionalFormatting>
  <conditionalFormatting sqref="I5">
    <cfRule type="cellIs" dxfId="698" priority="15" operator="greaterThan">
      <formula>0.2</formula>
    </cfRule>
  </conditionalFormatting>
  <conditionalFormatting sqref="A28:A37">
    <cfRule type="containsText" dxfId="697" priority="9" operator="containsText" text="024">
      <formula>NOT(ISERROR(SEARCH("024",A28)))</formula>
    </cfRule>
    <cfRule type="containsText" dxfId="696" priority="10" operator="containsText" text="白醬">
      <formula>NOT(ISERROR(SEARCH("白醬",A28)))</formula>
    </cfRule>
    <cfRule type="containsText" dxfId="695" priority="11" operator="containsText" text="青蔥">
      <formula>NOT(ISERROR(SEARCH("青蔥",A28)))</formula>
    </cfRule>
    <cfRule type="containsText" dxfId="694" priority="12" operator="containsText" text=")川燙小青花菜">
      <formula>NOT(ISERROR(SEARCH(")川燙小青花菜",A28)))</formula>
    </cfRule>
    <cfRule type="containsText" dxfId="693" priority="13" operator="containsText" text="湯凍">
      <formula>NOT(ISERROR(SEARCH("湯凍",A28)))</formula>
    </cfRule>
    <cfRule type="containsText" dxfId="692" priority="14" operator="containsText" text="中華">
      <formula>NOT(ISERROR(SEARCH("中華",A28)))</formula>
    </cfRule>
  </conditionalFormatting>
  <conditionalFormatting sqref="A28:A37">
    <cfRule type="containsText" dxfId="691" priority="7" operator="containsText" text="綠豆芽">
      <formula>NOT(ISERROR(SEARCH("綠豆芽",A28)))</formula>
    </cfRule>
    <cfRule type="containsText" dxfId="690" priority="8" operator="containsText" text="煮白細麵生(方#12)">
      <formula>NOT(ISERROR(SEARCH("煮白細麵生(方#12)",A28)))</formula>
    </cfRule>
  </conditionalFormatting>
  <conditionalFormatting sqref="H28:H37">
    <cfRule type="cellIs" dxfId="689" priority="6" operator="greaterThan">
      <formula>1.1</formula>
    </cfRule>
  </conditionalFormatting>
  <conditionalFormatting sqref="G5">
    <cfRule type="cellIs" dxfId="688" priority="1" operator="greaterThan">
      <formula>0.0025</formula>
    </cfRule>
    <cfRule type="cellIs" dxfId="687" priority="2" operator="greaterThan">
      <formula>0.0025</formula>
    </cfRule>
    <cfRule type="cellIs" dxfId="686" priority="4" operator="greaterThan">
      <formula>0.072</formula>
    </cfRule>
    <cfRule type="cellIs" dxfId="685" priority="5" operator="greaterThan">
      <formula>7.2</formula>
    </cfRule>
  </conditionalFormatting>
  <conditionalFormatting sqref="G5">
    <cfRule type="cellIs" dxfId="68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B13" zoomScale="70" zoomScaleNormal="70" zoomScaleSheetLayoutView="70" workbookViewId="0">
      <selection activeCell="O34" sqref="O3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690" t="s">
        <v>92</v>
      </c>
      <c r="B2" s="691"/>
      <c r="C2" s="250" t="s">
        <v>93</v>
      </c>
      <c r="D2" s="692" t="s">
        <v>94</v>
      </c>
      <c r="E2" s="692"/>
      <c r="F2" s="692" t="s">
        <v>95</v>
      </c>
      <c r="G2" s="692"/>
      <c r="H2" s="692" t="s">
        <v>94</v>
      </c>
      <c r="I2" s="692"/>
      <c r="J2" s="692" t="s">
        <v>95</v>
      </c>
      <c r="K2" s="692"/>
      <c r="L2" s="692" t="s">
        <v>94</v>
      </c>
      <c r="M2" s="693"/>
      <c r="R2" s="54"/>
    </row>
    <row r="3" spans="1:18" s="1" customFormat="1" ht="28.5" x14ac:dyDescent="0.45">
      <c r="A3" s="700">
        <v>45887</v>
      </c>
      <c r="B3" s="701"/>
      <c r="C3" s="702">
        <v>5701317.8200000003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700"/>
      <c r="B4" s="701"/>
      <c r="C4" s="702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694" t="s">
        <v>105</v>
      </c>
      <c r="B5" s="695"/>
      <c r="C5" s="695"/>
      <c r="D5" s="251">
        <v>13867.019999999999</v>
      </c>
      <c r="E5" s="5">
        <f>D5/C3</f>
        <v>2.432248199066369E-3</v>
      </c>
      <c r="F5" s="251">
        <v>48846.099999999984</v>
      </c>
      <c r="G5" s="44">
        <f>F5/C3</f>
        <v>8.5675104497156384E-3</v>
      </c>
      <c r="H5" s="6">
        <f>SUM(C12:C21)</f>
        <v>4742.4500000000007</v>
      </c>
      <c r="I5" s="7">
        <f>H5/D5</f>
        <v>0.34199489147632306</v>
      </c>
      <c r="J5" s="6">
        <f>SUM(C28:C37)</f>
        <v>32506.149999999998</v>
      </c>
      <c r="K5" s="46">
        <f>J5/F5</f>
        <v>0.6654809698215417</v>
      </c>
      <c r="L5" s="8">
        <v>2450.88</v>
      </c>
      <c r="M5" s="9">
        <f>L5/D5</f>
        <v>0.17674165033294828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750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127</v>
      </c>
      <c r="B8" s="447"/>
      <c r="C8" s="447"/>
      <c r="D8" s="447" t="s">
        <v>751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752</v>
      </c>
      <c r="P8" s="457" t="s">
        <v>753</v>
      </c>
      <c r="Q8" s="456" t="s">
        <v>754</v>
      </c>
      <c r="R8" s="696" t="s">
        <v>755</v>
      </c>
    </row>
    <row r="9" spans="1:18" ht="20.45" customHeight="1" x14ac:dyDescent="0.25">
      <c r="A9" s="697" t="s">
        <v>756</v>
      </c>
      <c r="B9" s="461" t="s">
        <v>757</v>
      </c>
      <c r="C9" s="462"/>
      <c r="D9" s="463" t="s">
        <v>758</v>
      </c>
      <c r="E9" s="463"/>
      <c r="F9" s="463"/>
      <c r="G9" s="463"/>
      <c r="H9" s="463"/>
      <c r="I9" s="463"/>
      <c r="J9" s="464" t="s">
        <v>759</v>
      </c>
      <c r="K9" s="464"/>
      <c r="L9" s="464"/>
      <c r="M9" s="465"/>
      <c r="N9" s="465"/>
      <c r="O9" s="456"/>
      <c r="P9" s="456"/>
      <c r="Q9" s="456"/>
      <c r="R9" s="696"/>
    </row>
    <row r="10" spans="1:18" ht="20.45" customHeight="1" x14ac:dyDescent="0.3">
      <c r="A10" s="698"/>
      <c r="B10" s="703" t="s">
        <v>760</v>
      </c>
      <c r="C10" s="705" t="s">
        <v>761</v>
      </c>
      <c r="D10" s="707" t="s">
        <v>762</v>
      </c>
      <c r="E10" s="707"/>
      <c r="F10" s="707"/>
      <c r="G10" s="707"/>
      <c r="H10" s="707"/>
      <c r="I10" s="707"/>
      <c r="J10" s="708" t="s">
        <v>763</v>
      </c>
      <c r="K10" s="709"/>
      <c r="L10" s="710" t="s">
        <v>764</v>
      </c>
      <c r="M10" s="708"/>
      <c r="N10" s="708"/>
      <c r="O10" s="456"/>
      <c r="P10" s="456"/>
      <c r="Q10" s="456"/>
      <c r="R10" s="696"/>
    </row>
    <row r="11" spans="1:18" s="55" customFormat="1" ht="47.25" customHeight="1" x14ac:dyDescent="0.25">
      <c r="A11" s="699"/>
      <c r="B11" s="704"/>
      <c r="C11" s="706"/>
      <c r="D11" s="252" t="s">
        <v>765</v>
      </c>
      <c r="E11" s="252" t="s">
        <v>766</v>
      </c>
      <c r="F11" s="252" t="s">
        <v>767</v>
      </c>
      <c r="G11" s="252" t="s">
        <v>768</v>
      </c>
      <c r="H11" s="252" t="s">
        <v>769</v>
      </c>
      <c r="I11" s="252" t="s">
        <v>145</v>
      </c>
      <c r="J11" s="253" t="s">
        <v>770</v>
      </c>
      <c r="K11" s="253" t="s">
        <v>147</v>
      </c>
      <c r="L11" s="253" t="s">
        <v>770</v>
      </c>
      <c r="M11" s="253" t="s">
        <v>771</v>
      </c>
      <c r="N11" s="254" t="s">
        <v>772</v>
      </c>
      <c r="O11" s="456"/>
      <c r="P11" s="456"/>
      <c r="Q11" s="456"/>
      <c r="R11" s="696"/>
    </row>
    <row r="12" spans="1:18" s="15" customFormat="1" ht="24.95" customHeight="1" x14ac:dyDescent="0.25">
      <c r="A12" s="255">
        <v>1</v>
      </c>
      <c r="B12" s="10" t="s">
        <v>47</v>
      </c>
      <c r="C12" s="33">
        <v>1007.69</v>
      </c>
      <c r="D12" s="56">
        <v>48.05</v>
      </c>
      <c r="E12" s="56">
        <v>51.67</v>
      </c>
      <c r="F12" s="56">
        <v>4.3499999999999996</v>
      </c>
      <c r="G12" s="33">
        <v>342.75</v>
      </c>
      <c r="H12" s="11">
        <f t="shared" ref="H12:H21" si="0">(E12+F12)/D12</f>
        <v>1.165868886576483</v>
      </c>
      <c r="I12" s="33">
        <v>2731.72</v>
      </c>
      <c r="J12" s="56">
        <v>2.94</v>
      </c>
      <c r="K12" s="12">
        <f t="shared" ref="K12:K21" si="1">J12/D12</f>
        <v>6.1186264308012488E-2</v>
      </c>
      <c r="L12" s="256">
        <f t="shared" ref="L12:L21" si="2">((E12+F12)-D12)-J12</f>
        <v>5.0300000000000065</v>
      </c>
      <c r="M12" s="13">
        <f t="shared" ref="M12:M21" si="3">L12/D12</f>
        <v>0.10468262226847048</v>
      </c>
      <c r="N12" s="257">
        <f t="shared" ref="N12:N21" si="4">L12*G12</f>
        <v>1724.0325000000023</v>
      </c>
      <c r="O12" s="66" t="s">
        <v>584</v>
      </c>
      <c r="P12" s="14" t="s">
        <v>672</v>
      </c>
      <c r="Q12" s="66" t="s">
        <v>585</v>
      </c>
      <c r="R12" s="28" t="s">
        <v>73</v>
      </c>
    </row>
    <row r="13" spans="1:18" s="15" customFormat="1" ht="24.95" customHeight="1" x14ac:dyDescent="0.25">
      <c r="A13" s="258">
        <v>2</v>
      </c>
      <c r="B13" s="10" t="s">
        <v>368</v>
      </c>
      <c r="C13" s="33">
        <v>467.17</v>
      </c>
      <c r="D13" s="56">
        <v>69.17</v>
      </c>
      <c r="E13" s="56">
        <v>79.540000000000006</v>
      </c>
      <c r="F13" s="56">
        <v>0</v>
      </c>
      <c r="G13" s="33">
        <v>90.1</v>
      </c>
      <c r="H13" s="11">
        <f t="shared" si="0"/>
        <v>1.1499204857597225</v>
      </c>
      <c r="I13" s="33">
        <v>934.34</v>
      </c>
      <c r="J13" s="56">
        <v>5.1850000000000023</v>
      </c>
      <c r="K13" s="12">
        <f t="shared" si="1"/>
        <v>7.4960242879861236E-2</v>
      </c>
      <c r="L13" s="256">
        <f t="shared" si="2"/>
        <v>5.1850000000000023</v>
      </c>
      <c r="M13" s="13">
        <f t="shared" si="3"/>
        <v>7.4960242879861236E-2</v>
      </c>
      <c r="N13" s="257">
        <f t="shared" si="4"/>
        <v>467.16850000000017</v>
      </c>
      <c r="O13" s="66" t="s">
        <v>18</v>
      </c>
      <c r="P13" s="66" t="s">
        <v>673</v>
      </c>
      <c r="Q13" s="66" t="s">
        <v>590</v>
      </c>
      <c r="R13" s="28" t="s">
        <v>78</v>
      </c>
    </row>
    <row r="14" spans="1:18" s="57" customFormat="1" ht="24.95" customHeight="1" x14ac:dyDescent="0.25">
      <c r="A14" s="258">
        <v>3</v>
      </c>
      <c r="B14" s="10" t="s">
        <v>35</v>
      </c>
      <c r="C14" s="33">
        <v>447.07</v>
      </c>
      <c r="D14" s="56">
        <v>103.1</v>
      </c>
      <c r="E14" s="56">
        <v>101.27</v>
      </c>
      <c r="F14" s="56">
        <v>7.6</v>
      </c>
      <c r="G14" s="33">
        <v>410.16</v>
      </c>
      <c r="H14" s="11">
        <f t="shared" si="0"/>
        <v>1.0559650824442288</v>
      </c>
      <c r="I14" s="33">
        <v>2366.62</v>
      </c>
      <c r="J14" s="56">
        <v>1.0900000000000001</v>
      </c>
      <c r="K14" s="12">
        <f t="shared" si="1"/>
        <v>1.0572259941804074E-2</v>
      </c>
      <c r="L14" s="256">
        <f t="shared" si="2"/>
        <v>4.6799999999999962</v>
      </c>
      <c r="M14" s="13">
        <f t="shared" si="3"/>
        <v>4.5392822502424796E-2</v>
      </c>
      <c r="N14" s="257">
        <f t="shared" si="4"/>
        <v>1919.5487999999984</v>
      </c>
      <c r="O14" s="66" t="s">
        <v>584</v>
      </c>
      <c r="P14" s="14" t="s">
        <v>672</v>
      </c>
      <c r="Q14" s="66" t="s">
        <v>585</v>
      </c>
      <c r="R14" s="28" t="s">
        <v>25</v>
      </c>
    </row>
    <row r="15" spans="1:18" s="15" customFormat="1" ht="24.95" customHeight="1" x14ac:dyDescent="0.25">
      <c r="A15" s="255">
        <v>4</v>
      </c>
      <c r="B15" s="10" t="s">
        <v>112</v>
      </c>
      <c r="C15" s="33">
        <v>429.32</v>
      </c>
      <c r="D15" s="56">
        <v>21.09</v>
      </c>
      <c r="E15" s="56">
        <v>22.89</v>
      </c>
      <c r="F15" s="56">
        <v>4</v>
      </c>
      <c r="G15" s="33">
        <v>148.04</v>
      </c>
      <c r="H15" s="11">
        <f t="shared" si="0"/>
        <v>1.2750118539592223</v>
      </c>
      <c r="I15" s="33">
        <v>858.63</v>
      </c>
      <c r="J15" s="56">
        <v>2.9</v>
      </c>
      <c r="K15" s="12">
        <f t="shared" si="1"/>
        <v>0.1375059269796112</v>
      </c>
      <c r="L15" s="256">
        <f t="shared" si="2"/>
        <v>2.9000000000000008</v>
      </c>
      <c r="M15" s="13">
        <f t="shared" si="3"/>
        <v>0.13750592697961123</v>
      </c>
      <c r="N15" s="257">
        <f t="shared" si="4"/>
        <v>429.31600000000009</v>
      </c>
      <c r="O15" s="66" t="s">
        <v>584</v>
      </c>
      <c r="P15" s="14" t="s">
        <v>672</v>
      </c>
      <c r="Q15" s="66" t="s">
        <v>585</v>
      </c>
      <c r="R15" s="28" t="s">
        <v>113</v>
      </c>
    </row>
    <row r="16" spans="1:18" s="57" customFormat="1" ht="24.95" customHeight="1" x14ac:dyDescent="0.25">
      <c r="A16" s="258">
        <v>5</v>
      </c>
      <c r="B16" s="10" t="s">
        <v>37</v>
      </c>
      <c r="C16" s="33">
        <v>420.06</v>
      </c>
      <c r="D16" s="56">
        <v>386.9</v>
      </c>
      <c r="E16" s="56">
        <v>355.05999999999995</v>
      </c>
      <c r="F16" s="56">
        <v>37.6</v>
      </c>
      <c r="G16" s="33">
        <v>156.74</v>
      </c>
      <c r="H16" s="11">
        <f t="shared" si="0"/>
        <v>1.0148875678469889</v>
      </c>
      <c r="I16" s="33">
        <v>902.82</v>
      </c>
      <c r="J16" s="56">
        <v>2.68</v>
      </c>
      <c r="K16" s="12">
        <f t="shared" si="1"/>
        <v>6.9268544843628854E-3</v>
      </c>
      <c r="L16" s="256">
        <f t="shared" si="2"/>
        <v>3.0799999999999907</v>
      </c>
      <c r="M16" s="13">
        <f t="shared" si="3"/>
        <v>7.9607133626259773E-3</v>
      </c>
      <c r="N16" s="257">
        <f t="shared" si="4"/>
        <v>482.7591999999986</v>
      </c>
      <c r="O16" s="66" t="s">
        <v>18</v>
      </c>
      <c r="P16" s="66" t="s">
        <v>673</v>
      </c>
      <c r="Q16" s="66" t="s">
        <v>583</v>
      </c>
      <c r="R16" s="28" t="s">
        <v>25</v>
      </c>
    </row>
    <row r="17" spans="1:18" s="15" customFormat="1" ht="24.95" customHeight="1" x14ac:dyDescent="0.25">
      <c r="A17" s="255">
        <v>6</v>
      </c>
      <c r="B17" s="10" t="s">
        <v>36</v>
      </c>
      <c r="C17" s="33">
        <v>406.71</v>
      </c>
      <c r="D17" s="56">
        <v>230.73</v>
      </c>
      <c r="E17" s="56">
        <v>220.42</v>
      </c>
      <c r="F17" s="56">
        <v>15.5</v>
      </c>
      <c r="G17" s="33">
        <v>156.72999999999999</v>
      </c>
      <c r="H17" s="11">
        <f t="shared" si="0"/>
        <v>1.0224938239500716</v>
      </c>
      <c r="I17" s="33">
        <v>813.43</v>
      </c>
      <c r="J17" s="56">
        <v>2.5949999999999989</v>
      </c>
      <c r="K17" s="12">
        <f t="shared" si="1"/>
        <v>1.1246911975035752E-2</v>
      </c>
      <c r="L17" s="256">
        <f t="shared" si="2"/>
        <v>2.5949999999999989</v>
      </c>
      <c r="M17" s="13">
        <f t="shared" si="3"/>
        <v>1.1246911975035752E-2</v>
      </c>
      <c r="N17" s="257">
        <f t="shared" si="4"/>
        <v>406.7143499999998</v>
      </c>
      <c r="O17" s="66" t="s">
        <v>18</v>
      </c>
      <c r="P17" s="66" t="s">
        <v>673</v>
      </c>
      <c r="Q17" s="66" t="s">
        <v>583</v>
      </c>
      <c r="R17" s="28" t="s">
        <v>25</v>
      </c>
    </row>
    <row r="18" spans="1:18" s="57" customFormat="1" ht="24.95" customHeight="1" x14ac:dyDescent="0.25">
      <c r="A18" s="258">
        <v>7</v>
      </c>
      <c r="B18" s="10" t="s">
        <v>39</v>
      </c>
      <c r="C18" s="33">
        <v>399.44</v>
      </c>
      <c r="D18" s="56">
        <v>103.1</v>
      </c>
      <c r="E18" s="56">
        <v>106.71</v>
      </c>
      <c r="F18" s="56">
        <v>4</v>
      </c>
      <c r="G18" s="33">
        <v>104.84</v>
      </c>
      <c r="H18" s="11">
        <f t="shared" si="0"/>
        <v>1.0738118331716779</v>
      </c>
      <c r="I18" s="33">
        <v>797.83</v>
      </c>
      <c r="J18" s="56">
        <v>3.81</v>
      </c>
      <c r="K18" s="12">
        <f t="shared" si="1"/>
        <v>3.6954413191076625E-2</v>
      </c>
      <c r="L18" s="256">
        <f t="shared" si="2"/>
        <v>3.7999999999999994</v>
      </c>
      <c r="M18" s="13">
        <f t="shared" si="3"/>
        <v>3.6857419980601352E-2</v>
      </c>
      <c r="N18" s="257">
        <f t="shared" si="4"/>
        <v>398.39199999999994</v>
      </c>
      <c r="O18" s="66" t="s">
        <v>584</v>
      </c>
      <c r="P18" s="14" t="s">
        <v>672</v>
      </c>
      <c r="Q18" s="66" t="s">
        <v>585</v>
      </c>
      <c r="R18" s="28" t="s">
        <v>25</v>
      </c>
    </row>
    <row r="19" spans="1:18" s="15" customFormat="1" ht="24.95" customHeight="1" x14ac:dyDescent="0.25">
      <c r="A19" s="255">
        <v>8</v>
      </c>
      <c r="B19" s="10" t="s">
        <v>43</v>
      </c>
      <c r="C19" s="33">
        <v>395.56</v>
      </c>
      <c r="D19" s="56">
        <v>37.72</v>
      </c>
      <c r="E19" s="56">
        <v>39.21</v>
      </c>
      <c r="F19" s="56">
        <v>5.5</v>
      </c>
      <c r="G19" s="33">
        <v>113.18</v>
      </c>
      <c r="H19" s="11">
        <f t="shared" si="0"/>
        <v>1.1853128313891834</v>
      </c>
      <c r="I19" s="33">
        <v>791.13</v>
      </c>
      <c r="J19" s="56">
        <v>3.495000000000001</v>
      </c>
      <c r="K19" s="12">
        <f t="shared" si="1"/>
        <v>9.2656415694591751E-2</v>
      </c>
      <c r="L19" s="256">
        <f t="shared" si="2"/>
        <v>3.495000000000001</v>
      </c>
      <c r="M19" s="13">
        <f t="shared" si="3"/>
        <v>9.2656415694591751E-2</v>
      </c>
      <c r="N19" s="257">
        <f t="shared" si="4"/>
        <v>395.56410000000011</v>
      </c>
      <c r="O19" s="66" t="s">
        <v>584</v>
      </c>
      <c r="P19" s="14" t="s">
        <v>672</v>
      </c>
      <c r="Q19" s="66" t="s">
        <v>585</v>
      </c>
      <c r="R19" s="28" t="s">
        <v>89</v>
      </c>
    </row>
    <row r="20" spans="1:18" s="15" customFormat="1" ht="24.95" customHeight="1" x14ac:dyDescent="0.25">
      <c r="A20" s="258">
        <v>9</v>
      </c>
      <c r="B20" s="10" t="s">
        <v>38</v>
      </c>
      <c r="C20" s="33">
        <v>385.58</v>
      </c>
      <c r="D20" s="56">
        <v>251.52</v>
      </c>
      <c r="E20" s="56">
        <v>241.8</v>
      </c>
      <c r="F20" s="56">
        <v>17.5</v>
      </c>
      <c r="G20" s="33">
        <v>99.12</v>
      </c>
      <c r="H20" s="11">
        <f t="shared" si="0"/>
        <v>1.0309319338422391</v>
      </c>
      <c r="I20" s="33">
        <v>771.15</v>
      </c>
      <c r="J20" s="56">
        <v>3.8900000000000006</v>
      </c>
      <c r="K20" s="12">
        <f t="shared" si="1"/>
        <v>1.5465966921119595E-2</v>
      </c>
      <c r="L20" s="256">
        <f t="shared" si="2"/>
        <v>3.8900000000000006</v>
      </c>
      <c r="M20" s="13">
        <f t="shared" si="3"/>
        <v>1.5465966921119595E-2</v>
      </c>
      <c r="N20" s="257">
        <f t="shared" si="4"/>
        <v>385.57680000000005</v>
      </c>
      <c r="O20" s="66" t="s">
        <v>584</v>
      </c>
      <c r="P20" s="14" t="s">
        <v>672</v>
      </c>
      <c r="Q20" s="66" t="s">
        <v>585</v>
      </c>
      <c r="R20" s="28" t="s">
        <v>25</v>
      </c>
    </row>
    <row r="21" spans="1:18" s="15" customFormat="1" ht="24.95" customHeight="1" thickBot="1" x14ac:dyDescent="0.3">
      <c r="A21" s="259">
        <v>10</v>
      </c>
      <c r="B21" s="16" t="s">
        <v>470</v>
      </c>
      <c r="C21" s="34">
        <v>383.85</v>
      </c>
      <c r="D21" s="58">
        <v>21.02</v>
      </c>
      <c r="E21" s="58">
        <v>27.01</v>
      </c>
      <c r="F21" s="58">
        <v>0</v>
      </c>
      <c r="G21" s="34">
        <v>127.95</v>
      </c>
      <c r="H21" s="17">
        <f t="shared" si="0"/>
        <v>1.284966698382493</v>
      </c>
      <c r="I21" s="34">
        <v>766.42</v>
      </c>
      <c r="J21" s="58">
        <v>3</v>
      </c>
      <c r="K21" s="18">
        <f t="shared" si="1"/>
        <v>0.14272121788772599</v>
      </c>
      <c r="L21" s="260">
        <f t="shared" si="2"/>
        <v>2.990000000000002</v>
      </c>
      <c r="M21" s="19">
        <f t="shared" si="3"/>
        <v>0.14224548049476698</v>
      </c>
      <c r="N21" s="261">
        <f t="shared" si="4"/>
        <v>382.57050000000027</v>
      </c>
      <c r="O21" s="64" t="s">
        <v>19</v>
      </c>
      <c r="P21" s="20" t="s">
        <v>670</v>
      </c>
      <c r="Q21" s="64" t="s">
        <v>587</v>
      </c>
      <c r="R21" s="29" t="s">
        <v>471</v>
      </c>
    </row>
    <row r="22" spans="1:18" s="62" customFormat="1" ht="24.95" customHeight="1" thickBot="1" x14ac:dyDescent="0.3">
      <c r="A22" s="262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63"/>
      <c r="M22" s="30"/>
      <c r="N22" s="264"/>
      <c r="O22" s="61"/>
      <c r="P22" s="61"/>
      <c r="Q22" s="61"/>
      <c r="R22" s="59"/>
    </row>
    <row r="23" spans="1:18" s="62" customFormat="1" ht="40.5" customHeight="1" x14ac:dyDescent="0.25">
      <c r="A23" s="443" t="s">
        <v>773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774</v>
      </c>
      <c r="B24" s="447"/>
      <c r="C24" s="447"/>
      <c r="D24" s="447" t="s">
        <v>751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752</v>
      </c>
      <c r="P24" s="457" t="s">
        <v>753</v>
      </c>
      <c r="Q24" s="456" t="s">
        <v>754</v>
      </c>
      <c r="R24" s="696" t="s">
        <v>755</v>
      </c>
    </row>
    <row r="25" spans="1:18" s="62" customFormat="1" ht="24.95" customHeight="1" x14ac:dyDescent="0.25">
      <c r="A25" s="697" t="s">
        <v>756</v>
      </c>
      <c r="B25" s="461" t="s">
        <v>757</v>
      </c>
      <c r="C25" s="462"/>
      <c r="D25" s="463" t="s">
        <v>134</v>
      </c>
      <c r="E25" s="463"/>
      <c r="F25" s="463"/>
      <c r="G25" s="463"/>
      <c r="H25" s="463"/>
      <c r="I25" s="463"/>
      <c r="J25" s="464" t="s">
        <v>759</v>
      </c>
      <c r="K25" s="464"/>
      <c r="L25" s="464"/>
      <c r="M25" s="465"/>
      <c r="N25" s="465"/>
      <c r="O25" s="456"/>
      <c r="P25" s="456"/>
      <c r="Q25" s="456"/>
      <c r="R25" s="696"/>
    </row>
    <row r="26" spans="1:18" s="62" customFormat="1" ht="24.95" customHeight="1" x14ac:dyDescent="0.3">
      <c r="A26" s="698"/>
      <c r="B26" s="703" t="s">
        <v>760</v>
      </c>
      <c r="C26" s="705" t="s">
        <v>775</v>
      </c>
      <c r="D26" s="707" t="s">
        <v>762</v>
      </c>
      <c r="E26" s="707"/>
      <c r="F26" s="707"/>
      <c r="G26" s="707"/>
      <c r="H26" s="707"/>
      <c r="I26" s="707"/>
      <c r="J26" s="708" t="s">
        <v>763</v>
      </c>
      <c r="K26" s="711"/>
      <c r="L26" s="709"/>
      <c r="M26" s="708" t="s">
        <v>764</v>
      </c>
      <c r="N26" s="709"/>
      <c r="O26" s="456"/>
      <c r="P26" s="456"/>
      <c r="Q26" s="456"/>
      <c r="R26" s="696"/>
    </row>
    <row r="27" spans="1:18" s="62" customFormat="1" ht="50.1" customHeight="1" x14ac:dyDescent="0.25">
      <c r="A27" s="699"/>
      <c r="B27" s="704"/>
      <c r="C27" s="706"/>
      <c r="D27" s="252" t="s">
        <v>765</v>
      </c>
      <c r="E27" s="252" t="s">
        <v>766</v>
      </c>
      <c r="F27" s="252" t="s">
        <v>767</v>
      </c>
      <c r="G27" s="252" t="s">
        <v>768</v>
      </c>
      <c r="H27" s="252" t="s">
        <v>769</v>
      </c>
      <c r="I27" s="252" t="s">
        <v>776</v>
      </c>
      <c r="J27" s="253" t="s">
        <v>770</v>
      </c>
      <c r="K27" s="253" t="s">
        <v>771</v>
      </c>
      <c r="L27" s="254" t="s">
        <v>772</v>
      </c>
      <c r="M27" s="253" t="s">
        <v>770</v>
      </c>
      <c r="N27" s="253" t="s">
        <v>771</v>
      </c>
      <c r="O27" s="456"/>
      <c r="P27" s="456"/>
      <c r="Q27" s="456"/>
      <c r="R27" s="696"/>
    </row>
    <row r="28" spans="1:18" s="62" customFormat="1" ht="24.95" customHeight="1" x14ac:dyDescent="0.25">
      <c r="A28" s="255">
        <v>1</v>
      </c>
      <c r="B28" s="10" t="s">
        <v>55</v>
      </c>
      <c r="C28" s="33">
        <v>5922.02</v>
      </c>
      <c r="D28" s="56">
        <v>98.58</v>
      </c>
      <c r="E28" s="56">
        <v>108.88</v>
      </c>
      <c r="F28" s="56">
        <v>8.66</v>
      </c>
      <c r="G28" s="33">
        <v>331.58</v>
      </c>
      <c r="H28" s="35">
        <f t="shared" ref="H28:H37" si="5">(E28+F28)/D28</f>
        <v>1.1923311016433353</v>
      </c>
      <c r="I28" s="33">
        <v>6286.76</v>
      </c>
      <c r="J28" s="56">
        <v>1.1000000000000001</v>
      </c>
      <c r="K28" s="12">
        <f t="shared" ref="K28:K37" si="6">J28/D28</f>
        <v>1.1158449989855955E-2</v>
      </c>
      <c r="L28" s="257">
        <f t="shared" ref="L28:L37" si="7">J28*G28</f>
        <v>364.738</v>
      </c>
      <c r="M28" s="256">
        <f t="shared" ref="M28:M37" si="8">((E28+F28)-D28)-J28</f>
        <v>17.859999999999992</v>
      </c>
      <c r="N28" s="13">
        <f t="shared" ref="N28:N37" si="9">M28/D28</f>
        <v>0.18117265165347934</v>
      </c>
      <c r="O28" s="69" t="s">
        <v>22</v>
      </c>
      <c r="P28" s="14" t="s">
        <v>672</v>
      </c>
      <c r="Q28" s="14" t="s">
        <v>67</v>
      </c>
      <c r="R28" s="28" t="s">
        <v>74</v>
      </c>
    </row>
    <row r="29" spans="1:18" s="62" customFormat="1" ht="24.75" customHeight="1" x14ac:dyDescent="0.25">
      <c r="A29" s="258">
        <v>2</v>
      </c>
      <c r="B29" s="10" t="s">
        <v>542</v>
      </c>
      <c r="C29" s="33">
        <v>5567</v>
      </c>
      <c r="D29" s="56">
        <v>198.93</v>
      </c>
      <c r="E29" s="56">
        <v>214.51</v>
      </c>
      <c r="F29" s="56">
        <v>15</v>
      </c>
      <c r="G29" s="33">
        <v>194.04</v>
      </c>
      <c r="H29" s="35">
        <f t="shared" si="5"/>
        <v>1.1537224149198209</v>
      </c>
      <c r="I29" s="33">
        <v>5933.74</v>
      </c>
      <c r="J29" s="56">
        <v>1.89</v>
      </c>
      <c r="K29" s="12">
        <f t="shared" si="6"/>
        <v>9.5008294374905738E-3</v>
      </c>
      <c r="L29" s="257">
        <f t="shared" si="7"/>
        <v>366.73559999999998</v>
      </c>
      <c r="M29" s="256">
        <f t="shared" si="8"/>
        <v>28.689999999999984</v>
      </c>
      <c r="N29" s="13">
        <f t="shared" si="9"/>
        <v>0.14422158548233038</v>
      </c>
      <c r="O29" s="69" t="s">
        <v>22</v>
      </c>
      <c r="P29" s="14" t="s">
        <v>672</v>
      </c>
      <c r="Q29" s="14" t="s">
        <v>84</v>
      </c>
      <c r="R29" s="28" t="s">
        <v>543</v>
      </c>
    </row>
    <row r="30" spans="1:18" s="62" customFormat="1" ht="24.95" customHeight="1" x14ac:dyDescent="0.25">
      <c r="A30" s="258">
        <v>3</v>
      </c>
      <c r="B30" s="10" t="s">
        <v>53</v>
      </c>
      <c r="C30" s="33">
        <v>5519.37</v>
      </c>
      <c r="D30" s="56">
        <v>74.930000000000007</v>
      </c>
      <c r="E30" s="56">
        <v>82.929999999999993</v>
      </c>
      <c r="F30" s="56">
        <v>9.6199999999999992</v>
      </c>
      <c r="G30" s="33">
        <v>333.9</v>
      </c>
      <c r="H30" s="35">
        <f t="shared" si="5"/>
        <v>1.2351528092886692</v>
      </c>
      <c r="I30" s="33">
        <v>5883.32</v>
      </c>
      <c r="J30" s="32">
        <v>1.0900000000000001</v>
      </c>
      <c r="K30" s="12">
        <f t="shared" si="6"/>
        <v>1.4546910449753103E-2</v>
      </c>
      <c r="L30" s="257">
        <f t="shared" si="7"/>
        <v>363.95100000000002</v>
      </c>
      <c r="M30" s="256">
        <f t="shared" si="8"/>
        <v>16.52999999999999</v>
      </c>
      <c r="N30" s="13">
        <f t="shared" si="9"/>
        <v>0.22060589883891618</v>
      </c>
      <c r="O30" s="69" t="s">
        <v>22</v>
      </c>
      <c r="P30" s="14" t="s">
        <v>672</v>
      </c>
      <c r="Q30" s="14" t="s">
        <v>67</v>
      </c>
      <c r="R30" s="28" t="s">
        <v>78</v>
      </c>
    </row>
    <row r="31" spans="1:18" s="62" customFormat="1" ht="24.95" customHeight="1" x14ac:dyDescent="0.25">
      <c r="A31" s="255">
        <v>4</v>
      </c>
      <c r="B31" s="10" t="s">
        <v>58</v>
      </c>
      <c r="C31" s="33">
        <v>4420.0999999999995</v>
      </c>
      <c r="D31" s="56">
        <v>67.52</v>
      </c>
      <c r="E31" s="56">
        <v>74.66</v>
      </c>
      <c r="F31" s="56">
        <v>5.95</v>
      </c>
      <c r="G31" s="33">
        <v>365.6</v>
      </c>
      <c r="H31" s="35">
        <f t="shared" si="5"/>
        <v>1.1938684834123223</v>
      </c>
      <c r="I31" s="33">
        <v>4785.7</v>
      </c>
      <c r="J31" s="56">
        <v>1</v>
      </c>
      <c r="K31" s="12">
        <f t="shared" si="6"/>
        <v>1.481042654028436E-2</v>
      </c>
      <c r="L31" s="257">
        <f t="shared" si="7"/>
        <v>365.6</v>
      </c>
      <c r="M31" s="256">
        <f t="shared" si="8"/>
        <v>12.090000000000003</v>
      </c>
      <c r="N31" s="13">
        <f t="shared" si="9"/>
        <v>0.17905805687203796</v>
      </c>
      <c r="O31" s="69" t="s">
        <v>22</v>
      </c>
      <c r="P31" s="14" t="s">
        <v>672</v>
      </c>
      <c r="Q31" s="14" t="s">
        <v>67</v>
      </c>
      <c r="R31" s="28" t="s">
        <v>57</v>
      </c>
    </row>
    <row r="32" spans="1:18" s="62" customFormat="1" ht="24.95" customHeight="1" x14ac:dyDescent="0.25">
      <c r="A32" s="258">
        <v>5</v>
      </c>
      <c r="B32" s="10" t="s">
        <v>117</v>
      </c>
      <c r="C32" s="33">
        <v>2574</v>
      </c>
      <c r="D32" s="56">
        <v>125.01</v>
      </c>
      <c r="E32" s="56">
        <v>138.22999999999999</v>
      </c>
      <c r="F32" s="56">
        <v>13.5</v>
      </c>
      <c r="G32" s="33">
        <v>110</v>
      </c>
      <c r="H32" s="35">
        <f t="shared" si="5"/>
        <v>1.2137429005679545</v>
      </c>
      <c r="I32" s="33">
        <v>2939.2</v>
      </c>
      <c r="J32" s="56">
        <v>3.32</v>
      </c>
      <c r="K32" s="12">
        <f t="shared" si="6"/>
        <v>2.65578753699704E-2</v>
      </c>
      <c r="L32" s="257">
        <f t="shared" si="7"/>
        <v>365.2</v>
      </c>
      <c r="M32" s="256">
        <f t="shared" si="8"/>
        <v>23.399999999999984</v>
      </c>
      <c r="N32" s="13">
        <f t="shared" si="9"/>
        <v>0.18718502519798402</v>
      </c>
      <c r="O32" s="69" t="s">
        <v>18</v>
      </c>
      <c r="P32" s="14" t="s">
        <v>673</v>
      </c>
      <c r="Q32" s="14" t="s">
        <v>678</v>
      </c>
      <c r="R32" s="28" t="s">
        <v>302</v>
      </c>
    </row>
    <row r="33" spans="1:18" s="62" customFormat="1" ht="24.95" customHeight="1" x14ac:dyDescent="0.25">
      <c r="A33" s="255">
        <v>6</v>
      </c>
      <c r="B33" s="10" t="s">
        <v>26</v>
      </c>
      <c r="C33" s="33">
        <v>2271.9499999999998</v>
      </c>
      <c r="D33" s="56">
        <v>30.83</v>
      </c>
      <c r="E33" s="56">
        <v>39.029999999999994</v>
      </c>
      <c r="F33" s="56">
        <v>4.2</v>
      </c>
      <c r="G33" s="33">
        <v>212.73</v>
      </c>
      <c r="H33" s="35">
        <f t="shared" si="5"/>
        <v>1.4022056438533896</v>
      </c>
      <c r="I33" s="33">
        <v>2637.85</v>
      </c>
      <c r="J33" s="56">
        <v>1.72</v>
      </c>
      <c r="K33" s="12">
        <f t="shared" si="6"/>
        <v>5.5789815115147585E-2</v>
      </c>
      <c r="L33" s="257">
        <f t="shared" si="7"/>
        <v>365.8956</v>
      </c>
      <c r="M33" s="256">
        <f t="shared" si="8"/>
        <v>10.679999999999998</v>
      </c>
      <c r="N33" s="13">
        <f t="shared" si="9"/>
        <v>0.34641582873824195</v>
      </c>
      <c r="O33" s="69" t="s">
        <v>22</v>
      </c>
      <c r="P33" s="14" t="s">
        <v>672</v>
      </c>
      <c r="Q33" s="14" t="s">
        <v>84</v>
      </c>
      <c r="R33" s="28" t="s">
        <v>27</v>
      </c>
    </row>
    <row r="34" spans="1:18" s="62" customFormat="1" ht="24.95" customHeight="1" x14ac:dyDescent="0.25">
      <c r="A34" s="258">
        <v>7</v>
      </c>
      <c r="B34" s="10" t="s">
        <v>35</v>
      </c>
      <c r="C34" s="33">
        <v>1919.55</v>
      </c>
      <c r="D34" s="56">
        <v>103.1</v>
      </c>
      <c r="E34" s="56">
        <v>101.27</v>
      </c>
      <c r="F34" s="56">
        <v>7.6</v>
      </c>
      <c r="G34" s="33">
        <v>410.16</v>
      </c>
      <c r="H34" s="35">
        <f t="shared" si="5"/>
        <v>1.0559650824442288</v>
      </c>
      <c r="I34" s="33">
        <v>2366.62</v>
      </c>
      <c r="J34" s="56">
        <v>1.0900000000000001</v>
      </c>
      <c r="K34" s="12">
        <f t="shared" si="6"/>
        <v>1.0572259941804074E-2</v>
      </c>
      <c r="L34" s="257">
        <f t="shared" si="7"/>
        <v>447.07440000000008</v>
      </c>
      <c r="M34" s="256">
        <f t="shared" si="8"/>
        <v>4.6799999999999962</v>
      </c>
      <c r="N34" s="13">
        <f t="shared" si="9"/>
        <v>4.5392822502424796E-2</v>
      </c>
      <c r="O34" s="69" t="s">
        <v>22</v>
      </c>
      <c r="P34" s="14" t="s">
        <v>672</v>
      </c>
      <c r="Q34" s="14" t="s">
        <v>67</v>
      </c>
      <c r="R34" s="28" t="s">
        <v>25</v>
      </c>
    </row>
    <row r="35" spans="1:18" s="62" customFormat="1" ht="24.95" customHeight="1" x14ac:dyDescent="0.25">
      <c r="A35" s="255">
        <v>8</v>
      </c>
      <c r="B35" s="10" t="s">
        <v>47</v>
      </c>
      <c r="C35" s="33">
        <v>1724.0299999999997</v>
      </c>
      <c r="D35" s="56">
        <v>48.05</v>
      </c>
      <c r="E35" s="56">
        <v>51.67</v>
      </c>
      <c r="F35" s="56">
        <v>4.3499999999999996</v>
      </c>
      <c r="G35" s="33">
        <v>342.75</v>
      </c>
      <c r="H35" s="35">
        <f t="shared" si="5"/>
        <v>1.165868886576483</v>
      </c>
      <c r="I35" s="33">
        <v>2731.72</v>
      </c>
      <c r="J35" s="56">
        <v>2.94</v>
      </c>
      <c r="K35" s="12">
        <f t="shared" si="6"/>
        <v>6.1186264308012488E-2</v>
      </c>
      <c r="L35" s="257">
        <f t="shared" si="7"/>
        <v>1007.6849999999999</v>
      </c>
      <c r="M35" s="256">
        <f t="shared" si="8"/>
        <v>5.0300000000000065</v>
      </c>
      <c r="N35" s="13">
        <f t="shared" si="9"/>
        <v>0.10468262226847048</v>
      </c>
      <c r="O35" s="69" t="s">
        <v>22</v>
      </c>
      <c r="P35" s="14" t="s">
        <v>672</v>
      </c>
      <c r="Q35" s="14" t="s">
        <v>67</v>
      </c>
      <c r="R35" s="28" t="s">
        <v>73</v>
      </c>
    </row>
    <row r="36" spans="1:18" s="62" customFormat="1" ht="24.95" customHeight="1" x14ac:dyDescent="0.25">
      <c r="A36" s="258">
        <v>9</v>
      </c>
      <c r="B36" s="10" t="s">
        <v>777</v>
      </c>
      <c r="C36" s="33">
        <v>1297.8899999999999</v>
      </c>
      <c r="D36" s="56">
        <v>377.2</v>
      </c>
      <c r="E36" s="56">
        <v>389.34</v>
      </c>
      <c r="F36" s="56">
        <v>15</v>
      </c>
      <c r="G36" s="33">
        <v>61.25</v>
      </c>
      <c r="H36" s="35">
        <f t="shared" si="5"/>
        <v>1.0719512195121952</v>
      </c>
      <c r="I36" s="33">
        <v>1662.33</v>
      </c>
      <c r="J36" s="56">
        <v>5.95</v>
      </c>
      <c r="K36" s="12">
        <f t="shared" si="6"/>
        <v>1.5774125132555675E-2</v>
      </c>
      <c r="L36" s="257">
        <f t="shared" si="7"/>
        <v>364.4375</v>
      </c>
      <c r="M36" s="256">
        <f t="shared" si="8"/>
        <v>21.189999999999987</v>
      </c>
      <c r="N36" s="13">
        <f t="shared" si="9"/>
        <v>5.6177094379639414E-2</v>
      </c>
      <c r="O36" s="69" t="s">
        <v>22</v>
      </c>
      <c r="P36" s="14" t="s">
        <v>672</v>
      </c>
      <c r="Q36" s="14" t="s">
        <v>781</v>
      </c>
      <c r="R36" s="28" t="s">
        <v>89</v>
      </c>
    </row>
    <row r="37" spans="1:18" s="62" customFormat="1" ht="24.95" customHeight="1" thickBot="1" x14ac:dyDescent="0.3">
      <c r="A37" s="259">
        <v>10</v>
      </c>
      <c r="B37" s="16" t="s">
        <v>116</v>
      </c>
      <c r="C37" s="34">
        <v>1290.24</v>
      </c>
      <c r="D37" s="58">
        <v>50</v>
      </c>
      <c r="E37" s="58">
        <v>58.03</v>
      </c>
      <c r="F37" s="58">
        <v>2.4</v>
      </c>
      <c r="G37" s="34">
        <v>149.16</v>
      </c>
      <c r="H37" s="36">
        <f t="shared" si="5"/>
        <v>1.2085999999999999</v>
      </c>
      <c r="I37" s="34">
        <v>1555.74</v>
      </c>
      <c r="J37" s="58">
        <v>1.78</v>
      </c>
      <c r="K37" s="18">
        <f t="shared" si="6"/>
        <v>3.56E-2</v>
      </c>
      <c r="L37" s="261">
        <f t="shared" si="7"/>
        <v>265.50479999999999</v>
      </c>
      <c r="M37" s="260">
        <f t="shared" si="8"/>
        <v>8.65</v>
      </c>
      <c r="N37" s="19">
        <f t="shared" si="9"/>
        <v>0.17300000000000001</v>
      </c>
      <c r="O37" s="52" t="s">
        <v>22</v>
      </c>
      <c r="P37" s="20" t="s">
        <v>672</v>
      </c>
      <c r="Q37" s="20" t="s">
        <v>782</v>
      </c>
      <c r="R37" s="65" t="s">
        <v>302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778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774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712" t="s">
        <v>756</v>
      </c>
      <c r="B41" s="450" t="s">
        <v>757</v>
      </c>
      <c r="C41" s="450"/>
      <c r="D41" s="451"/>
      <c r="E41" s="23"/>
      <c r="G41" s="21"/>
      <c r="H41" s="22"/>
    </row>
    <row r="42" spans="1:18" ht="20.45" customHeight="1" x14ac:dyDescent="0.35">
      <c r="A42" s="712"/>
      <c r="B42" s="713" t="s">
        <v>760</v>
      </c>
      <c r="C42" s="714" t="s">
        <v>761</v>
      </c>
      <c r="D42" s="696" t="s">
        <v>779</v>
      </c>
      <c r="E42" s="23"/>
      <c r="G42" s="21"/>
      <c r="H42" s="22"/>
    </row>
    <row r="43" spans="1:18" ht="20.45" customHeight="1" x14ac:dyDescent="0.35">
      <c r="A43" s="712"/>
      <c r="B43" s="713"/>
      <c r="C43" s="714"/>
      <c r="D43" s="696"/>
      <c r="E43" s="23"/>
      <c r="G43" s="21"/>
      <c r="H43" s="22"/>
    </row>
    <row r="44" spans="1:18" s="26" customFormat="1" ht="24.95" customHeight="1" x14ac:dyDescent="0.35">
      <c r="A44" s="265">
        <v>1</v>
      </c>
      <c r="B44" s="10" t="s">
        <v>35</v>
      </c>
      <c r="C44" s="33">
        <v>447.07</v>
      </c>
      <c r="D44" s="24">
        <f t="shared" ref="D44:D53" si="10">C44/$L$5</f>
        <v>0.18241203159681418</v>
      </c>
      <c r="E44" s="25"/>
      <c r="G44" s="21"/>
      <c r="H44" s="22"/>
    </row>
    <row r="45" spans="1:18" s="26" customFormat="1" ht="24.95" customHeight="1" x14ac:dyDescent="0.35">
      <c r="A45" s="266">
        <v>2</v>
      </c>
      <c r="B45" s="10" t="s">
        <v>37</v>
      </c>
      <c r="C45" s="33">
        <v>420.06</v>
      </c>
      <c r="D45" s="24">
        <f t="shared" si="10"/>
        <v>0.17139150019584801</v>
      </c>
      <c r="E45" s="25"/>
      <c r="G45" s="21"/>
      <c r="H45" s="22"/>
    </row>
    <row r="46" spans="1:18" s="26" customFormat="1" ht="24.95" customHeight="1" x14ac:dyDescent="0.35">
      <c r="A46" s="266">
        <v>3</v>
      </c>
      <c r="B46" s="10" t="s">
        <v>36</v>
      </c>
      <c r="C46" s="33">
        <v>406.71</v>
      </c>
      <c r="D46" s="24">
        <f t="shared" si="10"/>
        <v>0.16594447708578142</v>
      </c>
      <c r="E46" s="25"/>
      <c r="G46" s="21"/>
      <c r="H46" s="22"/>
    </row>
    <row r="47" spans="1:18" s="26" customFormat="1" ht="24.95" customHeight="1" x14ac:dyDescent="0.35">
      <c r="A47" s="265">
        <v>4</v>
      </c>
      <c r="B47" s="10" t="s">
        <v>39</v>
      </c>
      <c r="C47" s="33">
        <v>399.44</v>
      </c>
      <c r="D47" s="24">
        <f t="shared" si="10"/>
        <v>0.16297819558689122</v>
      </c>
      <c r="E47" s="25"/>
      <c r="G47" s="21"/>
      <c r="H47" s="22"/>
    </row>
    <row r="48" spans="1:18" s="26" customFormat="1" ht="24.95" customHeight="1" x14ac:dyDescent="0.35">
      <c r="A48" s="266">
        <v>5</v>
      </c>
      <c r="B48" s="10" t="s">
        <v>38</v>
      </c>
      <c r="C48" s="33">
        <v>385.58</v>
      </c>
      <c r="D48" s="24">
        <f t="shared" si="10"/>
        <v>0.15732308395351871</v>
      </c>
      <c r="E48" s="25"/>
      <c r="G48" s="21"/>
      <c r="H48" s="22"/>
    </row>
    <row r="49" spans="1:5" s="26" customFormat="1" ht="24.95" customHeight="1" x14ac:dyDescent="0.25">
      <c r="A49" s="265">
        <v>6</v>
      </c>
      <c r="B49" s="10" t="s">
        <v>42</v>
      </c>
      <c r="C49" s="33">
        <v>210.63</v>
      </c>
      <c r="D49" s="24">
        <f t="shared" si="10"/>
        <v>8.5940560125342721E-2</v>
      </c>
      <c r="E49" s="25"/>
    </row>
    <row r="50" spans="1:5" s="26" customFormat="1" ht="24.95" customHeight="1" x14ac:dyDescent="0.25">
      <c r="A50" s="266">
        <v>7</v>
      </c>
      <c r="B50" s="10" t="s">
        <v>34</v>
      </c>
      <c r="C50" s="33">
        <v>181.39</v>
      </c>
      <c r="D50" s="24">
        <f t="shared" si="10"/>
        <v>7.4010151455803627E-2</v>
      </c>
      <c r="E50" s="25"/>
    </row>
    <row r="51" spans="1:5" s="26" customFormat="1" ht="24.95" customHeight="1" x14ac:dyDescent="0.25">
      <c r="A51" s="265">
        <v>8</v>
      </c>
      <c r="B51" s="10"/>
      <c r="C51" s="33"/>
      <c r="D51" s="24">
        <f t="shared" si="10"/>
        <v>0</v>
      </c>
      <c r="E51" s="25"/>
    </row>
    <row r="52" spans="1:5" s="26" customFormat="1" ht="24.95" customHeight="1" x14ac:dyDescent="0.25">
      <c r="A52" s="266">
        <v>9</v>
      </c>
      <c r="B52" s="10"/>
      <c r="C52" s="33"/>
      <c r="D52" s="24">
        <f t="shared" si="10"/>
        <v>0</v>
      </c>
      <c r="E52" s="25"/>
    </row>
    <row r="53" spans="1:5" s="26" customFormat="1" ht="24.95" customHeight="1" thickBot="1" x14ac:dyDescent="0.3">
      <c r="A53" s="267">
        <v>10</v>
      </c>
      <c r="B53" s="16"/>
      <c r="C53" s="34"/>
      <c r="D53" s="27">
        <f t="shared" si="10"/>
        <v>0</v>
      </c>
      <c r="E53" s="25"/>
    </row>
    <row r="54" spans="1:5" x14ac:dyDescent="0.25">
      <c r="A54" s="441" t="s">
        <v>780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683" priority="33" operator="containsText" text="024">
      <formula>NOT(ISERROR(SEARCH("024",A12)))</formula>
    </cfRule>
    <cfRule type="containsText" dxfId="682" priority="34" operator="containsText" text="白醬">
      <formula>NOT(ISERROR(SEARCH("白醬",A12)))</formula>
    </cfRule>
    <cfRule type="containsText" dxfId="681" priority="35" operator="containsText" text="青蔥">
      <formula>NOT(ISERROR(SEARCH("青蔥",A12)))</formula>
    </cfRule>
    <cfRule type="containsText" dxfId="680" priority="36" operator="containsText" text=")川燙小青花菜">
      <formula>NOT(ISERROR(SEARCH(")川燙小青花菜",A12)))</formula>
    </cfRule>
    <cfRule type="containsText" dxfId="679" priority="37" operator="containsText" text="湯凍">
      <formula>NOT(ISERROR(SEARCH("湯凍",A12)))</formula>
    </cfRule>
    <cfRule type="containsText" dxfId="678" priority="38" operator="containsText" text="中華">
      <formula>NOT(ISERROR(SEARCH("中華",A12)))</formula>
    </cfRule>
  </conditionalFormatting>
  <conditionalFormatting sqref="A12:A22">
    <cfRule type="containsText" dxfId="677" priority="31" operator="containsText" text="綠豆芽">
      <formula>NOT(ISERROR(SEARCH("綠豆芽",A12)))</formula>
    </cfRule>
    <cfRule type="containsText" dxfId="676" priority="32" operator="containsText" text="煮白細麵生(方#12)">
      <formula>NOT(ISERROR(SEARCH("煮白細麵生(方#12)",A12)))</formula>
    </cfRule>
  </conditionalFormatting>
  <conditionalFormatting sqref="E5">
    <cfRule type="cellIs" dxfId="675" priority="16" operator="greaterThan">
      <formula>0.0025</formula>
    </cfRule>
    <cfRule type="cellIs" dxfId="674" priority="19" operator="greaterThan">
      <formula>0.0025</formula>
    </cfRule>
    <cfRule type="cellIs" dxfId="673" priority="29" operator="greaterThan">
      <formula>0.072</formula>
    </cfRule>
    <cfRule type="cellIs" dxfId="672" priority="30" operator="greaterThan">
      <formula>7.2</formula>
    </cfRule>
  </conditionalFormatting>
  <conditionalFormatting sqref="E5">
    <cfRule type="cellIs" dxfId="671" priority="28" operator="greaterThan">
      <formula>0.0025</formula>
    </cfRule>
  </conditionalFormatting>
  <conditionalFormatting sqref="A44:A53">
    <cfRule type="containsText" dxfId="670" priority="22" operator="containsText" text="024">
      <formula>NOT(ISERROR(SEARCH("024",A44)))</formula>
    </cfRule>
    <cfRule type="containsText" dxfId="669" priority="23" operator="containsText" text="白醬">
      <formula>NOT(ISERROR(SEARCH("白醬",A44)))</formula>
    </cfRule>
    <cfRule type="containsText" dxfId="668" priority="24" operator="containsText" text="青蔥">
      <formula>NOT(ISERROR(SEARCH("青蔥",A44)))</formula>
    </cfRule>
    <cfRule type="containsText" dxfId="667" priority="25" operator="containsText" text=")川燙小青花菜">
      <formula>NOT(ISERROR(SEARCH(")川燙小青花菜",A44)))</formula>
    </cfRule>
    <cfRule type="containsText" dxfId="666" priority="26" operator="containsText" text="湯凍">
      <formula>NOT(ISERROR(SEARCH("湯凍",A44)))</formula>
    </cfRule>
    <cfRule type="containsText" dxfId="665" priority="27" operator="containsText" text="中華">
      <formula>NOT(ISERROR(SEARCH("中華",A44)))</formula>
    </cfRule>
  </conditionalFormatting>
  <conditionalFormatting sqref="A44:A53">
    <cfRule type="containsText" dxfId="664" priority="20" operator="containsText" text="綠豆芽">
      <formula>NOT(ISERROR(SEARCH("綠豆芽",A44)))</formula>
    </cfRule>
    <cfRule type="containsText" dxfId="663" priority="21" operator="containsText" text="煮白細麵生(方#12)">
      <formula>NOT(ISERROR(SEARCH("煮白細麵生(方#12)",A44)))</formula>
    </cfRule>
  </conditionalFormatting>
  <conditionalFormatting sqref="D44:D53">
    <cfRule type="cellIs" dxfId="662" priority="18" operator="greaterThan">
      <formula>0.146</formula>
    </cfRule>
  </conditionalFormatting>
  <conditionalFormatting sqref="H12:H22">
    <cfRule type="cellIs" dxfId="661" priority="17" operator="greaterThan">
      <formula>1.1</formula>
    </cfRule>
  </conditionalFormatting>
  <conditionalFormatting sqref="I5">
    <cfRule type="cellIs" dxfId="660" priority="15" operator="greaterThan">
      <formula>0.2</formula>
    </cfRule>
  </conditionalFormatting>
  <conditionalFormatting sqref="A28:A37">
    <cfRule type="containsText" dxfId="659" priority="9" operator="containsText" text="024">
      <formula>NOT(ISERROR(SEARCH("024",A28)))</formula>
    </cfRule>
    <cfRule type="containsText" dxfId="658" priority="10" operator="containsText" text="白醬">
      <formula>NOT(ISERROR(SEARCH("白醬",A28)))</formula>
    </cfRule>
    <cfRule type="containsText" dxfId="657" priority="11" operator="containsText" text="青蔥">
      <formula>NOT(ISERROR(SEARCH("青蔥",A28)))</formula>
    </cfRule>
    <cfRule type="containsText" dxfId="656" priority="12" operator="containsText" text=")川燙小青花菜">
      <formula>NOT(ISERROR(SEARCH(")川燙小青花菜",A28)))</formula>
    </cfRule>
    <cfRule type="containsText" dxfId="655" priority="13" operator="containsText" text="湯凍">
      <formula>NOT(ISERROR(SEARCH("湯凍",A28)))</formula>
    </cfRule>
    <cfRule type="containsText" dxfId="654" priority="14" operator="containsText" text="中華">
      <formula>NOT(ISERROR(SEARCH("中華",A28)))</formula>
    </cfRule>
  </conditionalFormatting>
  <conditionalFormatting sqref="A28:A37">
    <cfRule type="containsText" dxfId="653" priority="7" operator="containsText" text="綠豆芽">
      <formula>NOT(ISERROR(SEARCH("綠豆芽",A28)))</formula>
    </cfRule>
    <cfRule type="containsText" dxfId="652" priority="8" operator="containsText" text="煮白細麵生(方#12)">
      <formula>NOT(ISERROR(SEARCH("煮白細麵生(方#12)",A28)))</formula>
    </cfRule>
  </conditionalFormatting>
  <conditionalFormatting sqref="H28:H37">
    <cfRule type="cellIs" dxfId="651" priority="6" operator="greaterThan">
      <formula>1.1</formula>
    </cfRule>
  </conditionalFormatting>
  <conditionalFormatting sqref="G5">
    <cfRule type="cellIs" dxfId="650" priority="1" operator="greaterThan">
      <formula>0.0025</formula>
    </cfRule>
    <cfRule type="cellIs" dxfId="649" priority="2" operator="greaterThan">
      <formula>0.0025</formula>
    </cfRule>
    <cfRule type="cellIs" dxfId="648" priority="4" operator="greaterThan">
      <formula>0.072</formula>
    </cfRule>
    <cfRule type="cellIs" dxfId="647" priority="5" operator="greaterThan">
      <formula>7.2</formula>
    </cfRule>
  </conditionalFormatting>
  <conditionalFormatting sqref="G5">
    <cfRule type="cellIs" dxfId="64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25" zoomScale="70" zoomScaleNormal="70" zoomScaleSheetLayoutView="70" workbookViewId="0">
      <selection activeCell="O14" sqref="O14:Q14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30.140625" bestFit="1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14.42578125" customWidth="1"/>
    <col min="16" max="16" width="22.140625" customWidth="1"/>
    <col min="17" max="17" width="44.140625" customWidth="1"/>
    <col min="18" max="18" width="34.855468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736" t="s">
        <v>92</v>
      </c>
      <c r="B2" s="737"/>
      <c r="C2" s="232" t="s">
        <v>93</v>
      </c>
      <c r="D2" s="738" t="s">
        <v>94</v>
      </c>
      <c r="E2" s="738"/>
      <c r="F2" s="738" t="s">
        <v>95</v>
      </c>
      <c r="G2" s="738"/>
      <c r="H2" s="738" t="s">
        <v>94</v>
      </c>
      <c r="I2" s="738"/>
      <c r="J2" s="738" t="s">
        <v>95</v>
      </c>
      <c r="K2" s="738"/>
      <c r="L2" s="738" t="s">
        <v>94</v>
      </c>
      <c r="M2" s="739"/>
      <c r="R2" s="54"/>
    </row>
    <row r="3" spans="1:18" s="1" customFormat="1" ht="28.5" x14ac:dyDescent="0.45">
      <c r="A3" s="733">
        <v>45886</v>
      </c>
      <c r="B3" s="734"/>
      <c r="C3" s="735">
        <v>5735188.2800000003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733"/>
      <c r="B4" s="734"/>
      <c r="C4" s="73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731" t="s">
        <v>105</v>
      </c>
      <c r="B5" s="732"/>
      <c r="C5" s="732"/>
      <c r="D5" s="233">
        <v>13950.530000000002</v>
      </c>
      <c r="E5" s="5">
        <f>D5/C3</f>
        <v>2.4324449902802495E-3</v>
      </c>
      <c r="F5" s="233">
        <v>49138.100000000006</v>
      </c>
      <c r="G5" s="44">
        <f>F5/C3</f>
        <v>8.567826826428095E-3</v>
      </c>
      <c r="H5" s="6">
        <f>SUM(C12:C21)</f>
        <v>5915.6</v>
      </c>
      <c r="I5" s="7">
        <f>H5/D5</f>
        <v>0.42404123714296155</v>
      </c>
      <c r="J5" s="6">
        <f>SUM(C28:C37)</f>
        <v>37558.520000000004</v>
      </c>
      <c r="K5" s="46">
        <f>J5/F5</f>
        <v>0.76434619979201479</v>
      </c>
      <c r="L5" s="8">
        <v>5576.0099999999993</v>
      </c>
      <c r="M5" s="9">
        <f>L5/D5</f>
        <v>0.39969879280572124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682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683</v>
      </c>
      <c r="B8" s="447"/>
      <c r="C8" s="447"/>
      <c r="D8" s="447" t="s">
        <v>684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685</v>
      </c>
      <c r="P8" s="457" t="s">
        <v>604</v>
      </c>
      <c r="Q8" s="456" t="s">
        <v>687</v>
      </c>
      <c r="R8" s="718" t="s">
        <v>733</v>
      </c>
    </row>
    <row r="9" spans="1:18" ht="20.45" customHeight="1" x14ac:dyDescent="0.25">
      <c r="A9" s="719" t="s">
        <v>734</v>
      </c>
      <c r="B9" s="461" t="s">
        <v>690</v>
      </c>
      <c r="C9" s="462"/>
      <c r="D9" s="463" t="s">
        <v>691</v>
      </c>
      <c r="E9" s="463"/>
      <c r="F9" s="463"/>
      <c r="G9" s="463"/>
      <c r="H9" s="463"/>
      <c r="I9" s="463"/>
      <c r="J9" s="464" t="s">
        <v>692</v>
      </c>
      <c r="K9" s="464"/>
      <c r="L9" s="464"/>
      <c r="M9" s="465"/>
      <c r="N9" s="465"/>
      <c r="O9" s="456"/>
      <c r="P9" s="456"/>
      <c r="Q9" s="456"/>
      <c r="R9" s="718"/>
    </row>
    <row r="10" spans="1:18" ht="20.45" customHeight="1" x14ac:dyDescent="0.3">
      <c r="A10" s="720"/>
      <c r="B10" s="722" t="s">
        <v>693</v>
      </c>
      <c r="C10" s="724" t="s">
        <v>735</v>
      </c>
      <c r="D10" s="726" t="s">
        <v>736</v>
      </c>
      <c r="E10" s="726"/>
      <c r="F10" s="726"/>
      <c r="G10" s="726"/>
      <c r="H10" s="726"/>
      <c r="I10" s="726"/>
      <c r="J10" s="727" t="s">
        <v>160</v>
      </c>
      <c r="K10" s="729"/>
      <c r="L10" s="730" t="s">
        <v>139</v>
      </c>
      <c r="M10" s="727"/>
      <c r="N10" s="727"/>
      <c r="O10" s="456"/>
      <c r="P10" s="456"/>
      <c r="Q10" s="456"/>
      <c r="R10" s="718"/>
    </row>
    <row r="11" spans="1:18" s="55" customFormat="1" ht="47.25" customHeight="1" x14ac:dyDescent="0.25">
      <c r="A11" s="721"/>
      <c r="B11" s="723"/>
      <c r="C11" s="725"/>
      <c r="D11" s="234" t="s">
        <v>737</v>
      </c>
      <c r="E11" s="234" t="s">
        <v>738</v>
      </c>
      <c r="F11" s="234" t="s">
        <v>700</v>
      </c>
      <c r="G11" s="234" t="s">
        <v>701</v>
      </c>
      <c r="H11" s="234" t="s">
        <v>711</v>
      </c>
      <c r="I11" s="234" t="s">
        <v>739</v>
      </c>
      <c r="J11" s="235" t="s">
        <v>740</v>
      </c>
      <c r="K11" s="235" t="s">
        <v>147</v>
      </c>
      <c r="L11" s="235" t="s">
        <v>740</v>
      </c>
      <c r="M11" s="235" t="s">
        <v>147</v>
      </c>
      <c r="N11" s="236" t="s">
        <v>202</v>
      </c>
      <c r="O11" s="456"/>
      <c r="P11" s="456"/>
      <c r="Q11" s="456"/>
      <c r="R11" s="718"/>
    </row>
    <row r="12" spans="1:18" s="15" customFormat="1" ht="24.95" customHeight="1" x14ac:dyDescent="0.25">
      <c r="A12" s="237">
        <v>1</v>
      </c>
      <c r="B12" s="10" t="s">
        <v>37</v>
      </c>
      <c r="C12" s="33">
        <v>1239.81</v>
      </c>
      <c r="D12" s="56">
        <v>395.6</v>
      </c>
      <c r="E12" s="56">
        <v>415.09999999999997</v>
      </c>
      <c r="F12" s="56">
        <v>10.72</v>
      </c>
      <c r="G12" s="33">
        <v>156.74</v>
      </c>
      <c r="H12" s="11">
        <f t="shared" ref="H12:H21" si="0">(E12+F12)/D12</f>
        <v>1.0763902932254803</v>
      </c>
      <c r="I12" s="33">
        <v>4736.68</v>
      </c>
      <c r="J12" s="56">
        <v>7.91</v>
      </c>
      <c r="K12" s="12">
        <f t="shared" ref="K12:K21" si="1">J12/D12</f>
        <v>1.9994944388270978E-2</v>
      </c>
      <c r="L12" s="238">
        <f t="shared" ref="L12:L21" si="2">((E12+F12)-D12)-J12</f>
        <v>22.30999999999997</v>
      </c>
      <c r="M12" s="13">
        <f t="shared" ref="M12:M21" si="3">L12/D12</f>
        <v>5.6395348837209223E-2</v>
      </c>
      <c r="N12" s="239">
        <f t="shared" ref="N12:N21" si="4">L12*G12</f>
        <v>3496.8693999999955</v>
      </c>
      <c r="O12" s="66" t="s">
        <v>18</v>
      </c>
      <c r="P12" s="14" t="s">
        <v>673</v>
      </c>
      <c r="Q12" s="66" t="s">
        <v>583</v>
      </c>
      <c r="R12" s="28" t="s">
        <v>25</v>
      </c>
    </row>
    <row r="13" spans="1:18" s="15" customFormat="1" ht="24.95" customHeight="1" x14ac:dyDescent="0.25">
      <c r="A13" s="240">
        <v>2</v>
      </c>
      <c r="B13" s="10" t="s">
        <v>38</v>
      </c>
      <c r="C13" s="33">
        <v>834.59</v>
      </c>
      <c r="D13" s="56">
        <v>250.95</v>
      </c>
      <c r="E13" s="56">
        <v>255.92</v>
      </c>
      <c r="F13" s="56">
        <v>11.75</v>
      </c>
      <c r="G13" s="33">
        <v>99.12</v>
      </c>
      <c r="H13" s="11">
        <f t="shared" si="0"/>
        <v>1.066626818091253</v>
      </c>
      <c r="I13" s="33">
        <v>1657.29</v>
      </c>
      <c r="J13" s="56">
        <v>8.42</v>
      </c>
      <c r="K13" s="12">
        <f t="shared" si="1"/>
        <v>3.3552500498107193E-2</v>
      </c>
      <c r="L13" s="238">
        <f t="shared" si="2"/>
        <v>8.2999999999999705</v>
      </c>
      <c r="M13" s="13">
        <f t="shared" si="3"/>
        <v>3.3074317593145927E-2</v>
      </c>
      <c r="N13" s="239">
        <f t="shared" si="4"/>
        <v>822.69599999999707</v>
      </c>
      <c r="O13" s="66" t="s">
        <v>584</v>
      </c>
      <c r="P13" s="14" t="s">
        <v>672</v>
      </c>
      <c r="Q13" s="66" t="s">
        <v>585</v>
      </c>
      <c r="R13" s="28" t="s">
        <v>25</v>
      </c>
    </row>
    <row r="14" spans="1:18" s="57" customFormat="1" ht="24.95" customHeight="1" x14ac:dyDescent="0.25">
      <c r="A14" s="240">
        <v>3</v>
      </c>
      <c r="B14" s="10" t="s">
        <v>59</v>
      </c>
      <c r="C14" s="33">
        <v>733.27</v>
      </c>
      <c r="D14" s="56">
        <v>96.14</v>
      </c>
      <c r="E14" s="56">
        <v>107.8</v>
      </c>
      <c r="F14" s="56">
        <v>0</v>
      </c>
      <c r="G14" s="33">
        <v>135.54</v>
      </c>
      <c r="H14" s="11">
        <f t="shared" si="0"/>
        <v>1.1212814645308924</v>
      </c>
      <c r="I14" s="33">
        <v>1580.4</v>
      </c>
      <c r="J14" s="56">
        <v>5.41</v>
      </c>
      <c r="K14" s="12">
        <f t="shared" si="1"/>
        <v>5.627210318285833E-2</v>
      </c>
      <c r="L14" s="238">
        <f t="shared" si="2"/>
        <v>6.2499999999999964</v>
      </c>
      <c r="M14" s="13">
        <f t="shared" si="3"/>
        <v>6.5009361348034075E-2</v>
      </c>
      <c r="N14" s="239">
        <f t="shared" si="4"/>
        <v>847.12499999999943</v>
      </c>
      <c r="O14" s="66" t="s">
        <v>584</v>
      </c>
      <c r="P14" s="14" t="s">
        <v>672</v>
      </c>
      <c r="Q14" s="66" t="s">
        <v>585</v>
      </c>
      <c r="R14" s="28" t="s">
        <v>25</v>
      </c>
    </row>
    <row r="15" spans="1:18" s="15" customFormat="1" ht="24.95" customHeight="1" x14ac:dyDescent="0.25">
      <c r="A15" s="237">
        <v>4</v>
      </c>
      <c r="B15" s="10" t="s">
        <v>46</v>
      </c>
      <c r="C15" s="33">
        <v>557.07000000000005</v>
      </c>
      <c r="D15" s="56">
        <v>24</v>
      </c>
      <c r="E15" s="56">
        <v>21.79</v>
      </c>
      <c r="F15" s="56">
        <v>3.3</v>
      </c>
      <c r="G15" s="33">
        <v>1012.86</v>
      </c>
      <c r="H15" s="11">
        <f t="shared" si="0"/>
        <v>1.0454166666666667</v>
      </c>
      <c r="I15" s="33">
        <v>1104.02</v>
      </c>
      <c r="J15" s="56">
        <v>0.55000000000000004</v>
      </c>
      <c r="K15" s="12">
        <f t="shared" si="1"/>
        <v>2.2916666666666669E-2</v>
      </c>
      <c r="L15" s="238">
        <f t="shared" si="2"/>
        <v>0.53999999999999981</v>
      </c>
      <c r="M15" s="13">
        <f t="shared" si="3"/>
        <v>2.2499999999999992E-2</v>
      </c>
      <c r="N15" s="239">
        <f t="shared" si="4"/>
        <v>546.94439999999986</v>
      </c>
      <c r="O15" s="66" t="s">
        <v>19</v>
      </c>
      <c r="P15" s="14" t="s">
        <v>670</v>
      </c>
      <c r="Q15" s="66" t="s">
        <v>587</v>
      </c>
      <c r="R15" s="28" t="s">
        <v>76</v>
      </c>
    </row>
    <row r="16" spans="1:18" s="57" customFormat="1" ht="24.95" customHeight="1" x14ac:dyDescent="0.25">
      <c r="A16" s="240">
        <v>5</v>
      </c>
      <c r="B16" s="10" t="s">
        <v>707</v>
      </c>
      <c r="C16" s="33">
        <v>480.41</v>
      </c>
      <c r="D16" s="56">
        <v>14.44</v>
      </c>
      <c r="E16" s="56">
        <v>18.100000000000001</v>
      </c>
      <c r="F16" s="56">
        <v>0</v>
      </c>
      <c r="G16" s="33">
        <v>262.52</v>
      </c>
      <c r="H16" s="11">
        <f t="shared" si="0"/>
        <v>1.2534626038781165</v>
      </c>
      <c r="I16" s="33">
        <v>960.82</v>
      </c>
      <c r="J16" s="56">
        <v>1.830000000000001</v>
      </c>
      <c r="K16" s="12">
        <f t="shared" si="1"/>
        <v>0.12673130193905824</v>
      </c>
      <c r="L16" s="238">
        <f t="shared" si="2"/>
        <v>1.830000000000001</v>
      </c>
      <c r="M16" s="13">
        <f t="shared" si="3"/>
        <v>0.12673130193905824</v>
      </c>
      <c r="N16" s="239">
        <f t="shared" si="4"/>
        <v>480.41160000000019</v>
      </c>
      <c r="O16" s="66" t="s">
        <v>19</v>
      </c>
      <c r="P16" s="14" t="s">
        <v>670</v>
      </c>
      <c r="Q16" s="66" t="s">
        <v>587</v>
      </c>
      <c r="R16" s="28" t="s">
        <v>708</v>
      </c>
    </row>
    <row r="17" spans="1:18" s="15" customFormat="1" ht="24.95" customHeight="1" x14ac:dyDescent="0.25">
      <c r="A17" s="237">
        <v>6</v>
      </c>
      <c r="B17" s="10" t="s">
        <v>30</v>
      </c>
      <c r="C17" s="33">
        <v>477.9</v>
      </c>
      <c r="D17" s="56">
        <v>76.14</v>
      </c>
      <c r="E17" s="56">
        <v>82.24</v>
      </c>
      <c r="F17" s="56">
        <v>0</v>
      </c>
      <c r="G17" s="33">
        <v>156.69</v>
      </c>
      <c r="H17" s="11">
        <f t="shared" si="0"/>
        <v>1.0801155765694772</v>
      </c>
      <c r="I17" s="33">
        <v>955.81</v>
      </c>
      <c r="J17" s="56">
        <v>3.0499999999999972</v>
      </c>
      <c r="K17" s="12">
        <f t="shared" si="1"/>
        <v>4.0057788284738605E-2</v>
      </c>
      <c r="L17" s="238">
        <f t="shared" si="2"/>
        <v>3.0499999999999972</v>
      </c>
      <c r="M17" s="13">
        <f t="shared" si="3"/>
        <v>4.0057788284738605E-2</v>
      </c>
      <c r="N17" s="239">
        <f t="shared" si="4"/>
        <v>477.90449999999953</v>
      </c>
      <c r="O17" s="66" t="s">
        <v>584</v>
      </c>
      <c r="P17" s="14" t="s">
        <v>672</v>
      </c>
      <c r="Q17" s="66" t="s">
        <v>585</v>
      </c>
      <c r="R17" s="28" t="s">
        <v>25</v>
      </c>
    </row>
    <row r="18" spans="1:18" s="57" customFormat="1" ht="24.95" customHeight="1" x14ac:dyDescent="0.25">
      <c r="A18" s="240">
        <v>7</v>
      </c>
      <c r="B18" s="10" t="s">
        <v>44</v>
      </c>
      <c r="C18" s="33">
        <v>445.62</v>
      </c>
      <c r="D18" s="56">
        <v>12.34</v>
      </c>
      <c r="E18" s="56">
        <v>12.52</v>
      </c>
      <c r="F18" s="56">
        <v>2</v>
      </c>
      <c r="G18" s="33">
        <v>408.83</v>
      </c>
      <c r="H18" s="11">
        <f t="shared" si="0"/>
        <v>1.1766612641815235</v>
      </c>
      <c r="I18" s="33">
        <v>891.25</v>
      </c>
      <c r="J18" s="56">
        <v>1.0900000000000001</v>
      </c>
      <c r="K18" s="12">
        <f t="shared" si="1"/>
        <v>8.8330632090761751E-2</v>
      </c>
      <c r="L18" s="238">
        <f t="shared" si="2"/>
        <v>1.0899999999999996</v>
      </c>
      <c r="M18" s="13">
        <f t="shared" si="3"/>
        <v>8.8330632090761724E-2</v>
      </c>
      <c r="N18" s="239">
        <f t="shared" si="4"/>
        <v>445.62469999999985</v>
      </c>
      <c r="O18" s="66" t="s">
        <v>584</v>
      </c>
      <c r="P18" s="14" t="s">
        <v>672</v>
      </c>
      <c r="Q18" s="66" t="s">
        <v>589</v>
      </c>
      <c r="R18" s="28" t="s">
        <v>24</v>
      </c>
    </row>
    <row r="19" spans="1:18" s="15" customFormat="1" ht="24.95" customHeight="1" x14ac:dyDescent="0.25">
      <c r="A19" s="237">
        <v>8</v>
      </c>
      <c r="B19" s="10" t="s">
        <v>42</v>
      </c>
      <c r="C19" s="33">
        <v>387.76</v>
      </c>
      <c r="D19" s="56">
        <v>77.63</v>
      </c>
      <c r="E19" s="56">
        <v>82.49</v>
      </c>
      <c r="F19" s="56">
        <v>0</v>
      </c>
      <c r="G19" s="33">
        <v>159.57</v>
      </c>
      <c r="H19" s="11">
        <f t="shared" si="0"/>
        <v>1.0626046631456911</v>
      </c>
      <c r="I19" s="33">
        <v>775.51</v>
      </c>
      <c r="J19" s="56">
        <v>2.4299999999999997</v>
      </c>
      <c r="K19" s="12">
        <f t="shared" si="1"/>
        <v>3.1302331572845545E-2</v>
      </c>
      <c r="L19" s="238">
        <f t="shared" si="2"/>
        <v>2.4299999999999997</v>
      </c>
      <c r="M19" s="13">
        <f t="shared" si="3"/>
        <v>3.1302331572845545E-2</v>
      </c>
      <c r="N19" s="239">
        <f t="shared" si="4"/>
        <v>387.75509999999991</v>
      </c>
      <c r="O19" s="66" t="s">
        <v>19</v>
      </c>
      <c r="P19" s="14" t="s">
        <v>670</v>
      </c>
      <c r="Q19" s="66" t="s">
        <v>587</v>
      </c>
      <c r="R19" s="28" t="s">
        <v>25</v>
      </c>
    </row>
    <row r="20" spans="1:18" s="15" customFormat="1" ht="24.95" customHeight="1" x14ac:dyDescent="0.25">
      <c r="A20" s="240">
        <v>9</v>
      </c>
      <c r="B20" s="10" t="s">
        <v>36</v>
      </c>
      <c r="C20" s="33">
        <v>387.12</v>
      </c>
      <c r="D20" s="56">
        <v>224.63</v>
      </c>
      <c r="E20" s="56">
        <v>217.57</v>
      </c>
      <c r="F20" s="56">
        <v>12</v>
      </c>
      <c r="G20" s="33">
        <v>156.72999999999999</v>
      </c>
      <c r="H20" s="11">
        <f t="shared" si="0"/>
        <v>1.0219917197168678</v>
      </c>
      <c r="I20" s="33">
        <v>774.25</v>
      </c>
      <c r="J20" s="56">
        <v>2.4700000000000002</v>
      </c>
      <c r="K20" s="12">
        <f t="shared" si="1"/>
        <v>1.0995859858433869E-2</v>
      </c>
      <c r="L20" s="238">
        <f t="shared" si="2"/>
        <v>2.4699999999999975</v>
      </c>
      <c r="M20" s="13">
        <f t="shared" si="3"/>
        <v>1.0995859858433859E-2</v>
      </c>
      <c r="N20" s="239">
        <f t="shared" si="4"/>
        <v>387.12309999999957</v>
      </c>
      <c r="O20" s="66" t="s">
        <v>18</v>
      </c>
      <c r="P20" s="14" t="s">
        <v>673</v>
      </c>
      <c r="Q20" s="66" t="s">
        <v>583</v>
      </c>
      <c r="R20" s="28" t="s">
        <v>25</v>
      </c>
    </row>
    <row r="21" spans="1:18" s="15" customFormat="1" ht="24.95" customHeight="1" thickBot="1" x14ac:dyDescent="0.3">
      <c r="A21" s="241">
        <v>10</v>
      </c>
      <c r="B21" s="16" t="s">
        <v>118</v>
      </c>
      <c r="C21" s="34">
        <v>372.05</v>
      </c>
      <c r="D21" s="58">
        <v>42.48</v>
      </c>
      <c r="E21" s="58">
        <v>42.209999999999994</v>
      </c>
      <c r="F21" s="58">
        <v>3</v>
      </c>
      <c r="G21" s="34">
        <v>271.57</v>
      </c>
      <c r="H21" s="17">
        <f t="shared" si="0"/>
        <v>1.0642655367231637</v>
      </c>
      <c r="I21" s="34">
        <v>741.39</v>
      </c>
      <c r="J21" s="58">
        <v>1.37</v>
      </c>
      <c r="K21" s="18">
        <f t="shared" si="1"/>
        <v>3.2250470809792847E-2</v>
      </c>
      <c r="L21" s="242">
        <f t="shared" si="2"/>
        <v>1.3599999999999968</v>
      </c>
      <c r="M21" s="19">
        <f t="shared" si="3"/>
        <v>3.2015065913370923E-2</v>
      </c>
      <c r="N21" s="243">
        <f t="shared" si="4"/>
        <v>369.33519999999913</v>
      </c>
      <c r="O21" s="64" t="s">
        <v>584</v>
      </c>
      <c r="P21" s="20" t="s">
        <v>672</v>
      </c>
      <c r="Q21" s="64" t="s">
        <v>589</v>
      </c>
      <c r="R21" s="29" t="s">
        <v>302</v>
      </c>
    </row>
    <row r="22" spans="1:18" s="62" customFormat="1" ht="24.95" customHeight="1" thickBot="1" x14ac:dyDescent="0.3">
      <c r="A22" s="244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45"/>
      <c r="M22" s="30"/>
      <c r="N22" s="246"/>
      <c r="O22" s="61"/>
      <c r="P22" s="61"/>
      <c r="Q22" s="61"/>
      <c r="R22" s="59"/>
    </row>
    <row r="23" spans="1:18" s="62" customFormat="1" ht="40.5" customHeight="1" x14ac:dyDescent="0.25">
      <c r="A23" s="443" t="s">
        <v>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127</v>
      </c>
      <c r="B24" s="447"/>
      <c r="C24" s="447"/>
      <c r="D24" s="447" t="s">
        <v>684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685</v>
      </c>
      <c r="P24" s="457" t="s">
        <v>741</v>
      </c>
      <c r="Q24" s="456" t="s">
        <v>687</v>
      </c>
      <c r="R24" s="718" t="s">
        <v>733</v>
      </c>
    </row>
    <row r="25" spans="1:18" s="62" customFormat="1" ht="24.95" customHeight="1" x14ac:dyDescent="0.25">
      <c r="A25" s="719" t="s">
        <v>689</v>
      </c>
      <c r="B25" s="461" t="s">
        <v>186</v>
      </c>
      <c r="C25" s="462"/>
      <c r="D25" s="463" t="s">
        <v>742</v>
      </c>
      <c r="E25" s="463"/>
      <c r="F25" s="463"/>
      <c r="G25" s="463"/>
      <c r="H25" s="463"/>
      <c r="I25" s="463"/>
      <c r="J25" s="464" t="s">
        <v>135</v>
      </c>
      <c r="K25" s="464"/>
      <c r="L25" s="464"/>
      <c r="M25" s="465"/>
      <c r="N25" s="465"/>
      <c r="O25" s="456"/>
      <c r="P25" s="456"/>
      <c r="Q25" s="456"/>
      <c r="R25" s="718"/>
    </row>
    <row r="26" spans="1:18" s="62" customFormat="1" ht="24.95" customHeight="1" x14ac:dyDescent="0.3">
      <c r="A26" s="720"/>
      <c r="B26" s="722" t="s">
        <v>693</v>
      </c>
      <c r="C26" s="724" t="s">
        <v>710</v>
      </c>
      <c r="D26" s="726" t="s">
        <v>695</v>
      </c>
      <c r="E26" s="726"/>
      <c r="F26" s="726"/>
      <c r="G26" s="726"/>
      <c r="H26" s="726"/>
      <c r="I26" s="726"/>
      <c r="J26" s="727" t="s">
        <v>696</v>
      </c>
      <c r="K26" s="728"/>
      <c r="L26" s="729"/>
      <c r="M26" s="727" t="s">
        <v>139</v>
      </c>
      <c r="N26" s="729"/>
      <c r="O26" s="456"/>
      <c r="P26" s="456"/>
      <c r="Q26" s="456"/>
      <c r="R26" s="718"/>
    </row>
    <row r="27" spans="1:18" s="62" customFormat="1" ht="50.1" customHeight="1" x14ac:dyDescent="0.25">
      <c r="A27" s="721"/>
      <c r="B27" s="723"/>
      <c r="C27" s="725"/>
      <c r="D27" s="234" t="s">
        <v>140</v>
      </c>
      <c r="E27" s="234" t="s">
        <v>141</v>
      </c>
      <c r="F27" s="234" t="s">
        <v>142</v>
      </c>
      <c r="G27" s="234" t="s">
        <v>197</v>
      </c>
      <c r="H27" s="234" t="s">
        <v>711</v>
      </c>
      <c r="I27" s="234" t="s">
        <v>145</v>
      </c>
      <c r="J27" s="235" t="s">
        <v>146</v>
      </c>
      <c r="K27" s="235" t="s">
        <v>147</v>
      </c>
      <c r="L27" s="236" t="s">
        <v>202</v>
      </c>
      <c r="M27" s="235" t="s">
        <v>146</v>
      </c>
      <c r="N27" s="235" t="s">
        <v>704</v>
      </c>
      <c r="O27" s="456"/>
      <c r="P27" s="456"/>
      <c r="Q27" s="456"/>
      <c r="R27" s="718"/>
    </row>
    <row r="28" spans="1:18" s="62" customFormat="1" ht="24.95" customHeight="1" x14ac:dyDescent="0.25">
      <c r="A28" s="237">
        <v>1</v>
      </c>
      <c r="B28" s="10" t="s">
        <v>55</v>
      </c>
      <c r="C28" s="33">
        <v>6704.55</v>
      </c>
      <c r="D28" s="56">
        <v>98.58</v>
      </c>
      <c r="E28" s="56">
        <v>112.01</v>
      </c>
      <c r="F28" s="56">
        <v>7.91</v>
      </c>
      <c r="G28" s="33">
        <v>331.58</v>
      </c>
      <c r="H28" s="35">
        <f t="shared" ref="H28:H37" si="5">(E28+F28)/D28</f>
        <v>1.2164739298032055</v>
      </c>
      <c r="I28" s="33">
        <v>7075.92</v>
      </c>
      <c r="J28" s="56">
        <v>1.1200000000000001</v>
      </c>
      <c r="K28" s="12">
        <f t="shared" ref="K28:K37" si="6">J28/D28</f>
        <v>1.1361330898762428E-2</v>
      </c>
      <c r="L28" s="239">
        <f t="shared" ref="L28:L37" si="7">J28*G28</f>
        <v>371.36959999999999</v>
      </c>
      <c r="M28" s="238">
        <f t="shared" ref="M28:M37" si="8">((E28+F28)-D28)-J28</f>
        <v>20.220000000000002</v>
      </c>
      <c r="N28" s="13">
        <f t="shared" ref="N28:N37" si="9">M28/D28</f>
        <v>0.20511259890444311</v>
      </c>
      <c r="O28" s="69" t="s">
        <v>22</v>
      </c>
      <c r="P28" s="14" t="s">
        <v>672</v>
      </c>
      <c r="Q28" s="14" t="s">
        <v>67</v>
      </c>
      <c r="R28" s="28" t="s">
        <v>74</v>
      </c>
    </row>
    <row r="29" spans="1:18" s="62" customFormat="1" ht="24.75" customHeight="1" x14ac:dyDescent="0.25">
      <c r="A29" s="240">
        <v>2</v>
      </c>
      <c r="B29" s="10" t="s">
        <v>32</v>
      </c>
      <c r="C29" s="33">
        <v>6444.1799999999994</v>
      </c>
      <c r="D29" s="56">
        <v>111.49</v>
      </c>
      <c r="E29" s="56">
        <v>131.62</v>
      </c>
      <c r="F29" s="56">
        <v>11.88</v>
      </c>
      <c r="G29" s="33">
        <v>212.89</v>
      </c>
      <c r="H29" s="35">
        <f t="shared" si="5"/>
        <v>1.2871109516548569</v>
      </c>
      <c r="I29" s="33">
        <v>6814.61</v>
      </c>
      <c r="J29" s="56">
        <v>1.74</v>
      </c>
      <c r="K29" s="12">
        <f t="shared" si="6"/>
        <v>1.560678087720872E-2</v>
      </c>
      <c r="L29" s="239">
        <f t="shared" si="7"/>
        <v>370.42859999999996</v>
      </c>
      <c r="M29" s="238">
        <f t="shared" si="8"/>
        <v>30.270000000000007</v>
      </c>
      <c r="N29" s="13">
        <f t="shared" si="9"/>
        <v>0.27150417077764827</v>
      </c>
      <c r="O29" s="69" t="s">
        <v>22</v>
      </c>
      <c r="P29" s="14" t="s">
        <v>672</v>
      </c>
      <c r="Q29" s="14" t="s">
        <v>80</v>
      </c>
      <c r="R29" s="28" t="s">
        <v>25</v>
      </c>
    </row>
    <row r="30" spans="1:18" s="62" customFormat="1" ht="24.95" customHeight="1" x14ac:dyDescent="0.25">
      <c r="A30" s="240">
        <v>3</v>
      </c>
      <c r="B30" s="10" t="s">
        <v>41</v>
      </c>
      <c r="C30" s="33">
        <v>4456.45</v>
      </c>
      <c r="D30" s="56">
        <v>157.74</v>
      </c>
      <c r="E30" s="56">
        <v>175.83999999999997</v>
      </c>
      <c r="F30" s="56">
        <v>19.8</v>
      </c>
      <c r="G30" s="33">
        <v>127.4</v>
      </c>
      <c r="H30" s="35">
        <f t="shared" si="5"/>
        <v>1.2402687967541521</v>
      </c>
      <c r="I30" s="33">
        <v>4828.46</v>
      </c>
      <c r="J30" s="32">
        <v>2.92</v>
      </c>
      <c r="K30" s="12">
        <f t="shared" si="6"/>
        <v>1.8511474578420183E-2</v>
      </c>
      <c r="L30" s="239">
        <f t="shared" si="7"/>
        <v>372.00799999999998</v>
      </c>
      <c r="M30" s="238">
        <f t="shared" si="8"/>
        <v>34.979999999999976</v>
      </c>
      <c r="N30" s="13">
        <f t="shared" si="9"/>
        <v>0.22175732217573205</v>
      </c>
      <c r="O30" s="69" t="s">
        <v>22</v>
      </c>
      <c r="P30" s="14" t="s">
        <v>672</v>
      </c>
      <c r="Q30" s="14" t="s">
        <v>84</v>
      </c>
      <c r="R30" s="28" t="s">
        <v>25</v>
      </c>
    </row>
    <row r="31" spans="1:18" s="62" customFormat="1" ht="24.95" customHeight="1" x14ac:dyDescent="0.25">
      <c r="A31" s="237">
        <v>4</v>
      </c>
      <c r="B31" s="10" t="s">
        <v>47</v>
      </c>
      <c r="C31" s="33">
        <v>3993.04</v>
      </c>
      <c r="D31" s="56">
        <v>49.13</v>
      </c>
      <c r="E31" s="56">
        <v>58.96</v>
      </c>
      <c r="F31" s="56">
        <v>2.9</v>
      </c>
      <c r="G31" s="33">
        <v>342.75</v>
      </c>
      <c r="H31" s="35">
        <f t="shared" si="5"/>
        <v>1.2591084876857317</v>
      </c>
      <c r="I31" s="33">
        <v>4363.21</v>
      </c>
      <c r="J31" s="56">
        <v>1.08</v>
      </c>
      <c r="K31" s="12">
        <f t="shared" si="6"/>
        <v>2.1982495420313455E-2</v>
      </c>
      <c r="L31" s="239">
        <f t="shared" si="7"/>
        <v>370.17</v>
      </c>
      <c r="M31" s="238">
        <f t="shared" si="8"/>
        <v>11.649999999999997</v>
      </c>
      <c r="N31" s="13">
        <f t="shared" si="9"/>
        <v>0.2371259922654182</v>
      </c>
      <c r="O31" s="69" t="s">
        <v>22</v>
      </c>
      <c r="P31" s="14" t="s">
        <v>672</v>
      </c>
      <c r="Q31" s="14" t="s">
        <v>67</v>
      </c>
      <c r="R31" s="28" t="s">
        <v>73</v>
      </c>
    </row>
    <row r="32" spans="1:18" s="62" customFormat="1" ht="24.95" customHeight="1" x14ac:dyDescent="0.25">
      <c r="A32" s="240">
        <v>5</v>
      </c>
      <c r="B32" s="10" t="s">
        <v>37</v>
      </c>
      <c r="C32" s="33">
        <v>3496.8700000000003</v>
      </c>
      <c r="D32" s="56">
        <v>395.6</v>
      </c>
      <c r="E32" s="56">
        <v>415.09999999999997</v>
      </c>
      <c r="F32" s="56">
        <v>10.72</v>
      </c>
      <c r="G32" s="33">
        <v>156.74</v>
      </c>
      <c r="H32" s="35">
        <f t="shared" si="5"/>
        <v>1.0763902932254803</v>
      </c>
      <c r="I32" s="33">
        <v>4736.68</v>
      </c>
      <c r="J32" s="56">
        <v>7.91</v>
      </c>
      <c r="K32" s="12">
        <f t="shared" si="6"/>
        <v>1.9994944388270978E-2</v>
      </c>
      <c r="L32" s="239">
        <f t="shared" si="7"/>
        <v>1239.8134</v>
      </c>
      <c r="M32" s="238">
        <f t="shared" si="8"/>
        <v>22.30999999999997</v>
      </c>
      <c r="N32" s="13">
        <f t="shared" si="9"/>
        <v>5.6395348837209223E-2</v>
      </c>
      <c r="O32" s="69" t="s">
        <v>22</v>
      </c>
      <c r="P32" s="14" t="s">
        <v>672</v>
      </c>
      <c r="Q32" s="14" t="s">
        <v>67</v>
      </c>
      <c r="R32" s="28" t="s">
        <v>25</v>
      </c>
    </row>
    <row r="33" spans="1:18" s="62" customFormat="1" ht="24.95" customHeight="1" x14ac:dyDescent="0.25">
      <c r="A33" s="237">
        <v>6</v>
      </c>
      <c r="B33" s="10" t="s">
        <v>665</v>
      </c>
      <c r="C33" s="33">
        <v>3411.7200000000003</v>
      </c>
      <c r="D33" s="56">
        <v>470.68</v>
      </c>
      <c r="E33" s="56">
        <v>496.12000000000006</v>
      </c>
      <c r="F33" s="56">
        <v>21.2</v>
      </c>
      <c r="G33" s="33">
        <v>81</v>
      </c>
      <c r="H33" s="35">
        <f t="shared" si="5"/>
        <v>1.0990906773179232</v>
      </c>
      <c r="I33" s="33">
        <v>3777.84</v>
      </c>
      <c r="J33" s="56">
        <v>4.5199999999999996</v>
      </c>
      <c r="K33" s="12">
        <f t="shared" si="6"/>
        <v>9.6031273901589186E-3</v>
      </c>
      <c r="L33" s="239">
        <f t="shared" si="7"/>
        <v>366.11999999999995</v>
      </c>
      <c r="M33" s="238">
        <f t="shared" si="8"/>
        <v>42.120000000000047</v>
      </c>
      <c r="N33" s="13">
        <f t="shared" si="9"/>
        <v>8.9487549927764184E-2</v>
      </c>
      <c r="O33" s="69" t="s">
        <v>22</v>
      </c>
      <c r="P33" s="14" t="s">
        <v>672</v>
      </c>
      <c r="Q33" s="14" t="s">
        <v>84</v>
      </c>
      <c r="R33" s="28" t="s">
        <v>25</v>
      </c>
    </row>
    <row r="34" spans="1:18" s="62" customFormat="1" ht="24.95" customHeight="1" x14ac:dyDescent="0.25">
      <c r="A34" s="240">
        <v>7</v>
      </c>
      <c r="B34" s="10" t="s">
        <v>45</v>
      </c>
      <c r="C34" s="33">
        <v>3183.2</v>
      </c>
      <c r="D34" s="56">
        <v>80.73</v>
      </c>
      <c r="E34" s="56">
        <v>86.34</v>
      </c>
      <c r="F34" s="56">
        <v>5.55</v>
      </c>
      <c r="G34" s="33">
        <v>318.32</v>
      </c>
      <c r="H34" s="35">
        <f t="shared" si="5"/>
        <v>1.1382385730211817</v>
      </c>
      <c r="I34" s="33">
        <v>3552.45</v>
      </c>
      <c r="J34" s="56">
        <v>1.1599999999999999</v>
      </c>
      <c r="K34" s="12">
        <f t="shared" si="6"/>
        <v>1.4368883934101323E-2</v>
      </c>
      <c r="L34" s="239">
        <f t="shared" si="7"/>
        <v>369.25119999999998</v>
      </c>
      <c r="M34" s="238">
        <f t="shared" si="8"/>
        <v>9.9999999999999964</v>
      </c>
      <c r="N34" s="13">
        <f t="shared" si="9"/>
        <v>0.12386968908708035</v>
      </c>
      <c r="O34" s="69" t="s">
        <v>22</v>
      </c>
      <c r="P34" s="14" t="s">
        <v>672</v>
      </c>
      <c r="Q34" s="14" t="s">
        <v>67</v>
      </c>
      <c r="R34" s="28" t="s">
        <v>76</v>
      </c>
    </row>
    <row r="35" spans="1:18" s="62" customFormat="1" ht="24.95" customHeight="1" x14ac:dyDescent="0.25">
      <c r="A35" s="237">
        <v>8</v>
      </c>
      <c r="B35" s="10" t="s">
        <v>478</v>
      </c>
      <c r="C35" s="33">
        <v>2827.62</v>
      </c>
      <c r="D35" s="56">
        <v>610.96</v>
      </c>
      <c r="E35" s="56">
        <v>635.46</v>
      </c>
      <c r="F35" s="56">
        <v>28</v>
      </c>
      <c r="G35" s="33">
        <v>60.94</v>
      </c>
      <c r="H35" s="35">
        <f t="shared" si="5"/>
        <v>1.0859303391384052</v>
      </c>
      <c r="I35" s="33">
        <v>3199.35</v>
      </c>
      <c r="J35" s="56">
        <v>6.1</v>
      </c>
      <c r="K35" s="12">
        <f t="shared" si="6"/>
        <v>9.9842870237004042E-3</v>
      </c>
      <c r="L35" s="239">
        <f t="shared" si="7"/>
        <v>371.73399999999998</v>
      </c>
      <c r="M35" s="238">
        <f t="shared" si="8"/>
        <v>46.4</v>
      </c>
      <c r="N35" s="13">
        <f t="shared" si="9"/>
        <v>7.5946052114704718E-2</v>
      </c>
      <c r="O35" s="69" t="s">
        <v>22</v>
      </c>
      <c r="P35" s="14" t="s">
        <v>672</v>
      </c>
      <c r="Q35" s="14" t="s">
        <v>746</v>
      </c>
      <c r="R35" s="28" t="s">
        <v>76</v>
      </c>
    </row>
    <row r="36" spans="1:18" s="62" customFormat="1" ht="24.95" customHeight="1" x14ac:dyDescent="0.25">
      <c r="A36" s="240">
        <v>9</v>
      </c>
      <c r="B36" s="10" t="s">
        <v>83</v>
      </c>
      <c r="C36" s="33">
        <v>2176.5500000000002</v>
      </c>
      <c r="D36" s="56">
        <v>32.93</v>
      </c>
      <c r="E36" s="56">
        <v>37.230000000000004</v>
      </c>
      <c r="F36" s="56">
        <v>5.12</v>
      </c>
      <c r="G36" s="33">
        <v>268.70999999999998</v>
      </c>
      <c r="H36" s="35">
        <f t="shared" si="5"/>
        <v>1.2860613422411176</v>
      </c>
      <c r="I36" s="33">
        <v>2531.25</v>
      </c>
      <c r="J36" s="56">
        <v>1.32</v>
      </c>
      <c r="K36" s="12">
        <f t="shared" si="6"/>
        <v>4.0085028849073792E-2</v>
      </c>
      <c r="L36" s="239">
        <f t="shared" si="7"/>
        <v>354.69720000000001</v>
      </c>
      <c r="M36" s="238">
        <f t="shared" si="8"/>
        <v>8.1000000000000014</v>
      </c>
      <c r="N36" s="13">
        <f t="shared" si="9"/>
        <v>0.24597631339204376</v>
      </c>
      <c r="O36" s="69" t="s">
        <v>22</v>
      </c>
      <c r="P36" s="14" t="s">
        <v>672</v>
      </c>
      <c r="Q36" s="14" t="s">
        <v>84</v>
      </c>
      <c r="R36" s="28" t="s">
        <v>82</v>
      </c>
    </row>
    <row r="37" spans="1:18" s="62" customFormat="1" ht="24.95" customHeight="1" thickBot="1" x14ac:dyDescent="0.3">
      <c r="A37" s="241">
        <v>10</v>
      </c>
      <c r="B37" s="16" t="s">
        <v>31</v>
      </c>
      <c r="C37" s="34">
        <v>864.34000000000015</v>
      </c>
      <c r="D37" s="58">
        <v>11.71</v>
      </c>
      <c r="E37" s="58">
        <v>13.64</v>
      </c>
      <c r="F37" s="58">
        <v>2.5</v>
      </c>
      <c r="G37" s="34">
        <v>278.82</v>
      </c>
      <c r="H37" s="36">
        <f t="shared" si="5"/>
        <v>1.3783091374893253</v>
      </c>
      <c r="I37" s="34">
        <v>1235.17</v>
      </c>
      <c r="J37" s="58">
        <v>1.33</v>
      </c>
      <c r="K37" s="18">
        <f t="shared" si="6"/>
        <v>0.11357813834329633</v>
      </c>
      <c r="L37" s="243">
        <f t="shared" si="7"/>
        <v>370.8306</v>
      </c>
      <c r="M37" s="242">
        <f t="shared" si="8"/>
        <v>3.0999999999999996</v>
      </c>
      <c r="N37" s="19">
        <f t="shared" si="9"/>
        <v>0.26473099914602899</v>
      </c>
      <c r="O37" s="52" t="s">
        <v>22</v>
      </c>
      <c r="P37" s="20" t="s">
        <v>672</v>
      </c>
      <c r="Q37" s="20" t="s">
        <v>65</v>
      </c>
      <c r="R37" s="65" t="s">
        <v>89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712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743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715" t="s">
        <v>689</v>
      </c>
      <c r="B41" s="450" t="s">
        <v>690</v>
      </c>
      <c r="C41" s="450"/>
      <c r="D41" s="451"/>
      <c r="E41" s="23"/>
      <c r="G41" s="21"/>
      <c r="H41" s="22"/>
    </row>
    <row r="42" spans="1:18" ht="20.45" customHeight="1" x14ac:dyDescent="0.35">
      <c r="A42" s="715"/>
      <c r="B42" s="716" t="s">
        <v>693</v>
      </c>
      <c r="C42" s="717" t="s">
        <v>694</v>
      </c>
      <c r="D42" s="718" t="s">
        <v>713</v>
      </c>
      <c r="E42" s="23"/>
      <c r="G42" s="21"/>
      <c r="H42" s="22"/>
    </row>
    <row r="43" spans="1:18" ht="20.45" customHeight="1" x14ac:dyDescent="0.35">
      <c r="A43" s="715"/>
      <c r="B43" s="716"/>
      <c r="C43" s="717"/>
      <c r="D43" s="718"/>
      <c r="E43" s="23"/>
      <c r="G43" s="21"/>
      <c r="H43" s="22"/>
    </row>
    <row r="44" spans="1:18" s="26" customFormat="1" ht="24.95" customHeight="1" x14ac:dyDescent="0.35">
      <c r="A44" s="247">
        <v>1</v>
      </c>
      <c r="B44" s="10" t="s">
        <v>37</v>
      </c>
      <c r="C44" s="33">
        <v>1239.81</v>
      </c>
      <c r="D44" s="24">
        <f t="shared" ref="D44:D53" si="10">C44/$L$5</f>
        <v>0.22234716221814524</v>
      </c>
      <c r="E44" s="25"/>
      <c r="G44" s="21"/>
      <c r="H44" s="22"/>
    </row>
    <row r="45" spans="1:18" s="26" customFormat="1" ht="24.95" customHeight="1" x14ac:dyDescent="0.35">
      <c r="A45" s="248">
        <v>2</v>
      </c>
      <c r="B45" s="10" t="s">
        <v>38</v>
      </c>
      <c r="C45" s="33">
        <v>834.59</v>
      </c>
      <c r="D45" s="24">
        <f t="shared" si="10"/>
        <v>0.14967512612064901</v>
      </c>
      <c r="E45" s="25"/>
      <c r="G45" s="21"/>
      <c r="H45" s="22"/>
    </row>
    <row r="46" spans="1:18" s="26" customFormat="1" ht="24.95" customHeight="1" x14ac:dyDescent="0.35">
      <c r="A46" s="248">
        <v>3</v>
      </c>
      <c r="B46" s="10" t="s">
        <v>59</v>
      </c>
      <c r="C46" s="33">
        <v>733.27</v>
      </c>
      <c r="D46" s="24">
        <f t="shared" si="10"/>
        <v>0.13150442700066894</v>
      </c>
      <c r="E46" s="25"/>
      <c r="G46" s="21"/>
      <c r="H46" s="22"/>
    </row>
    <row r="47" spans="1:18" s="26" customFormat="1" ht="24.95" customHeight="1" x14ac:dyDescent="0.35">
      <c r="A47" s="247">
        <v>4</v>
      </c>
      <c r="B47" s="10" t="s">
        <v>30</v>
      </c>
      <c r="C47" s="33">
        <v>477.9</v>
      </c>
      <c r="D47" s="24">
        <f t="shared" si="10"/>
        <v>8.5706446007091097E-2</v>
      </c>
      <c r="E47" s="25"/>
      <c r="G47" s="21"/>
      <c r="H47" s="22"/>
    </row>
    <row r="48" spans="1:18" s="26" customFormat="1" ht="24.95" customHeight="1" x14ac:dyDescent="0.35">
      <c r="A48" s="248">
        <v>5</v>
      </c>
      <c r="B48" s="10" t="s">
        <v>42</v>
      </c>
      <c r="C48" s="33">
        <v>387.76</v>
      </c>
      <c r="D48" s="24">
        <f t="shared" si="10"/>
        <v>6.9540764812114769E-2</v>
      </c>
      <c r="E48" s="25"/>
      <c r="G48" s="21"/>
      <c r="H48" s="22"/>
    </row>
    <row r="49" spans="1:5" s="26" customFormat="1" ht="24.95" customHeight="1" x14ac:dyDescent="0.25">
      <c r="A49" s="247">
        <v>6</v>
      </c>
      <c r="B49" s="10" t="s">
        <v>36</v>
      </c>
      <c r="C49" s="33">
        <v>387.12</v>
      </c>
      <c r="D49" s="24">
        <f t="shared" si="10"/>
        <v>6.9425987399592187E-2</v>
      </c>
      <c r="E49" s="25"/>
    </row>
    <row r="50" spans="1:5" s="26" customFormat="1" ht="24.95" customHeight="1" x14ac:dyDescent="0.25">
      <c r="A50" s="248">
        <v>7</v>
      </c>
      <c r="B50" s="10" t="s">
        <v>41</v>
      </c>
      <c r="C50" s="33">
        <v>372.01</v>
      </c>
      <c r="D50" s="24">
        <f t="shared" si="10"/>
        <v>6.6716164425817029E-2</v>
      </c>
      <c r="E50" s="25"/>
    </row>
    <row r="51" spans="1:5" s="26" customFormat="1" ht="24.95" customHeight="1" x14ac:dyDescent="0.25">
      <c r="A51" s="247">
        <v>8</v>
      </c>
      <c r="B51" s="10" t="s">
        <v>32</v>
      </c>
      <c r="C51" s="33">
        <v>370.43</v>
      </c>
      <c r="D51" s="24">
        <f t="shared" si="10"/>
        <v>6.6432807688651938E-2</v>
      </c>
      <c r="E51" s="25"/>
    </row>
    <row r="52" spans="1:5" s="26" customFormat="1" ht="24.95" customHeight="1" x14ac:dyDescent="0.25">
      <c r="A52" s="248">
        <v>9</v>
      </c>
      <c r="B52" s="10" t="s">
        <v>665</v>
      </c>
      <c r="C52" s="33">
        <v>366.12</v>
      </c>
      <c r="D52" s="24">
        <f t="shared" si="10"/>
        <v>6.5659853551195219E-2</v>
      </c>
      <c r="E52" s="25"/>
    </row>
    <row r="53" spans="1:5" s="26" customFormat="1" ht="24.95" customHeight="1" thickBot="1" x14ac:dyDescent="0.3">
      <c r="A53" s="249">
        <v>10</v>
      </c>
      <c r="B53" s="16" t="s">
        <v>34</v>
      </c>
      <c r="C53" s="34">
        <v>323.24</v>
      </c>
      <c r="D53" s="27">
        <f t="shared" si="10"/>
        <v>5.7969766912182731E-2</v>
      </c>
      <c r="E53" s="25"/>
    </row>
    <row r="54" spans="1:5" x14ac:dyDescent="0.25">
      <c r="A54" s="441" t="s">
        <v>273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715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645" priority="33" operator="containsText" text="024">
      <formula>NOT(ISERROR(SEARCH("024",A12)))</formula>
    </cfRule>
    <cfRule type="containsText" dxfId="644" priority="34" operator="containsText" text="白醬">
      <formula>NOT(ISERROR(SEARCH("白醬",A12)))</formula>
    </cfRule>
    <cfRule type="containsText" dxfId="643" priority="35" operator="containsText" text="青蔥">
      <formula>NOT(ISERROR(SEARCH("青蔥",A12)))</formula>
    </cfRule>
    <cfRule type="containsText" dxfId="642" priority="36" operator="containsText" text=")川燙小青花菜">
      <formula>NOT(ISERROR(SEARCH(")川燙小青花菜",A12)))</formula>
    </cfRule>
    <cfRule type="containsText" dxfId="641" priority="37" operator="containsText" text="湯凍">
      <formula>NOT(ISERROR(SEARCH("湯凍",A12)))</formula>
    </cfRule>
    <cfRule type="containsText" dxfId="640" priority="38" operator="containsText" text="中華">
      <formula>NOT(ISERROR(SEARCH("中華",A12)))</formula>
    </cfRule>
  </conditionalFormatting>
  <conditionalFormatting sqref="A12:A22">
    <cfRule type="containsText" dxfId="639" priority="31" operator="containsText" text="綠豆芽">
      <formula>NOT(ISERROR(SEARCH("綠豆芽",A12)))</formula>
    </cfRule>
    <cfRule type="containsText" dxfId="638" priority="32" operator="containsText" text="煮白細麵生(方#12)">
      <formula>NOT(ISERROR(SEARCH("煮白細麵生(方#12)",A12)))</formula>
    </cfRule>
  </conditionalFormatting>
  <conditionalFormatting sqref="E5">
    <cfRule type="cellIs" dxfId="637" priority="16" operator="greaterThan">
      <formula>0.0025</formula>
    </cfRule>
    <cfRule type="cellIs" dxfId="636" priority="19" operator="greaterThan">
      <formula>0.0025</formula>
    </cfRule>
    <cfRule type="cellIs" dxfId="635" priority="29" operator="greaterThan">
      <formula>0.072</formula>
    </cfRule>
    <cfRule type="cellIs" dxfId="634" priority="30" operator="greaterThan">
      <formula>7.2</formula>
    </cfRule>
  </conditionalFormatting>
  <conditionalFormatting sqref="E5">
    <cfRule type="cellIs" dxfId="633" priority="28" operator="greaterThan">
      <formula>0.0025</formula>
    </cfRule>
  </conditionalFormatting>
  <conditionalFormatting sqref="A44:A53">
    <cfRule type="containsText" dxfId="632" priority="22" operator="containsText" text="024">
      <formula>NOT(ISERROR(SEARCH("024",A44)))</formula>
    </cfRule>
    <cfRule type="containsText" dxfId="631" priority="23" operator="containsText" text="白醬">
      <formula>NOT(ISERROR(SEARCH("白醬",A44)))</formula>
    </cfRule>
    <cfRule type="containsText" dxfId="630" priority="24" operator="containsText" text="青蔥">
      <formula>NOT(ISERROR(SEARCH("青蔥",A44)))</formula>
    </cfRule>
    <cfRule type="containsText" dxfId="629" priority="25" operator="containsText" text=")川燙小青花菜">
      <formula>NOT(ISERROR(SEARCH(")川燙小青花菜",A44)))</formula>
    </cfRule>
    <cfRule type="containsText" dxfId="628" priority="26" operator="containsText" text="湯凍">
      <formula>NOT(ISERROR(SEARCH("湯凍",A44)))</formula>
    </cfRule>
    <cfRule type="containsText" dxfId="627" priority="27" operator="containsText" text="中華">
      <formula>NOT(ISERROR(SEARCH("中華",A44)))</formula>
    </cfRule>
  </conditionalFormatting>
  <conditionalFormatting sqref="A44:A53">
    <cfRule type="containsText" dxfId="626" priority="20" operator="containsText" text="綠豆芽">
      <formula>NOT(ISERROR(SEARCH("綠豆芽",A44)))</formula>
    </cfRule>
    <cfRule type="containsText" dxfId="625" priority="21" operator="containsText" text="煮白細麵生(方#12)">
      <formula>NOT(ISERROR(SEARCH("煮白細麵生(方#12)",A44)))</formula>
    </cfRule>
  </conditionalFormatting>
  <conditionalFormatting sqref="D44:D53">
    <cfRule type="cellIs" dxfId="624" priority="18" operator="greaterThan">
      <formula>0.146</formula>
    </cfRule>
  </conditionalFormatting>
  <conditionalFormatting sqref="H12:H22">
    <cfRule type="cellIs" dxfId="623" priority="17" operator="greaterThan">
      <formula>1.1</formula>
    </cfRule>
  </conditionalFormatting>
  <conditionalFormatting sqref="I5">
    <cfRule type="cellIs" dxfId="622" priority="15" operator="greaterThan">
      <formula>0.2</formula>
    </cfRule>
  </conditionalFormatting>
  <conditionalFormatting sqref="A28:A37">
    <cfRule type="containsText" dxfId="621" priority="9" operator="containsText" text="024">
      <formula>NOT(ISERROR(SEARCH("024",A28)))</formula>
    </cfRule>
    <cfRule type="containsText" dxfId="620" priority="10" operator="containsText" text="白醬">
      <formula>NOT(ISERROR(SEARCH("白醬",A28)))</formula>
    </cfRule>
    <cfRule type="containsText" dxfId="619" priority="11" operator="containsText" text="青蔥">
      <formula>NOT(ISERROR(SEARCH("青蔥",A28)))</formula>
    </cfRule>
    <cfRule type="containsText" dxfId="618" priority="12" operator="containsText" text=")川燙小青花菜">
      <formula>NOT(ISERROR(SEARCH(")川燙小青花菜",A28)))</formula>
    </cfRule>
    <cfRule type="containsText" dxfId="617" priority="13" operator="containsText" text="湯凍">
      <formula>NOT(ISERROR(SEARCH("湯凍",A28)))</formula>
    </cfRule>
    <cfRule type="containsText" dxfId="616" priority="14" operator="containsText" text="中華">
      <formula>NOT(ISERROR(SEARCH("中華",A28)))</formula>
    </cfRule>
  </conditionalFormatting>
  <conditionalFormatting sqref="A28:A37">
    <cfRule type="containsText" dxfId="615" priority="7" operator="containsText" text="綠豆芽">
      <formula>NOT(ISERROR(SEARCH("綠豆芽",A28)))</formula>
    </cfRule>
    <cfRule type="containsText" dxfId="614" priority="8" operator="containsText" text="煮白細麵生(方#12)">
      <formula>NOT(ISERROR(SEARCH("煮白細麵生(方#12)",A28)))</formula>
    </cfRule>
  </conditionalFormatting>
  <conditionalFormatting sqref="H28:H37">
    <cfRule type="cellIs" dxfId="613" priority="6" operator="greaterThan">
      <formula>1.1</formula>
    </cfRule>
  </conditionalFormatting>
  <conditionalFormatting sqref="G5">
    <cfRule type="cellIs" dxfId="612" priority="1" operator="greaterThan">
      <formula>0.0025</formula>
    </cfRule>
    <cfRule type="cellIs" dxfId="611" priority="2" operator="greaterThan">
      <formula>0.0025</formula>
    </cfRule>
    <cfRule type="cellIs" dxfId="610" priority="4" operator="greaterThan">
      <formula>0.072</formula>
    </cfRule>
    <cfRule type="cellIs" dxfId="609" priority="5" operator="greaterThan">
      <formula>7.2</formula>
    </cfRule>
  </conditionalFormatting>
  <conditionalFormatting sqref="G5">
    <cfRule type="cellIs" dxfId="60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下拉式選單!$C$2:$C$9</xm:f>
          </x14:formula1>
          <xm:sqref>P12:P21 P28:P37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25" zoomScale="70" zoomScaleNormal="70" zoomScaleSheetLayoutView="70" workbookViewId="0">
      <selection activeCell="A32" sqref="A32:XFD3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736" t="s">
        <v>92</v>
      </c>
      <c r="B2" s="737"/>
      <c r="C2" s="232" t="s">
        <v>93</v>
      </c>
      <c r="D2" s="738" t="s">
        <v>94</v>
      </c>
      <c r="E2" s="738"/>
      <c r="F2" s="738" t="s">
        <v>95</v>
      </c>
      <c r="G2" s="738"/>
      <c r="H2" s="738" t="s">
        <v>94</v>
      </c>
      <c r="I2" s="738"/>
      <c r="J2" s="738" t="s">
        <v>95</v>
      </c>
      <c r="K2" s="738"/>
      <c r="L2" s="738" t="s">
        <v>94</v>
      </c>
      <c r="M2" s="739"/>
      <c r="R2" s="54"/>
    </row>
    <row r="3" spans="1:18" s="1" customFormat="1" ht="28.5" x14ac:dyDescent="0.45">
      <c r="A3" s="733">
        <v>45885</v>
      </c>
      <c r="B3" s="734"/>
      <c r="C3" s="735">
        <v>4483117.49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733"/>
      <c r="B4" s="734"/>
      <c r="C4" s="73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731" t="s">
        <v>105</v>
      </c>
      <c r="B5" s="732"/>
      <c r="C5" s="732"/>
      <c r="D5" s="233">
        <v>10769.009999999997</v>
      </c>
      <c r="E5" s="5">
        <f>D5/C3</f>
        <v>2.4021253121340783E-3</v>
      </c>
      <c r="F5" s="233">
        <v>38544.860000000008</v>
      </c>
      <c r="G5" s="44">
        <f>F5/C3</f>
        <v>8.5977804699470424E-3</v>
      </c>
      <c r="H5" s="6">
        <f>SUM(C12:C21)</f>
        <v>5301.32</v>
      </c>
      <c r="I5" s="7">
        <f>H5/D5</f>
        <v>0.4922755202195932</v>
      </c>
      <c r="J5" s="6">
        <f>SUM(C28:C37)</f>
        <v>26226.560000000001</v>
      </c>
      <c r="K5" s="46">
        <f>J5/F5</f>
        <v>0.68041653283991677</v>
      </c>
      <c r="L5" s="8">
        <v>2679.56</v>
      </c>
      <c r="M5" s="9">
        <f>L5/D5</f>
        <v>0.24882138655271011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682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683</v>
      </c>
      <c r="B8" s="447"/>
      <c r="C8" s="447"/>
      <c r="D8" s="447" t="s">
        <v>684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685</v>
      </c>
      <c r="P8" s="457" t="s">
        <v>686</v>
      </c>
      <c r="Q8" s="456" t="s">
        <v>687</v>
      </c>
      <c r="R8" s="718" t="s">
        <v>688</v>
      </c>
    </row>
    <row r="9" spans="1:18" ht="20.45" customHeight="1" x14ac:dyDescent="0.25">
      <c r="A9" s="719" t="s">
        <v>689</v>
      </c>
      <c r="B9" s="461" t="s">
        <v>690</v>
      </c>
      <c r="C9" s="462"/>
      <c r="D9" s="463" t="s">
        <v>691</v>
      </c>
      <c r="E9" s="463"/>
      <c r="F9" s="463"/>
      <c r="G9" s="463"/>
      <c r="H9" s="463"/>
      <c r="I9" s="463"/>
      <c r="J9" s="464" t="s">
        <v>692</v>
      </c>
      <c r="K9" s="464"/>
      <c r="L9" s="464"/>
      <c r="M9" s="465"/>
      <c r="N9" s="465"/>
      <c r="O9" s="456"/>
      <c r="P9" s="456"/>
      <c r="Q9" s="456"/>
      <c r="R9" s="718"/>
    </row>
    <row r="10" spans="1:18" ht="20.45" customHeight="1" x14ac:dyDescent="0.3">
      <c r="A10" s="720"/>
      <c r="B10" s="722" t="s">
        <v>693</v>
      </c>
      <c r="C10" s="724" t="s">
        <v>137</v>
      </c>
      <c r="D10" s="726" t="s">
        <v>695</v>
      </c>
      <c r="E10" s="726"/>
      <c r="F10" s="726"/>
      <c r="G10" s="726"/>
      <c r="H10" s="726"/>
      <c r="I10" s="726"/>
      <c r="J10" s="727" t="s">
        <v>696</v>
      </c>
      <c r="K10" s="729"/>
      <c r="L10" s="730" t="s">
        <v>697</v>
      </c>
      <c r="M10" s="727"/>
      <c r="N10" s="727"/>
      <c r="O10" s="456"/>
      <c r="P10" s="456"/>
      <c r="Q10" s="456"/>
      <c r="R10" s="718"/>
    </row>
    <row r="11" spans="1:18" s="55" customFormat="1" ht="47.25" customHeight="1" x14ac:dyDescent="0.25">
      <c r="A11" s="721"/>
      <c r="B11" s="723"/>
      <c r="C11" s="725"/>
      <c r="D11" s="234" t="s">
        <v>698</v>
      </c>
      <c r="E11" s="234" t="s">
        <v>699</v>
      </c>
      <c r="F11" s="234" t="s">
        <v>700</v>
      </c>
      <c r="G11" s="234" t="s">
        <v>701</v>
      </c>
      <c r="H11" s="234" t="s">
        <v>711</v>
      </c>
      <c r="I11" s="234" t="s">
        <v>702</v>
      </c>
      <c r="J11" s="235" t="s">
        <v>703</v>
      </c>
      <c r="K11" s="235" t="s">
        <v>704</v>
      </c>
      <c r="L11" s="235" t="s">
        <v>703</v>
      </c>
      <c r="M11" s="235" t="s">
        <v>704</v>
      </c>
      <c r="N11" s="236" t="s">
        <v>705</v>
      </c>
      <c r="O11" s="456"/>
      <c r="P11" s="456"/>
      <c r="Q11" s="456"/>
      <c r="R11" s="718"/>
    </row>
    <row r="12" spans="1:18" s="15" customFormat="1" ht="24.95" customHeight="1" x14ac:dyDescent="0.25">
      <c r="A12" s="237">
        <v>1</v>
      </c>
      <c r="B12" s="10" t="s">
        <v>47</v>
      </c>
      <c r="C12" s="33">
        <v>819.17</v>
      </c>
      <c r="D12" s="56">
        <v>42.46</v>
      </c>
      <c r="E12" s="56">
        <v>49.26</v>
      </c>
      <c r="F12" s="56">
        <v>0</v>
      </c>
      <c r="G12" s="33">
        <v>342.75</v>
      </c>
      <c r="H12" s="11">
        <f t="shared" ref="H12:H21" si="0">(E12+F12)/D12</f>
        <v>1.1601507300989164</v>
      </c>
      <c r="I12" s="33">
        <v>2330.6999999999998</v>
      </c>
      <c r="J12" s="56">
        <v>2.39</v>
      </c>
      <c r="K12" s="12">
        <f t="shared" ref="K12:K21" si="1">J12/D12</f>
        <v>5.6288271314178052E-2</v>
      </c>
      <c r="L12" s="238">
        <f t="shared" ref="L12:L21" si="2">((E12+F12)-D12)-J12</f>
        <v>4.4099999999999966</v>
      </c>
      <c r="M12" s="13">
        <f t="shared" ref="M12:M21" si="3">L12/D12</f>
        <v>0.1038624587847385</v>
      </c>
      <c r="N12" s="239">
        <f t="shared" ref="N12:N21" si="4">L12*G12</f>
        <v>1511.5274999999988</v>
      </c>
      <c r="O12" s="66" t="s">
        <v>19</v>
      </c>
      <c r="P12" s="14" t="s">
        <v>670</v>
      </c>
      <c r="Q12" s="66" t="s">
        <v>587</v>
      </c>
      <c r="R12" s="28" t="s">
        <v>73</v>
      </c>
    </row>
    <row r="13" spans="1:18" s="15" customFormat="1" ht="24.95" customHeight="1" x14ac:dyDescent="0.25">
      <c r="A13" s="240">
        <v>2</v>
      </c>
      <c r="B13" s="10" t="s">
        <v>35</v>
      </c>
      <c r="C13" s="33">
        <v>787.51</v>
      </c>
      <c r="D13" s="56">
        <v>77.64</v>
      </c>
      <c r="E13" s="56">
        <v>79.209999999999994</v>
      </c>
      <c r="F13" s="56">
        <v>6</v>
      </c>
      <c r="G13" s="33">
        <v>410.16</v>
      </c>
      <c r="H13" s="11">
        <f t="shared" si="0"/>
        <v>1.0975012879958783</v>
      </c>
      <c r="I13" s="33">
        <v>3104.91</v>
      </c>
      <c r="J13" s="56">
        <v>1.92</v>
      </c>
      <c r="K13" s="12">
        <f t="shared" si="1"/>
        <v>2.472952086553323E-2</v>
      </c>
      <c r="L13" s="238">
        <f t="shared" si="2"/>
        <v>5.6499999999999932</v>
      </c>
      <c r="M13" s="13">
        <f t="shared" si="3"/>
        <v>7.2771767130345097E-2</v>
      </c>
      <c r="N13" s="239">
        <f t="shared" si="4"/>
        <v>2317.4039999999973</v>
      </c>
      <c r="O13" s="66" t="s">
        <v>584</v>
      </c>
      <c r="P13" s="14" t="s">
        <v>672</v>
      </c>
      <c r="Q13" s="66" t="s">
        <v>585</v>
      </c>
      <c r="R13" s="28" t="s">
        <v>25</v>
      </c>
    </row>
    <row r="14" spans="1:18" s="57" customFormat="1" ht="24.95" customHeight="1" x14ac:dyDescent="0.25">
      <c r="A14" s="240">
        <v>3</v>
      </c>
      <c r="B14" s="10" t="s">
        <v>58</v>
      </c>
      <c r="C14" s="33">
        <v>749.48</v>
      </c>
      <c r="D14" s="56">
        <v>53.09</v>
      </c>
      <c r="E14" s="56">
        <v>59.370000000000005</v>
      </c>
      <c r="F14" s="56">
        <v>0</v>
      </c>
      <c r="G14" s="33">
        <v>365.6</v>
      </c>
      <c r="H14" s="11">
        <f t="shared" si="0"/>
        <v>1.1182896967413827</v>
      </c>
      <c r="I14" s="33">
        <v>2295.9699999999998</v>
      </c>
      <c r="J14" s="56">
        <v>2.0499999999999998</v>
      </c>
      <c r="K14" s="12">
        <f t="shared" si="1"/>
        <v>3.8613674891693345E-2</v>
      </c>
      <c r="L14" s="238">
        <f t="shared" si="2"/>
        <v>4.2300000000000013</v>
      </c>
      <c r="M14" s="13">
        <f t="shared" si="3"/>
        <v>7.9676021849689221E-2</v>
      </c>
      <c r="N14" s="239">
        <f t="shared" si="4"/>
        <v>1546.4880000000005</v>
      </c>
      <c r="O14" s="66" t="s">
        <v>19</v>
      </c>
      <c r="P14" s="14" t="s">
        <v>670</v>
      </c>
      <c r="Q14" s="66" t="s">
        <v>587</v>
      </c>
      <c r="R14" s="28" t="s">
        <v>57</v>
      </c>
    </row>
    <row r="15" spans="1:18" s="15" customFormat="1" ht="24.95" customHeight="1" x14ac:dyDescent="0.25">
      <c r="A15" s="237">
        <v>4</v>
      </c>
      <c r="B15" s="10" t="s">
        <v>730</v>
      </c>
      <c r="C15" s="33">
        <v>637.95000000000005</v>
      </c>
      <c r="D15" s="56">
        <v>10.75</v>
      </c>
      <c r="E15" s="56">
        <v>13.55</v>
      </c>
      <c r="F15" s="56">
        <v>0</v>
      </c>
      <c r="G15" s="33">
        <v>469.08</v>
      </c>
      <c r="H15" s="11">
        <f t="shared" si="0"/>
        <v>1.2604651162790699</v>
      </c>
      <c r="I15" s="33">
        <v>1313.42</v>
      </c>
      <c r="J15" s="56">
        <v>1.36</v>
      </c>
      <c r="K15" s="12">
        <f t="shared" si="1"/>
        <v>0.12651162790697676</v>
      </c>
      <c r="L15" s="238">
        <f t="shared" si="2"/>
        <v>1.4400000000000006</v>
      </c>
      <c r="M15" s="13">
        <f t="shared" si="3"/>
        <v>0.13395348837209309</v>
      </c>
      <c r="N15" s="239">
        <f t="shared" si="4"/>
        <v>675.47520000000031</v>
      </c>
      <c r="O15" s="66" t="s">
        <v>584</v>
      </c>
      <c r="P15" s="14" t="s">
        <v>672</v>
      </c>
      <c r="Q15" s="66" t="s">
        <v>585</v>
      </c>
      <c r="R15" s="28" t="s">
        <v>51</v>
      </c>
    </row>
    <row r="16" spans="1:18" s="57" customFormat="1" ht="24.95" customHeight="1" x14ac:dyDescent="0.25">
      <c r="A16" s="240">
        <v>5</v>
      </c>
      <c r="B16" s="10" t="s">
        <v>38</v>
      </c>
      <c r="C16" s="33">
        <v>575.89</v>
      </c>
      <c r="D16" s="56">
        <v>183.37</v>
      </c>
      <c r="E16" s="56">
        <v>178.2</v>
      </c>
      <c r="F16" s="56">
        <v>17.5</v>
      </c>
      <c r="G16" s="33">
        <v>99.12</v>
      </c>
      <c r="H16" s="11">
        <f t="shared" si="0"/>
        <v>1.0672410972350983</v>
      </c>
      <c r="I16" s="33">
        <v>1222.1500000000001</v>
      </c>
      <c r="J16" s="56">
        <v>5.81</v>
      </c>
      <c r="K16" s="12">
        <f t="shared" si="1"/>
        <v>3.1684572176473795E-2</v>
      </c>
      <c r="L16" s="238">
        <f t="shared" si="2"/>
        <v>6.5199999999999845</v>
      </c>
      <c r="M16" s="13">
        <f t="shared" si="3"/>
        <v>3.5556525058624555E-2</v>
      </c>
      <c r="N16" s="239">
        <f t="shared" si="4"/>
        <v>646.26239999999848</v>
      </c>
      <c r="O16" s="66" t="s">
        <v>584</v>
      </c>
      <c r="P16" s="14" t="s">
        <v>672</v>
      </c>
      <c r="Q16" s="66" t="s">
        <v>585</v>
      </c>
      <c r="R16" s="28" t="s">
        <v>25</v>
      </c>
    </row>
    <row r="17" spans="1:18" s="15" customFormat="1" ht="24.95" customHeight="1" x14ac:dyDescent="0.25">
      <c r="A17" s="237">
        <v>6</v>
      </c>
      <c r="B17" s="10" t="s">
        <v>731</v>
      </c>
      <c r="C17" s="33">
        <v>466.04</v>
      </c>
      <c r="D17" s="56">
        <v>41.25</v>
      </c>
      <c r="E17" s="56">
        <v>53.1</v>
      </c>
      <c r="F17" s="56">
        <v>0</v>
      </c>
      <c r="G17" s="33">
        <v>81.05</v>
      </c>
      <c r="H17" s="11">
        <f t="shared" si="0"/>
        <v>1.2872727272727273</v>
      </c>
      <c r="I17" s="33">
        <v>960.44</v>
      </c>
      <c r="J17" s="56">
        <v>5.75</v>
      </c>
      <c r="K17" s="12">
        <f t="shared" si="1"/>
        <v>0.1393939393939394</v>
      </c>
      <c r="L17" s="238">
        <f t="shared" si="2"/>
        <v>6.1000000000000014</v>
      </c>
      <c r="M17" s="13">
        <f t="shared" si="3"/>
        <v>0.14787878787878792</v>
      </c>
      <c r="N17" s="239">
        <f t="shared" si="4"/>
        <v>494.40500000000009</v>
      </c>
      <c r="O17" s="66" t="s">
        <v>584</v>
      </c>
      <c r="P17" s="14" t="s">
        <v>675</v>
      </c>
      <c r="Q17" s="66" t="s">
        <v>747</v>
      </c>
      <c r="R17" s="28" t="s">
        <v>120</v>
      </c>
    </row>
    <row r="18" spans="1:18" s="57" customFormat="1" ht="24.95" customHeight="1" x14ac:dyDescent="0.25">
      <c r="A18" s="240">
        <v>7</v>
      </c>
      <c r="B18" s="10" t="s">
        <v>37</v>
      </c>
      <c r="C18" s="33">
        <v>391.85</v>
      </c>
      <c r="D18" s="56">
        <v>301.29000000000002</v>
      </c>
      <c r="E18" s="56">
        <v>300.12</v>
      </c>
      <c r="F18" s="56">
        <v>20.399999999999999</v>
      </c>
      <c r="G18" s="33">
        <v>156.74</v>
      </c>
      <c r="H18" s="11">
        <f t="shared" si="0"/>
        <v>1.0638255501344218</v>
      </c>
      <c r="I18" s="33">
        <v>3014.11</v>
      </c>
      <c r="J18" s="56">
        <v>2.5</v>
      </c>
      <c r="K18" s="12">
        <f t="shared" si="1"/>
        <v>8.2976534236118022E-3</v>
      </c>
      <c r="L18" s="238">
        <f t="shared" si="2"/>
        <v>16.729999999999961</v>
      </c>
      <c r="M18" s="13">
        <f t="shared" si="3"/>
        <v>5.552789671081005E-2</v>
      </c>
      <c r="N18" s="239">
        <f t="shared" si="4"/>
        <v>2622.2601999999943</v>
      </c>
      <c r="O18" s="66" t="s">
        <v>18</v>
      </c>
      <c r="P18" s="14" t="s">
        <v>673</v>
      </c>
      <c r="Q18" s="66" t="s">
        <v>583</v>
      </c>
      <c r="R18" s="28" t="s">
        <v>25</v>
      </c>
    </row>
    <row r="19" spans="1:18" s="15" customFormat="1" ht="24.95" customHeight="1" x14ac:dyDescent="0.25">
      <c r="A19" s="237">
        <v>8</v>
      </c>
      <c r="B19" s="10" t="s">
        <v>108</v>
      </c>
      <c r="C19" s="33">
        <v>376.01</v>
      </c>
      <c r="D19" s="56">
        <v>40.299999999999997</v>
      </c>
      <c r="E19" s="56">
        <v>46.8</v>
      </c>
      <c r="F19" s="56">
        <v>0</v>
      </c>
      <c r="G19" s="33">
        <v>118.99</v>
      </c>
      <c r="H19" s="11">
        <f t="shared" si="0"/>
        <v>1.1612903225806452</v>
      </c>
      <c r="I19" s="33">
        <v>773.44</v>
      </c>
      <c r="J19" s="56">
        <v>3.16</v>
      </c>
      <c r="K19" s="12">
        <f t="shared" si="1"/>
        <v>7.8411910669975202E-2</v>
      </c>
      <c r="L19" s="238">
        <f t="shared" si="2"/>
        <v>3.34</v>
      </c>
      <c r="M19" s="13">
        <f t="shared" si="3"/>
        <v>8.2878411910669983E-2</v>
      </c>
      <c r="N19" s="239">
        <f t="shared" si="4"/>
        <v>397.42659999999995</v>
      </c>
      <c r="O19" s="66" t="s">
        <v>584</v>
      </c>
      <c r="P19" s="14" t="s">
        <v>672</v>
      </c>
      <c r="Q19" s="66" t="s">
        <v>585</v>
      </c>
      <c r="R19" s="28" t="s">
        <v>51</v>
      </c>
    </row>
    <row r="20" spans="1:18" s="15" customFormat="1" ht="24.95" customHeight="1" x14ac:dyDescent="0.25">
      <c r="A20" s="240">
        <v>9</v>
      </c>
      <c r="B20" s="10" t="s">
        <v>43</v>
      </c>
      <c r="C20" s="33">
        <v>256.92</v>
      </c>
      <c r="D20" s="56">
        <v>30.61</v>
      </c>
      <c r="E20" s="56">
        <v>35.71</v>
      </c>
      <c r="F20" s="56">
        <v>0</v>
      </c>
      <c r="G20" s="33">
        <v>113.18</v>
      </c>
      <c r="H20" s="11">
        <f t="shared" si="0"/>
        <v>1.1666122182293368</v>
      </c>
      <c r="I20" s="33">
        <v>577.22</v>
      </c>
      <c r="J20" s="56">
        <v>2.27</v>
      </c>
      <c r="K20" s="12">
        <f t="shared" si="1"/>
        <v>7.4158771643253837E-2</v>
      </c>
      <c r="L20" s="238">
        <f t="shared" si="2"/>
        <v>2.8300000000000014</v>
      </c>
      <c r="M20" s="13">
        <f t="shared" si="3"/>
        <v>9.2453446586083024E-2</v>
      </c>
      <c r="N20" s="239">
        <f t="shared" si="4"/>
        <v>320.29940000000016</v>
      </c>
      <c r="O20" s="66" t="s">
        <v>584</v>
      </c>
      <c r="P20" s="14" t="s">
        <v>672</v>
      </c>
      <c r="Q20" s="66" t="s">
        <v>585</v>
      </c>
      <c r="R20" s="28" t="s">
        <v>89</v>
      </c>
    </row>
    <row r="21" spans="1:18" s="15" customFormat="1" ht="24.95" customHeight="1" thickBot="1" x14ac:dyDescent="0.3">
      <c r="A21" s="241">
        <v>10</v>
      </c>
      <c r="B21" s="16" t="s">
        <v>628</v>
      </c>
      <c r="C21" s="34">
        <v>240.5</v>
      </c>
      <c r="D21" s="58">
        <v>147</v>
      </c>
      <c r="E21" s="58">
        <v>138.71</v>
      </c>
      <c r="F21" s="58">
        <v>12.5</v>
      </c>
      <c r="G21" s="34">
        <v>185</v>
      </c>
      <c r="H21" s="17">
        <f t="shared" si="0"/>
        <v>1.0286394557823131</v>
      </c>
      <c r="I21" s="34">
        <v>778.85</v>
      </c>
      <c r="J21" s="58">
        <v>1.3</v>
      </c>
      <c r="K21" s="18">
        <f t="shared" si="1"/>
        <v>8.8435374149659872E-3</v>
      </c>
      <c r="L21" s="242">
        <f t="shared" si="2"/>
        <v>2.9100000000000081</v>
      </c>
      <c r="M21" s="19">
        <f t="shared" si="3"/>
        <v>1.9795918367346996E-2</v>
      </c>
      <c r="N21" s="243">
        <f t="shared" si="4"/>
        <v>538.3500000000015</v>
      </c>
      <c r="O21" s="64" t="s">
        <v>584</v>
      </c>
      <c r="P21" s="20" t="s">
        <v>672</v>
      </c>
      <c r="Q21" s="64" t="s">
        <v>589</v>
      </c>
      <c r="R21" s="29" t="s">
        <v>629</v>
      </c>
    </row>
    <row r="22" spans="1:18" s="62" customFormat="1" ht="24.95" customHeight="1" thickBot="1" x14ac:dyDescent="0.3">
      <c r="A22" s="244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45"/>
      <c r="M22" s="30"/>
      <c r="N22" s="246"/>
      <c r="O22" s="61"/>
      <c r="P22" s="61"/>
      <c r="Q22" s="61"/>
      <c r="R22" s="59"/>
    </row>
    <row r="23" spans="1:18" s="62" customFormat="1" ht="40.5" customHeight="1" x14ac:dyDescent="0.25">
      <c r="A23" s="443" t="s">
        <v>709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683</v>
      </c>
      <c r="B24" s="447"/>
      <c r="C24" s="447"/>
      <c r="D24" s="447" t="s">
        <v>684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685</v>
      </c>
      <c r="P24" s="457" t="s">
        <v>686</v>
      </c>
      <c r="Q24" s="456" t="s">
        <v>605</v>
      </c>
      <c r="R24" s="718" t="s">
        <v>688</v>
      </c>
    </row>
    <row r="25" spans="1:18" s="62" customFormat="1" ht="24.95" customHeight="1" x14ac:dyDescent="0.25">
      <c r="A25" s="719" t="s">
        <v>689</v>
      </c>
      <c r="B25" s="461" t="s">
        <v>690</v>
      </c>
      <c r="C25" s="462"/>
      <c r="D25" s="463" t="s">
        <v>691</v>
      </c>
      <c r="E25" s="463"/>
      <c r="F25" s="463"/>
      <c r="G25" s="463"/>
      <c r="H25" s="463"/>
      <c r="I25" s="463"/>
      <c r="J25" s="464" t="s">
        <v>692</v>
      </c>
      <c r="K25" s="464"/>
      <c r="L25" s="464"/>
      <c r="M25" s="465"/>
      <c r="N25" s="465"/>
      <c r="O25" s="456"/>
      <c r="P25" s="456"/>
      <c r="Q25" s="456"/>
      <c r="R25" s="718"/>
    </row>
    <row r="26" spans="1:18" s="62" customFormat="1" ht="24.95" customHeight="1" x14ac:dyDescent="0.3">
      <c r="A26" s="720"/>
      <c r="B26" s="722" t="s">
        <v>693</v>
      </c>
      <c r="C26" s="724" t="s">
        <v>710</v>
      </c>
      <c r="D26" s="726" t="s">
        <v>695</v>
      </c>
      <c r="E26" s="726"/>
      <c r="F26" s="726"/>
      <c r="G26" s="726"/>
      <c r="H26" s="726"/>
      <c r="I26" s="726"/>
      <c r="J26" s="727" t="s">
        <v>696</v>
      </c>
      <c r="K26" s="728"/>
      <c r="L26" s="729"/>
      <c r="M26" s="727" t="s">
        <v>697</v>
      </c>
      <c r="N26" s="729"/>
      <c r="O26" s="456"/>
      <c r="P26" s="456"/>
      <c r="Q26" s="456"/>
      <c r="R26" s="718"/>
    </row>
    <row r="27" spans="1:18" s="62" customFormat="1" ht="50.1" customHeight="1" x14ac:dyDescent="0.25">
      <c r="A27" s="721"/>
      <c r="B27" s="723"/>
      <c r="C27" s="725"/>
      <c r="D27" s="234" t="s">
        <v>698</v>
      </c>
      <c r="E27" s="234" t="s">
        <v>141</v>
      </c>
      <c r="F27" s="234" t="s">
        <v>700</v>
      </c>
      <c r="G27" s="234" t="s">
        <v>701</v>
      </c>
      <c r="H27" s="234" t="s">
        <v>711</v>
      </c>
      <c r="I27" s="234" t="s">
        <v>702</v>
      </c>
      <c r="J27" s="235" t="s">
        <v>703</v>
      </c>
      <c r="K27" s="235" t="s">
        <v>704</v>
      </c>
      <c r="L27" s="236" t="s">
        <v>705</v>
      </c>
      <c r="M27" s="235" t="s">
        <v>703</v>
      </c>
      <c r="N27" s="235" t="s">
        <v>704</v>
      </c>
      <c r="O27" s="456"/>
      <c r="P27" s="456"/>
      <c r="Q27" s="456"/>
      <c r="R27" s="718"/>
    </row>
    <row r="28" spans="1:18" s="62" customFormat="1" ht="24.95" customHeight="1" x14ac:dyDescent="0.25">
      <c r="A28" s="237">
        <v>1</v>
      </c>
      <c r="B28" s="10" t="s">
        <v>55</v>
      </c>
      <c r="C28" s="33">
        <v>5451.17</v>
      </c>
      <c r="D28" s="56">
        <v>84.04</v>
      </c>
      <c r="E28" s="56">
        <v>96.55</v>
      </c>
      <c r="F28" s="56">
        <v>4.6500000000000004</v>
      </c>
      <c r="G28" s="33">
        <v>331.58</v>
      </c>
      <c r="H28" s="35">
        <f t="shared" ref="H28:H37" si="5">(E28+F28)/D28</f>
        <v>1.2041884816753927</v>
      </c>
      <c r="I28" s="33">
        <v>5689.91</v>
      </c>
      <c r="J28" s="56">
        <v>0.72</v>
      </c>
      <c r="K28" s="12">
        <f t="shared" ref="K28:K37" si="6">J28/D28</f>
        <v>8.5673488814850055E-3</v>
      </c>
      <c r="L28" s="239">
        <f t="shared" ref="L28:L37" si="7">J28*G28</f>
        <v>238.73759999999999</v>
      </c>
      <c r="M28" s="238">
        <f t="shared" ref="M28:M37" si="8">((E28+F28)-D28)-J28</f>
        <v>16.439999999999998</v>
      </c>
      <c r="N28" s="13">
        <f t="shared" ref="N28:N37" si="9">M28/D28</f>
        <v>0.19562113279390761</v>
      </c>
      <c r="O28" s="69" t="s">
        <v>22</v>
      </c>
      <c r="P28" s="14" t="s">
        <v>672</v>
      </c>
      <c r="Q28" s="14" t="s">
        <v>67</v>
      </c>
      <c r="R28" s="28" t="s">
        <v>74</v>
      </c>
    </row>
    <row r="29" spans="1:18" s="62" customFormat="1" ht="24.75" customHeight="1" x14ac:dyDescent="0.25">
      <c r="A29" s="240">
        <v>2</v>
      </c>
      <c r="B29" s="10" t="s">
        <v>32</v>
      </c>
      <c r="C29" s="33">
        <v>4391.92</v>
      </c>
      <c r="D29" s="56">
        <v>74.97</v>
      </c>
      <c r="E29" s="56">
        <v>90.12</v>
      </c>
      <c r="F29" s="56">
        <v>6.6</v>
      </c>
      <c r="G29" s="33">
        <v>212.89</v>
      </c>
      <c r="H29" s="35">
        <f t="shared" si="5"/>
        <v>1.2901160464185675</v>
      </c>
      <c r="I29" s="33">
        <v>4630.3599999999997</v>
      </c>
      <c r="J29" s="56">
        <v>1.1200000000000001</v>
      </c>
      <c r="K29" s="12">
        <f t="shared" si="6"/>
        <v>1.4939309056956118E-2</v>
      </c>
      <c r="L29" s="239">
        <f t="shared" si="7"/>
        <v>238.43680000000001</v>
      </c>
      <c r="M29" s="238">
        <f t="shared" si="8"/>
        <v>20.63</v>
      </c>
      <c r="N29" s="13">
        <f t="shared" si="9"/>
        <v>0.2751767373616113</v>
      </c>
      <c r="O29" s="69" t="s">
        <v>22</v>
      </c>
      <c r="P29" s="14" t="s">
        <v>672</v>
      </c>
      <c r="Q29" s="14" t="s">
        <v>80</v>
      </c>
      <c r="R29" s="28" t="s">
        <v>25</v>
      </c>
    </row>
    <row r="30" spans="1:18" s="62" customFormat="1" ht="24.95" customHeight="1" x14ac:dyDescent="0.25">
      <c r="A30" s="240">
        <v>3</v>
      </c>
      <c r="B30" s="10" t="s">
        <v>41</v>
      </c>
      <c r="C30" s="33">
        <v>3066.5200000000004</v>
      </c>
      <c r="D30" s="56">
        <v>115.26</v>
      </c>
      <c r="E30" s="56">
        <v>130.21</v>
      </c>
      <c r="F30" s="56">
        <v>11</v>
      </c>
      <c r="G30" s="33">
        <v>127.4</v>
      </c>
      <c r="H30" s="35">
        <f t="shared" si="5"/>
        <v>1.2251431546069755</v>
      </c>
      <c r="I30" s="33">
        <v>3306.03</v>
      </c>
      <c r="J30" s="32">
        <v>1.88</v>
      </c>
      <c r="K30" s="12">
        <f t="shared" si="6"/>
        <v>1.6310949158424431E-2</v>
      </c>
      <c r="L30" s="239">
        <f t="shared" si="7"/>
        <v>239.512</v>
      </c>
      <c r="M30" s="238">
        <f t="shared" si="8"/>
        <v>24.070000000000004</v>
      </c>
      <c r="N30" s="13">
        <f t="shared" si="9"/>
        <v>0.20883220544855113</v>
      </c>
      <c r="O30" s="69" t="s">
        <v>22</v>
      </c>
      <c r="P30" s="14" t="s">
        <v>672</v>
      </c>
      <c r="Q30" s="14" t="s">
        <v>84</v>
      </c>
      <c r="R30" s="28" t="s">
        <v>25</v>
      </c>
    </row>
    <row r="31" spans="1:18" s="62" customFormat="1" ht="24.95" customHeight="1" x14ac:dyDescent="0.25">
      <c r="A31" s="237">
        <v>4</v>
      </c>
      <c r="B31" s="10" t="s">
        <v>732</v>
      </c>
      <c r="C31" s="33">
        <v>2960.45</v>
      </c>
      <c r="D31" s="56">
        <v>252.25</v>
      </c>
      <c r="E31" s="56">
        <v>295.12</v>
      </c>
      <c r="F31" s="56">
        <v>12.5</v>
      </c>
      <c r="G31" s="33">
        <v>57.81</v>
      </c>
      <c r="H31" s="35">
        <f t="shared" si="5"/>
        <v>1.2195044598612488</v>
      </c>
      <c r="I31" s="33">
        <v>3200.94</v>
      </c>
      <c r="J31" s="56">
        <v>4.16</v>
      </c>
      <c r="K31" s="12">
        <f t="shared" si="6"/>
        <v>1.649157581764123E-2</v>
      </c>
      <c r="L31" s="239">
        <f t="shared" si="7"/>
        <v>240.48960000000002</v>
      </c>
      <c r="M31" s="238">
        <f t="shared" si="8"/>
        <v>51.210000000000008</v>
      </c>
      <c r="N31" s="13">
        <f t="shared" si="9"/>
        <v>0.20301288404360757</v>
      </c>
      <c r="O31" s="69" t="s">
        <v>22</v>
      </c>
      <c r="P31" s="14" t="s">
        <v>672</v>
      </c>
      <c r="Q31" s="14" t="s">
        <v>745</v>
      </c>
      <c r="R31" s="28" t="s">
        <v>24</v>
      </c>
    </row>
    <row r="32" spans="1:18" s="62" customFormat="1" ht="24.95" customHeight="1" x14ac:dyDescent="0.25">
      <c r="A32" s="240">
        <v>5</v>
      </c>
      <c r="B32" s="10" t="s">
        <v>37</v>
      </c>
      <c r="C32" s="33">
        <v>2622.26</v>
      </c>
      <c r="D32" s="56">
        <v>301.29000000000002</v>
      </c>
      <c r="E32" s="56">
        <v>300.12</v>
      </c>
      <c r="F32" s="56">
        <v>20.399999999999999</v>
      </c>
      <c r="G32" s="33">
        <v>156.74</v>
      </c>
      <c r="H32" s="35">
        <f t="shared" si="5"/>
        <v>1.0638255501344218</v>
      </c>
      <c r="I32" s="33">
        <v>3014.11</v>
      </c>
      <c r="J32" s="56">
        <v>2.5</v>
      </c>
      <c r="K32" s="12">
        <f t="shared" si="6"/>
        <v>8.2976534236118022E-3</v>
      </c>
      <c r="L32" s="239">
        <f t="shared" si="7"/>
        <v>391.85</v>
      </c>
      <c r="M32" s="238">
        <f t="shared" si="8"/>
        <v>16.729999999999961</v>
      </c>
      <c r="N32" s="13">
        <f t="shared" si="9"/>
        <v>5.552789671081005E-2</v>
      </c>
      <c r="O32" s="69" t="s">
        <v>22</v>
      </c>
      <c r="P32" s="14" t="s">
        <v>672</v>
      </c>
      <c r="Q32" s="14" t="s">
        <v>67</v>
      </c>
      <c r="R32" s="28" t="s">
        <v>25</v>
      </c>
    </row>
    <row r="33" spans="1:18" s="62" customFormat="1" ht="24.95" customHeight="1" x14ac:dyDescent="0.25">
      <c r="A33" s="237">
        <v>6</v>
      </c>
      <c r="B33" s="10" t="s">
        <v>35</v>
      </c>
      <c r="C33" s="33">
        <v>2317.3999999999996</v>
      </c>
      <c r="D33" s="56">
        <v>77.64</v>
      </c>
      <c r="E33" s="56">
        <v>79.209999999999994</v>
      </c>
      <c r="F33" s="56">
        <v>6</v>
      </c>
      <c r="G33" s="33">
        <v>410.16</v>
      </c>
      <c r="H33" s="35">
        <f t="shared" si="5"/>
        <v>1.0975012879958783</v>
      </c>
      <c r="I33" s="33">
        <v>3104.91</v>
      </c>
      <c r="J33" s="56">
        <v>1.92</v>
      </c>
      <c r="K33" s="12">
        <f t="shared" si="6"/>
        <v>2.472952086553323E-2</v>
      </c>
      <c r="L33" s="239">
        <f t="shared" si="7"/>
        <v>787.50720000000001</v>
      </c>
      <c r="M33" s="238">
        <f t="shared" si="8"/>
        <v>5.6499999999999932</v>
      </c>
      <c r="N33" s="13">
        <f t="shared" si="9"/>
        <v>7.2771767130345097E-2</v>
      </c>
      <c r="O33" s="69" t="s">
        <v>22</v>
      </c>
      <c r="P33" s="14" t="s">
        <v>672</v>
      </c>
      <c r="Q33" s="14" t="s">
        <v>67</v>
      </c>
      <c r="R33" s="28" t="s">
        <v>25</v>
      </c>
    </row>
    <row r="34" spans="1:18" s="62" customFormat="1" ht="24.95" customHeight="1" x14ac:dyDescent="0.25">
      <c r="A34" s="240">
        <v>7</v>
      </c>
      <c r="B34" s="10" t="s">
        <v>58</v>
      </c>
      <c r="C34" s="33">
        <v>1546.4899999999998</v>
      </c>
      <c r="D34" s="56">
        <v>53.09</v>
      </c>
      <c r="E34" s="56">
        <v>59.370000000000005</v>
      </c>
      <c r="F34" s="56">
        <v>0</v>
      </c>
      <c r="G34" s="33">
        <v>365.6</v>
      </c>
      <c r="H34" s="35">
        <f t="shared" si="5"/>
        <v>1.1182896967413827</v>
      </c>
      <c r="I34" s="33">
        <v>2295.9699999999998</v>
      </c>
      <c r="J34" s="56">
        <v>2.0499999999999998</v>
      </c>
      <c r="K34" s="12">
        <f t="shared" si="6"/>
        <v>3.8613674891693345E-2</v>
      </c>
      <c r="L34" s="239">
        <f t="shared" si="7"/>
        <v>749.48</v>
      </c>
      <c r="M34" s="238">
        <f t="shared" si="8"/>
        <v>4.2300000000000013</v>
      </c>
      <c r="N34" s="13">
        <f t="shared" si="9"/>
        <v>7.9676021849689221E-2</v>
      </c>
      <c r="O34" s="69" t="s">
        <v>22</v>
      </c>
      <c r="P34" s="14" t="s">
        <v>672</v>
      </c>
      <c r="Q34" s="14" t="s">
        <v>67</v>
      </c>
      <c r="R34" s="28" t="s">
        <v>57</v>
      </c>
    </row>
    <row r="35" spans="1:18" s="62" customFormat="1" ht="24.95" customHeight="1" x14ac:dyDescent="0.25">
      <c r="A35" s="237">
        <v>8</v>
      </c>
      <c r="B35" s="10" t="s">
        <v>47</v>
      </c>
      <c r="C35" s="33">
        <v>1511.5299999999997</v>
      </c>
      <c r="D35" s="56">
        <v>42.46</v>
      </c>
      <c r="E35" s="56">
        <v>49.26</v>
      </c>
      <c r="F35" s="56">
        <v>0</v>
      </c>
      <c r="G35" s="33">
        <v>342.75</v>
      </c>
      <c r="H35" s="35">
        <f t="shared" si="5"/>
        <v>1.1601507300989164</v>
      </c>
      <c r="I35" s="33">
        <v>2330.6999999999998</v>
      </c>
      <c r="J35" s="56">
        <v>2.39</v>
      </c>
      <c r="K35" s="12">
        <f t="shared" si="6"/>
        <v>5.6288271314178052E-2</v>
      </c>
      <c r="L35" s="239">
        <f t="shared" si="7"/>
        <v>819.17250000000001</v>
      </c>
      <c r="M35" s="238">
        <f t="shared" si="8"/>
        <v>4.4099999999999966</v>
      </c>
      <c r="N35" s="13">
        <f t="shared" si="9"/>
        <v>0.1038624587847385</v>
      </c>
      <c r="O35" s="69" t="s">
        <v>22</v>
      </c>
      <c r="P35" s="14" t="s">
        <v>672</v>
      </c>
      <c r="Q35" s="14" t="s">
        <v>67</v>
      </c>
      <c r="R35" s="28" t="s">
        <v>73</v>
      </c>
    </row>
    <row r="36" spans="1:18" s="62" customFormat="1" ht="24.95" customHeight="1" x14ac:dyDescent="0.25">
      <c r="A36" s="240">
        <v>9</v>
      </c>
      <c r="B36" s="10" t="s">
        <v>31</v>
      </c>
      <c r="C36" s="33">
        <v>1210.08</v>
      </c>
      <c r="D36" s="56">
        <v>9.18</v>
      </c>
      <c r="E36" s="56">
        <v>10.69</v>
      </c>
      <c r="F36" s="56">
        <v>3.15</v>
      </c>
      <c r="G36" s="33">
        <v>278.82</v>
      </c>
      <c r="H36" s="35">
        <f t="shared" si="5"/>
        <v>1.5076252723311547</v>
      </c>
      <c r="I36" s="33">
        <v>1299.3</v>
      </c>
      <c r="J36" s="56">
        <v>0.32</v>
      </c>
      <c r="K36" s="12">
        <f t="shared" si="6"/>
        <v>3.4858387799564274E-2</v>
      </c>
      <c r="L36" s="239">
        <f t="shared" si="7"/>
        <v>89.222399999999993</v>
      </c>
      <c r="M36" s="238">
        <f t="shared" si="8"/>
        <v>4.34</v>
      </c>
      <c r="N36" s="13">
        <f t="shared" si="9"/>
        <v>0.47276688453159044</v>
      </c>
      <c r="O36" s="69" t="s">
        <v>22</v>
      </c>
      <c r="P36" s="14" t="s">
        <v>672</v>
      </c>
      <c r="Q36" s="14" t="s">
        <v>65</v>
      </c>
      <c r="R36" s="28" t="s">
        <v>89</v>
      </c>
    </row>
    <row r="37" spans="1:18" s="62" customFormat="1" ht="24.95" customHeight="1" thickBot="1" x14ac:dyDescent="0.3">
      <c r="A37" s="241">
        <v>10</v>
      </c>
      <c r="B37" s="16" t="s">
        <v>26</v>
      </c>
      <c r="C37" s="34">
        <v>1148.74</v>
      </c>
      <c r="D37" s="58">
        <v>22.58</v>
      </c>
      <c r="E37" s="58">
        <v>24.16</v>
      </c>
      <c r="F37" s="58">
        <v>4.2</v>
      </c>
      <c r="G37" s="34">
        <v>212.73</v>
      </c>
      <c r="H37" s="36">
        <f t="shared" si="5"/>
        <v>1.2559787422497786</v>
      </c>
      <c r="I37" s="34">
        <v>1229.58</v>
      </c>
      <c r="J37" s="58">
        <v>0.38</v>
      </c>
      <c r="K37" s="18">
        <f t="shared" si="6"/>
        <v>1.6829052258635964E-2</v>
      </c>
      <c r="L37" s="243">
        <f t="shared" si="7"/>
        <v>80.837400000000002</v>
      </c>
      <c r="M37" s="242">
        <f t="shared" si="8"/>
        <v>5.4000000000000012</v>
      </c>
      <c r="N37" s="19">
        <f t="shared" si="9"/>
        <v>0.23914968999114267</v>
      </c>
      <c r="O37" s="52" t="s">
        <v>22</v>
      </c>
      <c r="P37" s="20" t="s">
        <v>672</v>
      </c>
      <c r="Q37" s="20" t="s">
        <v>84</v>
      </c>
      <c r="R37" s="65" t="s">
        <v>27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712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683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715" t="s">
        <v>689</v>
      </c>
      <c r="B41" s="450" t="s">
        <v>690</v>
      </c>
      <c r="C41" s="450"/>
      <c r="D41" s="451"/>
      <c r="E41" s="23"/>
      <c r="G41" s="21"/>
      <c r="H41" s="22"/>
    </row>
    <row r="42" spans="1:18" ht="20.45" customHeight="1" x14ac:dyDescent="0.35">
      <c r="A42" s="715"/>
      <c r="B42" s="716" t="s">
        <v>693</v>
      </c>
      <c r="C42" s="717" t="s">
        <v>694</v>
      </c>
      <c r="D42" s="718" t="s">
        <v>713</v>
      </c>
      <c r="E42" s="23"/>
      <c r="G42" s="21"/>
      <c r="H42" s="22"/>
    </row>
    <row r="43" spans="1:18" ht="20.45" customHeight="1" x14ac:dyDescent="0.35">
      <c r="A43" s="715"/>
      <c r="B43" s="716"/>
      <c r="C43" s="717"/>
      <c r="D43" s="718"/>
      <c r="E43" s="23"/>
      <c r="G43" s="21"/>
      <c r="H43" s="22"/>
    </row>
    <row r="44" spans="1:18" s="26" customFormat="1" ht="24.95" customHeight="1" x14ac:dyDescent="0.35">
      <c r="A44" s="247">
        <v>1</v>
      </c>
      <c r="B44" s="10" t="s">
        <v>35</v>
      </c>
      <c r="C44" s="33">
        <v>787.51</v>
      </c>
      <c r="D44" s="24">
        <f t="shared" ref="D44:D53" si="10">C44/$L$5</f>
        <v>0.29389526638701879</v>
      </c>
      <c r="E44" s="25"/>
      <c r="G44" s="21"/>
      <c r="H44" s="22"/>
    </row>
    <row r="45" spans="1:18" s="26" customFormat="1" ht="24.95" customHeight="1" x14ac:dyDescent="0.35">
      <c r="A45" s="248">
        <v>2</v>
      </c>
      <c r="B45" s="10" t="s">
        <v>38</v>
      </c>
      <c r="C45" s="33">
        <v>575.89</v>
      </c>
      <c r="D45" s="24">
        <f t="shared" si="10"/>
        <v>0.21491961366791562</v>
      </c>
      <c r="E45" s="25"/>
      <c r="G45" s="21"/>
      <c r="H45" s="22"/>
    </row>
    <row r="46" spans="1:18" s="26" customFormat="1" ht="24.95" customHeight="1" x14ac:dyDescent="0.35">
      <c r="A46" s="248">
        <v>3</v>
      </c>
      <c r="B46" s="10" t="s">
        <v>37</v>
      </c>
      <c r="C46" s="33">
        <v>391.85</v>
      </c>
      <c r="D46" s="24">
        <f t="shared" si="10"/>
        <v>0.14623669557688576</v>
      </c>
      <c r="E46" s="25"/>
      <c r="G46" s="21"/>
      <c r="H46" s="22"/>
    </row>
    <row r="47" spans="1:18" s="26" customFormat="1" ht="24.95" customHeight="1" x14ac:dyDescent="0.35">
      <c r="A47" s="247">
        <v>4</v>
      </c>
      <c r="B47" s="10" t="s">
        <v>41</v>
      </c>
      <c r="C47" s="33">
        <v>239.51</v>
      </c>
      <c r="D47" s="24">
        <f t="shared" si="10"/>
        <v>8.938407798295242E-2</v>
      </c>
      <c r="E47" s="25"/>
      <c r="G47" s="21"/>
      <c r="H47" s="22"/>
    </row>
    <row r="48" spans="1:18" s="26" customFormat="1" ht="24.95" customHeight="1" x14ac:dyDescent="0.35">
      <c r="A48" s="248">
        <v>5</v>
      </c>
      <c r="B48" s="10" t="s">
        <v>32</v>
      </c>
      <c r="C48" s="33">
        <v>238.44</v>
      </c>
      <c r="D48" s="24">
        <f t="shared" si="10"/>
        <v>8.8984758691725507E-2</v>
      </c>
      <c r="E48" s="25"/>
      <c r="G48" s="21"/>
      <c r="H48" s="22"/>
    </row>
    <row r="49" spans="1:5" s="26" customFormat="1" ht="24.95" customHeight="1" x14ac:dyDescent="0.25">
      <c r="A49" s="247">
        <v>6</v>
      </c>
      <c r="B49" s="10" t="s">
        <v>39</v>
      </c>
      <c r="C49" s="33">
        <v>236.94</v>
      </c>
      <c r="D49" s="24">
        <f t="shared" si="10"/>
        <v>8.8424965292809271E-2</v>
      </c>
      <c r="E49" s="25"/>
    </row>
    <row r="50" spans="1:5" s="26" customFormat="1" ht="24.95" customHeight="1" x14ac:dyDescent="0.25">
      <c r="A50" s="248">
        <v>7</v>
      </c>
      <c r="B50" s="10" t="s">
        <v>42</v>
      </c>
      <c r="C50" s="33">
        <v>90.95</v>
      </c>
      <c r="D50" s="24">
        <f t="shared" si="10"/>
        <v>3.3942139754288017E-2</v>
      </c>
      <c r="E50" s="25"/>
    </row>
    <row r="51" spans="1:5" s="26" customFormat="1" ht="24.95" customHeight="1" x14ac:dyDescent="0.25">
      <c r="A51" s="247">
        <v>8</v>
      </c>
      <c r="B51" s="10" t="s">
        <v>40</v>
      </c>
      <c r="C51" s="33">
        <v>56.16</v>
      </c>
      <c r="D51" s="24">
        <f t="shared" si="10"/>
        <v>2.0958664855424025E-2</v>
      </c>
      <c r="E51" s="25"/>
    </row>
    <row r="52" spans="1:5" s="26" customFormat="1" ht="24.95" customHeight="1" x14ac:dyDescent="0.25">
      <c r="A52" s="248">
        <v>9</v>
      </c>
      <c r="B52" s="10" t="s">
        <v>669</v>
      </c>
      <c r="C52" s="33">
        <v>34.409999999999997</v>
      </c>
      <c r="D52" s="24">
        <f t="shared" si="10"/>
        <v>1.2841660571138544E-2</v>
      </c>
      <c r="E52" s="25"/>
    </row>
    <row r="53" spans="1:5" s="26" customFormat="1" ht="24.95" customHeight="1" thickBot="1" x14ac:dyDescent="0.3">
      <c r="A53" s="249">
        <v>10</v>
      </c>
      <c r="B53" s="16" t="s">
        <v>60</v>
      </c>
      <c r="C53" s="34">
        <v>27.9</v>
      </c>
      <c r="D53" s="27">
        <f t="shared" si="10"/>
        <v>1.0412157219842063E-2</v>
      </c>
      <c r="E53" s="25"/>
    </row>
    <row r="54" spans="1:5" x14ac:dyDescent="0.25">
      <c r="A54" s="441" t="s">
        <v>714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715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607" priority="33" operator="containsText" text="024">
      <formula>NOT(ISERROR(SEARCH("024",A12)))</formula>
    </cfRule>
    <cfRule type="containsText" dxfId="606" priority="34" operator="containsText" text="白醬">
      <formula>NOT(ISERROR(SEARCH("白醬",A12)))</formula>
    </cfRule>
    <cfRule type="containsText" dxfId="605" priority="35" operator="containsText" text="青蔥">
      <formula>NOT(ISERROR(SEARCH("青蔥",A12)))</formula>
    </cfRule>
    <cfRule type="containsText" dxfId="604" priority="36" operator="containsText" text=")川燙小青花菜">
      <formula>NOT(ISERROR(SEARCH(")川燙小青花菜",A12)))</formula>
    </cfRule>
    <cfRule type="containsText" dxfId="603" priority="37" operator="containsText" text="湯凍">
      <formula>NOT(ISERROR(SEARCH("湯凍",A12)))</formula>
    </cfRule>
    <cfRule type="containsText" dxfId="602" priority="38" operator="containsText" text="中華">
      <formula>NOT(ISERROR(SEARCH("中華",A12)))</formula>
    </cfRule>
  </conditionalFormatting>
  <conditionalFormatting sqref="A12:A22">
    <cfRule type="containsText" dxfId="601" priority="31" operator="containsText" text="綠豆芽">
      <formula>NOT(ISERROR(SEARCH("綠豆芽",A12)))</formula>
    </cfRule>
    <cfRule type="containsText" dxfId="600" priority="32" operator="containsText" text="煮白細麵生(方#12)">
      <formula>NOT(ISERROR(SEARCH("煮白細麵生(方#12)",A12)))</formula>
    </cfRule>
  </conditionalFormatting>
  <conditionalFormatting sqref="E5">
    <cfRule type="cellIs" dxfId="599" priority="16" operator="greaterThan">
      <formula>0.0025</formula>
    </cfRule>
    <cfRule type="cellIs" dxfId="598" priority="19" operator="greaterThan">
      <formula>0.0025</formula>
    </cfRule>
    <cfRule type="cellIs" dxfId="597" priority="29" operator="greaterThan">
      <formula>0.072</formula>
    </cfRule>
    <cfRule type="cellIs" dxfId="596" priority="30" operator="greaterThan">
      <formula>7.2</formula>
    </cfRule>
  </conditionalFormatting>
  <conditionalFormatting sqref="E5">
    <cfRule type="cellIs" dxfId="595" priority="28" operator="greaterThan">
      <formula>0.0025</formula>
    </cfRule>
  </conditionalFormatting>
  <conditionalFormatting sqref="A44:A53">
    <cfRule type="containsText" dxfId="594" priority="22" operator="containsText" text="024">
      <formula>NOT(ISERROR(SEARCH("024",A44)))</formula>
    </cfRule>
    <cfRule type="containsText" dxfId="593" priority="23" operator="containsText" text="白醬">
      <formula>NOT(ISERROR(SEARCH("白醬",A44)))</formula>
    </cfRule>
    <cfRule type="containsText" dxfId="592" priority="24" operator="containsText" text="青蔥">
      <formula>NOT(ISERROR(SEARCH("青蔥",A44)))</formula>
    </cfRule>
    <cfRule type="containsText" dxfId="591" priority="25" operator="containsText" text=")川燙小青花菜">
      <formula>NOT(ISERROR(SEARCH(")川燙小青花菜",A44)))</formula>
    </cfRule>
    <cfRule type="containsText" dxfId="590" priority="26" operator="containsText" text="湯凍">
      <formula>NOT(ISERROR(SEARCH("湯凍",A44)))</formula>
    </cfRule>
    <cfRule type="containsText" dxfId="589" priority="27" operator="containsText" text="中華">
      <formula>NOT(ISERROR(SEARCH("中華",A44)))</formula>
    </cfRule>
  </conditionalFormatting>
  <conditionalFormatting sqref="A44:A53">
    <cfRule type="containsText" dxfId="588" priority="20" operator="containsText" text="綠豆芽">
      <formula>NOT(ISERROR(SEARCH("綠豆芽",A44)))</formula>
    </cfRule>
    <cfRule type="containsText" dxfId="587" priority="21" operator="containsText" text="煮白細麵生(方#12)">
      <formula>NOT(ISERROR(SEARCH("煮白細麵生(方#12)",A44)))</formula>
    </cfRule>
  </conditionalFormatting>
  <conditionalFormatting sqref="D44:D53">
    <cfRule type="cellIs" dxfId="586" priority="18" operator="greaterThan">
      <formula>0.146</formula>
    </cfRule>
  </conditionalFormatting>
  <conditionalFormatting sqref="H12:H22">
    <cfRule type="cellIs" dxfId="585" priority="17" operator="greaterThan">
      <formula>1.1</formula>
    </cfRule>
  </conditionalFormatting>
  <conditionalFormatting sqref="I5">
    <cfRule type="cellIs" dxfId="584" priority="15" operator="greaterThan">
      <formula>0.2</formula>
    </cfRule>
  </conditionalFormatting>
  <conditionalFormatting sqref="A28:A37">
    <cfRule type="containsText" dxfId="583" priority="9" operator="containsText" text="024">
      <formula>NOT(ISERROR(SEARCH("024",A28)))</formula>
    </cfRule>
    <cfRule type="containsText" dxfId="582" priority="10" operator="containsText" text="白醬">
      <formula>NOT(ISERROR(SEARCH("白醬",A28)))</formula>
    </cfRule>
    <cfRule type="containsText" dxfId="581" priority="11" operator="containsText" text="青蔥">
      <formula>NOT(ISERROR(SEARCH("青蔥",A28)))</formula>
    </cfRule>
    <cfRule type="containsText" dxfId="580" priority="12" operator="containsText" text=")川燙小青花菜">
      <formula>NOT(ISERROR(SEARCH(")川燙小青花菜",A28)))</formula>
    </cfRule>
    <cfRule type="containsText" dxfId="579" priority="13" operator="containsText" text="湯凍">
      <formula>NOT(ISERROR(SEARCH("湯凍",A28)))</formula>
    </cfRule>
    <cfRule type="containsText" dxfId="578" priority="14" operator="containsText" text="中華">
      <formula>NOT(ISERROR(SEARCH("中華",A28)))</formula>
    </cfRule>
  </conditionalFormatting>
  <conditionalFormatting sqref="A28:A37">
    <cfRule type="containsText" dxfId="577" priority="7" operator="containsText" text="綠豆芽">
      <formula>NOT(ISERROR(SEARCH("綠豆芽",A28)))</formula>
    </cfRule>
    <cfRule type="containsText" dxfId="576" priority="8" operator="containsText" text="煮白細麵生(方#12)">
      <formula>NOT(ISERROR(SEARCH("煮白細麵生(方#12)",A28)))</formula>
    </cfRule>
  </conditionalFormatting>
  <conditionalFormatting sqref="H28:H37">
    <cfRule type="cellIs" dxfId="575" priority="6" operator="greaterThan">
      <formula>1.1</formula>
    </cfRule>
  </conditionalFormatting>
  <conditionalFormatting sqref="G5">
    <cfRule type="cellIs" dxfId="574" priority="1" operator="greaterThan">
      <formula>0.0025</formula>
    </cfRule>
    <cfRule type="cellIs" dxfId="573" priority="2" operator="greaterThan">
      <formula>0.0025</formula>
    </cfRule>
    <cfRule type="cellIs" dxfId="572" priority="4" operator="greaterThan">
      <formula>0.072</formula>
    </cfRule>
    <cfRule type="cellIs" dxfId="571" priority="5" operator="greaterThan">
      <formula>7.2</formula>
    </cfRule>
  </conditionalFormatting>
  <conditionalFormatting sqref="G5">
    <cfRule type="cellIs" dxfId="57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下拉式選單!$C$2:$C$9</xm:f>
          </x14:formula1>
          <xm:sqref>P12:P21 P28:P37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I25" zoomScale="70" zoomScaleNormal="70" zoomScaleSheetLayoutView="70" workbookViewId="0">
      <selection activeCell="O35" sqref="O35:Q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736" t="s">
        <v>92</v>
      </c>
      <c r="B2" s="737"/>
      <c r="C2" s="232" t="s">
        <v>93</v>
      </c>
      <c r="D2" s="738" t="s">
        <v>94</v>
      </c>
      <c r="E2" s="738"/>
      <c r="F2" s="738" t="s">
        <v>95</v>
      </c>
      <c r="G2" s="738"/>
      <c r="H2" s="738" t="s">
        <v>94</v>
      </c>
      <c r="I2" s="738"/>
      <c r="J2" s="738" t="s">
        <v>95</v>
      </c>
      <c r="K2" s="738"/>
      <c r="L2" s="738" t="s">
        <v>94</v>
      </c>
      <c r="M2" s="739"/>
      <c r="R2" s="54"/>
    </row>
    <row r="3" spans="1:18" s="1" customFormat="1" ht="28.5" x14ac:dyDescent="0.45">
      <c r="A3" s="733">
        <v>45884</v>
      </c>
      <c r="B3" s="734"/>
      <c r="C3" s="735">
        <v>4456648.04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733"/>
      <c r="B4" s="734"/>
      <c r="C4" s="73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731" t="s">
        <v>105</v>
      </c>
      <c r="B5" s="732"/>
      <c r="C5" s="732"/>
      <c r="D5" s="233">
        <v>10695.080000000004</v>
      </c>
      <c r="E5" s="5">
        <f>D5/C3</f>
        <v>2.3998035976832499E-3</v>
      </c>
      <c r="F5" s="233">
        <v>38326.700000000012</v>
      </c>
      <c r="G5" s="44">
        <f>F5/C3</f>
        <v>8.5998938341112548E-3</v>
      </c>
      <c r="H5" s="6">
        <f>SUM(C12:C21)</f>
        <v>4755.1000000000004</v>
      </c>
      <c r="I5" s="7">
        <f>H5/D5</f>
        <v>0.44460630495517556</v>
      </c>
      <c r="J5" s="6">
        <f>SUM(C28:C37)</f>
        <v>23717.950000000004</v>
      </c>
      <c r="K5" s="46">
        <f>J5/F5</f>
        <v>0.61883621600607397</v>
      </c>
      <c r="L5" s="8">
        <v>5570.3899999999994</v>
      </c>
      <c r="M5" s="9">
        <f>L5/D5</f>
        <v>0.52083668378357129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716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127</v>
      </c>
      <c r="B8" s="447"/>
      <c r="C8" s="447"/>
      <c r="D8" s="447" t="s">
        <v>128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717</v>
      </c>
      <c r="P8" s="457" t="s">
        <v>604</v>
      </c>
      <c r="Q8" s="456" t="s">
        <v>718</v>
      </c>
      <c r="R8" s="718" t="s">
        <v>131</v>
      </c>
    </row>
    <row r="9" spans="1:18" ht="20.45" customHeight="1" x14ac:dyDescent="0.25">
      <c r="A9" s="719" t="s">
        <v>185</v>
      </c>
      <c r="B9" s="461" t="s">
        <v>186</v>
      </c>
      <c r="C9" s="462"/>
      <c r="D9" s="463" t="s">
        <v>719</v>
      </c>
      <c r="E9" s="463"/>
      <c r="F9" s="463"/>
      <c r="G9" s="463"/>
      <c r="H9" s="463"/>
      <c r="I9" s="463"/>
      <c r="J9" s="464" t="s">
        <v>720</v>
      </c>
      <c r="K9" s="464"/>
      <c r="L9" s="464"/>
      <c r="M9" s="465"/>
      <c r="N9" s="465"/>
      <c r="O9" s="456"/>
      <c r="P9" s="456"/>
      <c r="Q9" s="456"/>
      <c r="R9" s="718"/>
    </row>
    <row r="10" spans="1:18" ht="20.45" customHeight="1" x14ac:dyDescent="0.3">
      <c r="A10" s="720"/>
      <c r="B10" s="722" t="s">
        <v>136</v>
      </c>
      <c r="C10" s="724" t="s">
        <v>137</v>
      </c>
      <c r="D10" s="726" t="s">
        <v>721</v>
      </c>
      <c r="E10" s="726"/>
      <c r="F10" s="726"/>
      <c r="G10" s="726"/>
      <c r="H10" s="726"/>
      <c r="I10" s="726"/>
      <c r="J10" s="727" t="s">
        <v>722</v>
      </c>
      <c r="K10" s="729"/>
      <c r="L10" s="730" t="s">
        <v>723</v>
      </c>
      <c r="M10" s="727"/>
      <c r="N10" s="727"/>
      <c r="O10" s="456"/>
      <c r="P10" s="456"/>
      <c r="Q10" s="456"/>
      <c r="R10" s="718"/>
    </row>
    <row r="11" spans="1:18" s="55" customFormat="1" ht="47.25" customHeight="1" x14ac:dyDescent="0.25">
      <c r="A11" s="721"/>
      <c r="B11" s="723"/>
      <c r="C11" s="725"/>
      <c r="D11" s="234" t="s">
        <v>724</v>
      </c>
      <c r="E11" s="234" t="s">
        <v>725</v>
      </c>
      <c r="F11" s="234" t="s">
        <v>142</v>
      </c>
      <c r="G11" s="234" t="s">
        <v>197</v>
      </c>
      <c r="H11" s="234" t="s">
        <v>726</v>
      </c>
      <c r="I11" s="234" t="s">
        <v>145</v>
      </c>
      <c r="J11" s="235" t="s">
        <v>146</v>
      </c>
      <c r="K11" s="235" t="s">
        <v>727</v>
      </c>
      <c r="L11" s="235" t="s">
        <v>146</v>
      </c>
      <c r="M11" s="235" t="s">
        <v>147</v>
      </c>
      <c r="N11" s="236" t="s">
        <v>202</v>
      </c>
      <c r="O11" s="456"/>
      <c r="P11" s="456"/>
      <c r="Q11" s="456"/>
      <c r="R11" s="718"/>
    </row>
    <row r="12" spans="1:18" s="15" customFormat="1" ht="24.95" customHeight="1" x14ac:dyDescent="0.25">
      <c r="A12" s="237">
        <v>1</v>
      </c>
      <c r="B12" s="10" t="s">
        <v>123</v>
      </c>
      <c r="C12" s="33">
        <v>971.93</v>
      </c>
      <c r="D12" s="56">
        <v>10.28</v>
      </c>
      <c r="E12" s="56">
        <v>11.55</v>
      </c>
      <c r="F12" s="56">
        <v>0</v>
      </c>
      <c r="G12" s="33">
        <v>1567.63</v>
      </c>
      <c r="H12" s="11">
        <f t="shared" ref="H12:H21" si="0">(E12+F12)/D12</f>
        <v>1.1235408560311286</v>
      </c>
      <c r="I12" s="33">
        <v>1990.89</v>
      </c>
      <c r="J12" s="56">
        <v>0.62</v>
      </c>
      <c r="K12" s="12">
        <f t="shared" ref="K12:K21" si="1">J12/D12</f>
        <v>6.0311284046692608E-2</v>
      </c>
      <c r="L12" s="238">
        <f t="shared" ref="L12:L21" si="2">((E12+F12)-D12)-J12</f>
        <v>0.65000000000000135</v>
      </c>
      <c r="M12" s="13">
        <f t="shared" ref="M12:M21" si="3">L12/D12</f>
        <v>6.3229571984435934E-2</v>
      </c>
      <c r="N12" s="239">
        <f t="shared" ref="N12:N21" si="4">L12*G12</f>
        <v>1018.9595000000022</v>
      </c>
      <c r="O12" s="66" t="s">
        <v>19</v>
      </c>
      <c r="P12" s="14" t="s">
        <v>670</v>
      </c>
      <c r="Q12" s="66" t="s">
        <v>587</v>
      </c>
      <c r="R12" s="28" t="s">
        <v>122</v>
      </c>
    </row>
    <row r="13" spans="1:18" s="15" customFormat="1" ht="24.95" customHeight="1" x14ac:dyDescent="0.25">
      <c r="A13" s="240">
        <v>2</v>
      </c>
      <c r="B13" s="10" t="s">
        <v>37</v>
      </c>
      <c r="C13" s="33">
        <v>873.04</v>
      </c>
      <c r="D13" s="56">
        <v>283.99</v>
      </c>
      <c r="E13" s="56">
        <v>285.68</v>
      </c>
      <c r="F13" s="56">
        <v>23.4</v>
      </c>
      <c r="G13" s="33">
        <v>156.74</v>
      </c>
      <c r="H13" s="11">
        <f t="shared" si="0"/>
        <v>1.0883481812739884</v>
      </c>
      <c r="I13" s="33">
        <v>3932.61</v>
      </c>
      <c r="J13" s="56">
        <v>5.57</v>
      </c>
      <c r="K13" s="12">
        <f t="shared" si="1"/>
        <v>1.9613366667840419E-2</v>
      </c>
      <c r="L13" s="238">
        <f t="shared" si="2"/>
        <v>19.519999999999975</v>
      </c>
      <c r="M13" s="13">
        <f t="shared" si="3"/>
        <v>6.8734814606148012E-2</v>
      </c>
      <c r="N13" s="239">
        <f t="shared" si="4"/>
        <v>3059.564799999996</v>
      </c>
      <c r="O13" s="66" t="s">
        <v>18</v>
      </c>
      <c r="P13" s="14" t="s">
        <v>673</v>
      </c>
      <c r="Q13" s="66" t="s">
        <v>583</v>
      </c>
      <c r="R13" s="28" t="s">
        <v>25</v>
      </c>
    </row>
    <row r="14" spans="1:18" s="57" customFormat="1" ht="24.95" customHeight="1" x14ac:dyDescent="0.25">
      <c r="A14" s="240">
        <v>3</v>
      </c>
      <c r="B14" s="10" t="s">
        <v>69</v>
      </c>
      <c r="C14" s="33">
        <v>754.5</v>
      </c>
      <c r="D14" s="56">
        <v>42.39</v>
      </c>
      <c r="E14" s="56">
        <v>44.91</v>
      </c>
      <c r="F14" s="56">
        <v>5.75</v>
      </c>
      <c r="G14" s="33">
        <v>235.78</v>
      </c>
      <c r="H14" s="11">
        <f t="shared" si="0"/>
        <v>1.1950931823543287</v>
      </c>
      <c r="I14" s="33">
        <v>1949.9</v>
      </c>
      <c r="J14" s="56">
        <v>3.2</v>
      </c>
      <c r="K14" s="12">
        <f t="shared" si="1"/>
        <v>7.5489502241094603E-2</v>
      </c>
      <c r="L14" s="238">
        <f t="shared" si="2"/>
        <v>5.0699999999999958</v>
      </c>
      <c r="M14" s="13">
        <f t="shared" si="3"/>
        <v>0.11960368011323415</v>
      </c>
      <c r="N14" s="239">
        <f t="shared" si="4"/>
        <v>1195.4045999999989</v>
      </c>
      <c r="O14" s="66" t="s">
        <v>584</v>
      </c>
      <c r="P14" s="14" t="s">
        <v>672</v>
      </c>
      <c r="Q14" s="66" t="s">
        <v>585</v>
      </c>
      <c r="R14" s="28" t="s">
        <v>25</v>
      </c>
    </row>
    <row r="15" spans="1:18" s="15" customFormat="1" ht="24.95" customHeight="1" x14ac:dyDescent="0.25">
      <c r="A15" s="237">
        <v>4</v>
      </c>
      <c r="B15" s="10" t="s">
        <v>71</v>
      </c>
      <c r="C15" s="33">
        <v>347.37</v>
      </c>
      <c r="D15" s="56">
        <v>42.39</v>
      </c>
      <c r="E15" s="56">
        <v>47.06</v>
      </c>
      <c r="F15" s="56">
        <v>0</v>
      </c>
      <c r="G15" s="33">
        <v>148.44999999999999</v>
      </c>
      <c r="H15" s="11">
        <f t="shared" si="0"/>
        <v>1.1101674923330975</v>
      </c>
      <c r="I15" s="33">
        <v>693.26</v>
      </c>
      <c r="J15" s="56">
        <v>2.34</v>
      </c>
      <c r="K15" s="12">
        <f t="shared" si="1"/>
        <v>5.5201698513800419E-2</v>
      </c>
      <c r="L15" s="238">
        <f t="shared" si="2"/>
        <v>2.3300000000000018</v>
      </c>
      <c r="M15" s="13">
        <f t="shared" si="3"/>
        <v>5.4965793819297046E-2</v>
      </c>
      <c r="N15" s="239">
        <f t="shared" si="4"/>
        <v>345.88850000000025</v>
      </c>
      <c r="O15" s="66" t="s">
        <v>19</v>
      </c>
      <c r="P15" s="14" t="s">
        <v>670</v>
      </c>
      <c r="Q15" s="66" t="s">
        <v>587</v>
      </c>
      <c r="R15" s="28" t="s">
        <v>25</v>
      </c>
    </row>
    <row r="16" spans="1:18" s="57" customFormat="1" ht="24.95" customHeight="1" x14ac:dyDescent="0.25">
      <c r="A16" s="240">
        <v>5</v>
      </c>
      <c r="B16" s="10" t="s">
        <v>38</v>
      </c>
      <c r="C16" s="33">
        <v>338.99</v>
      </c>
      <c r="D16" s="56">
        <v>176.68</v>
      </c>
      <c r="E16" s="56">
        <v>166.02</v>
      </c>
      <c r="F16" s="56">
        <v>17.5</v>
      </c>
      <c r="G16" s="33">
        <v>99.12</v>
      </c>
      <c r="H16" s="11">
        <f t="shared" si="0"/>
        <v>1.038714059316278</v>
      </c>
      <c r="I16" s="33">
        <v>677.98</v>
      </c>
      <c r="J16" s="56">
        <v>3.42</v>
      </c>
      <c r="K16" s="12">
        <f t="shared" si="1"/>
        <v>1.9357029658139006E-2</v>
      </c>
      <c r="L16" s="238">
        <f t="shared" si="2"/>
        <v>3.4200000000000035</v>
      </c>
      <c r="M16" s="13">
        <f t="shared" si="3"/>
        <v>1.9357029658139027E-2</v>
      </c>
      <c r="N16" s="239">
        <f t="shared" si="4"/>
        <v>338.99040000000036</v>
      </c>
      <c r="O16" s="66" t="s">
        <v>584</v>
      </c>
      <c r="P16" s="14" t="s">
        <v>672</v>
      </c>
      <c r="Q16" s="66" t="s">
        <v>585</v>
      </c>
      <c r="R16" s="28" t="s">
        <v>25</v>
      </c>
    </row>
    <row r="17" spans="1:18" s="15" customFormat="1" ht="24.95" customHeight="1" x14ac:dyDescent="0.25">
      <c r="A17" s="237">
        <v>6</v>
      </c>
      <c r="B17" s="10" t="s">
        <v>59</v>
      </c>
      <c r="C17" s="33">
        <v>330.72</v>
      </c>
      <c r="D17" s="56">
        <v>77.92</v>
      </c>
      <c r="E17" s="56">
        <v>86.46</v>
      </c>
      <c r="F17" s="56">
        <v>0</v>
      </c>
      <c r="G17" s="33">
        <v>135.54</v>
      </c>
      <c r="H17" s="11">
        <f t="shared" si="0"/>
        <v>1.1095995893223818</v>
      </c>
      <c r="I17" s="33">
        <v>1157.51</v>
      </c>
      <c r="J17" s="56">
        <v>2.44</v>
      </c>
      <c r="K17" s="12">
        <f t="shared" si="1"/>
        <v>3.1314168377823408E-2</v>
      </c>
      <c r="L17" s="238">
        <f t="shared" si="2"/>
        <v>6.0999999999999925</v>
      </c>
      <c r="M17" s="13">
        <f t="shared" si="3"/>
        <v>7.8285420944558426E-2</v>
      </c>
      <c r="N17" s="239">
        <f t="shared" si="4"/>
        <v>826.79399999999896</v>
      </c>
      <c r="O17" s="66" t="s">
        <v>584</v>
      </c>
      <c r="P17" s="14" t="s">
        <v>672</v>
      </c>
      <c r="Q17" s="66" t="s">
        <v>585</v>
      </c>
      <c r="R17" s="28" t="s">
        <v>25</v>
      </c>
    </row>
    <row r="18" spans="1:18" s="57" customFormat="1" ht="24.95" customHeight="1" x14ac:dyDescent="0.25">
      <c r="A18" s="240">
        <v>7</v>
      </c>
      <c r="B18" s="10" t="s">
        <v>41</v>
      </c>
      <c r="C18" s="33">
        <v>318.5</v>
      </c>
      <c r="D18" s="56">
        <v>111.06</v>
      </c>
      <c r="E18" s="56">
        <v>120.46</v>
      </c>
      <c r="F18" s="56">
        <v>0</v>
      </c>
      <c r="G18" s="33">
        <v>127.4</v>
      </c>
      <c r="H18" s="11">
        <f t="shared" si="0"/>
        <v>1.0846389339095983</v>
      </c>
      <c r="I18" s="33">
        <v>1197.56</v>
      </c>
      <c r="J18" s="56">
        <v>2.5</v>
      </c>
      <c r="K18" s="12">
        <f t="shared" si="1"/>
        <v>2.2510354763191069E-2</v>
      </c>
      <c r="L18" s="238">
        <f t="shared" si="2"/>
        <v>6.8999999999999915</v>
      </c>
      <c r="M18" s="13">
        <f t="shared" si="3"/>
        <v>6.2128579146407271E-2</v>
      </c>
      <c r="N18" s="239">
        <f t="shared" si="4"/>
        <v>879.05999999999892</v>
      </c>
      <c r="O18" s="66" t="s">
        <v>19</v>
      </c>
      <c r="P18" s="14" t="s">
        <v>670</v>
      </c>
      <c r="Q18" s="66" t="s">
        <v>587</v>
      </c>
      <c r="R18" s="28" t="s">
        <v>25</v>
      </c>
    </row>
    <row r="19" spans="1:18" s="15" customFormat="1" ht="24.95" customHeight="1" x14ac:dyDescent="0.25">
      <c r="A19" s="237">
        <v>8</v>
      </c>
      <c r="B19" s="10" t="s">
        <v>728</v>
      </c>
      <c r="C19" s="33">
        <v>295.60000000000002</v>
      </c>
      <c r="D19" s="56">
        <v>225.51</v>
      </c>
      <c r="E19" s="56">
        <v>189.31</v>
      </c>
      <c r="F19" s="56">
        <v>40.200000000000003</v>
      </c>
      <c r="G19" s="33">
        <v>147.80000000000001</v>
      </c>
      <c r="H19" s="11">
        <f t="shared" si="0"/>
        <v>1.0177375726131879</v>
      </c>
      <c r="I19" s="33">
        <v>591.20000000000005</v>
      </c>
      <c r="J19" s="56">
        <v>2</v>
      </c>
      <c r="K19" s="12">
        <f t="shared" si="1"/>
        <v>8.868786306593943E-3</v>
      </c>
      <c r="L19" s="238">
        <f t="shared" si="2"/>
        <v>2</v>
      </c>
      <c r="M19" s="13">
        <f t="shared" si="3"/>
        <v>8.868786306593943E-3</v>
      </c>
      <c r="N19" s="239">
        <f t="shared" si="4"/>
        <v>295.60000000000002</v>
      </c>
      <c r="O19" s="66" t="s">
        <v>584</v>
      </c>
      <c r="P19" s="14" t="s">
        <v>672</v>
      </c>
      <c r="Q19" s="66" t="s">
        <v>589</v>
      </c>
      <c r="R19" s="28" t="s">
        <v>729</v>
      </c>
    </row>
    <row r="20" spans="1:18" s="15" customFormat="1" ht="24.95" customHeight="1" x14ac:dyDescent="0.25">
      <c r="A20" s="240">
        <v>9</v>
      </c>
      <c r="B20" s="10" t="s">
        <v>34</v>
      </c>
      <c r="C20" s="33">
        <v>267.43</v>
      </c>
      <c r="D20" s="56">
        <v>21.17</v>
      </c>
      <c r="E20" s="56">
        <v>23.47</v>
      </c>
      <c r="F20" s="56">
        <v>0</v>
      </c>
      <c r="G20" s="33">
        <v>232.55</v>
      </c>
      <c r="H20" s="11">
        <f t="shared" si="0"/>
        <v>1.1086443079829946</v>
      </c>
      <c r="I20" s="33">
        <v>534.86</v>
      </c>
      <c r="J20" s="56">
        <v>1.1499999999999999</v>
      </c>
      <c r="K20" s="12">
        <f t="shared" si="1"/>
        <v>5.4322153991497396E-2</v>
      </c>
      <c r="L20" s="238">
        <f t="shared" si="2"/>
        <v>1.1499999999999972</v>
      </c>
      <c r="M20" s="13">
        <f t="shared" si="3"/>
        <v>5.4322153991497264E-2</v>
      </c>
      <c r="N20" s="239">
        <f t="shared" si="4"/>
        <v>267.43249999999938</v>
      </c>
      <c r="O20" s="66" t="s">
        <v>584</v>
      </c>
      <c r="P20" s="14" t="s">
        <v>672</v>
      </c>
      <c r="Q20" s="66" t="s">
        <v>585</v>
      </c>
      <c r="R20" s="28" t="s">
        <v>25</v>
      </c>
    </row>
    <row r="21" spans="1:18" s="15" customFormat="1" ht="24.95" customHeight="1" thickBot="1" x14ac:dyDescent="0.3">
      <c r="A21" s="241">
        <v>10</v>
      </c>
      <c r="B21" s="16" t="s">
        <v>108</v>
      </c>
      <c r="C21" s="34">
        <v>257.02</v>
      </c>
      <c r="D21" s="58">
        <v>37.520000000000003</v>
      </c>
      <c r="E21" s="58">
        <v>38.979999999999997</v>
      </c>
      <c r="F21" s="58">
        <v>3</v>
      </c>
      <c r="G21" s="34">
        <v>118.99</v>
      </c>
      <c r="H21" s="17">
        <f t="shared" si="0"/>
        <v>1.118869936034115</v>
      </c>
      <c r="I21" s="34">
        <v>530.70000000000005</v>
      </c>
      <c r="J21" s="58">
        <v>2.16</v>
      </c>
      <c r="K21" s="18">
        <f t="shared" si="1"/>
        <v>5.7569296375266525E-2</v>
      </c>
      <c r="L21" s="242">
        <f t="shared" si="2"/>
        <v>2.2999999999999936</v>
      </c>
      <c r="M21" s="19">
        <f t="shared" si="3"/>
        <v>6.1300639658848438E-2</v>
      </c>
      <c r="N21" s="243">
        <f t="shared" si="4"/>
        <v>273.67699999999923</v>
      </c>
      <c r="O21" s="64" t="s">
        <v>584</v>
      </c>
      <c r="P21" s="20" t="s">
        <v>672</v>
      </c>
      <c r="Q21" s="64" t="s">
        <v>585</v>
      </c>
      <c r="R21" s="29" t="s">
        <v>51</v>
      </c>
    </row>
    <row r="22" spans="1:18" s="62" customFormat="1" ht="24.95" customHeight="1" thickBot="1" x14ac:dyDescent="0.3">
      <c r="A22" s="244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45"/>
      <c r="M22" s="30"/>
      <c r="N22" s="246"/>
      <c r="O22" s="61"/>
      <c r="P22" s="61"/>
      <c r="Q22" s="61"/>
      <c r="R22" s="59"/>
    </row>
    <row r="23" spans="1:18" s="62" customFormat="1" ht="40.5" customHeight="1" x14ac:dyDescent="0.25">
      <c r="A23" s="443" t="s">
        <v>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127</v>
      </c>
      <c r="B24" s="447"/>
      <c r="C24" s="447"/>
      <c r="D24" s="447" t="s">
        <v>128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182</v>
      </c>
      <c r="P24" s="457" t="s">
        <v>604</v>
      </c>
      <c r="Q24" s="456" t="s">
        <v>605</v>
      </c>
      <c r="R24" s="718" t="s">
        <v>131</v>
      </c>
    </row>
    <row r="25" spans="1:18" s="62" customFormat="1" ht="24.95" customHeight="1" x14ac:dyDescent="0.25">
      <c r="A25" s="719" t="s">
        <v>185</v>
      </c>
      <c r="B25" s="461" t="s">
        <v>186</v>
      </c>
      <c r="C25" s="462"/>
      <c r="D25" s="463" t="s">
        <v>134</v>
      </c>
      <c r="E25" s="463"/>
      <c r="F25" s="463"/>
      <c r="G25" s="463"/>
      <c r="H25" s="463"/>
      <c r="I25" s="463"/>
      <c r="J25" s="464" t="s">
        <v>135</v>
      </c>
      <c r="K25" s="464"/>
      <c r="L25" s="464"/>
      <c r="M25" s="465"/>
      <c r="N25" s="465"/>
      <c r="O25" s="456"/>
      <c r="P25" s="456"/>
      <c r="Q25" s="456"/>
      <c r="R25" s="718"/>
    </row>
    <row r="26" spans="1:18" s="62" customFormat="1" ht="24.95" customHeight="1" x14ac:dyDescent="0.3">
      <c r="A26" s="720"/>
      <c r="B26" s="722" t="s">
        <v>136</v>
      </c>
      <c r="C26" s="724" t="s">
        <v>335</v>
      </c>
      <c r="D26" s="726" t="s">
        <v>110</v>
      </c>
      <c r="E26" s="726"/>
      <c r="F26" s="726"/>
      <c r="G26" s="726"/>
      <c r="H26" s="726"/>
      <c r="I26" s="726"/>
      <c r="J26" s="727" t="s">
        <v>160</v>
      </c>
      <c r="K26" s="728"/>
      <c r="L26" s="729"/>
      <c r="M26" s="727" t="s">
        <v>139</v>
      </c>
      <c r="N26" s="729"/>
      <c r="O26" s="456"/>
      <c r="P26" s="456"/>
      <c r="Q26" s="456"/>
      <c r="R26" s="718"/>
    </row>
    <row r="27" spans="1:18" s="62" customFormat="1" ht="50.1" customHeight="1" x14ac:dyDescent="0.25">
      <c r="A27" s="721"/>
      <c r="B27" s="723"/>
      <c r="C27" s="725"/>
      <c r="D27" s="234" t="s">
        <v>140</v>
      </c>
      <c r="E27" s="234" t="s">
        <v>141</v>
      </c>
      <c r="F27" s="234" t="s">
        <v>142</v>
      </c>
      <c r="G27" s="234" t="s">
        <v>197</v>
      </c>
      <c r="H27" s="234" t="s">
        <v>144</v>
      </c>
      <c r="I27" s="234" t="s">
        <v>145</v>
      </c>
      <c r="J27" s="235" t="s">
        <v>146</v>
      </c>
      <c r="K27" s="235" t="s">
        <v>147</v>
      </c>
      <c r="L27" s="236" t="s">
        <v>202</v>
      </c>
      <c r="M27" s="235" t="s">
        <v>146</v>
      </c>
      <c r="N27" s="235" t="s">
        <v>147</v>
      </c>
      <c r="O27" s="456"/>
      <c r="P27" s="456"/>
      <c r="Q27" s="456"/>
      <c r="R27" s="718"/>
    </row>
    <row r="28" spans="1:18" s="62" customFormat="1" ht="24.95" customHeight="1" x14ac:dyDescent="0.25">
      <c r="A28" s="237">
        <v>1</v>
      </c>
      <c r="B28" s="10" t="s">
        <v>35</v>
      </c>
      <c r="C28" s="33">
        <v>4183.63</v>
      </c>
      <c r="D28" s="56">
        <v>74.08</v>
      </c>
      <c r="E28" s="56">
        <v>78.900000000000006</v>
      </c>
      <c r="F28" s="56">
        <v>6</v>
      </c>
      <c r="G28" s="33">
        <v>410.16</v>
      </c>
      <c r="H28" s="35">
        <f t="shared" ref="H28:H37" si="5">(E28+F28)/D28</f>
        <v>1.1460583153347734</v>
      </c>
      <c r="I28" s="33">
        <v>4437.93</v>
      </c>
      <c r="J28" s="56">
        <v>0.62</v>
      </c>
      <c r="K28" s="12">
        <f t="shared" ref="K28:K37" si="6">J28/D28</f>
        <v>8.3693304535637156E-3</v>
      </c>
      <c r="L28" s="239">
        <f t="shared" ref="L28:L37" si="7">J28*G28</f>
        <v>254.29920000000001</v>
      </c>
      <c r="M28" s="238">
        <f t="shared" ref="M28:M37" si="8">((E28+F28)-D28)-J28</f>
        <v>10.200000000000008</v>
      </c>
      <c r="N28" s="13">
        <f t="shared" ref="N28:N37" si="9">M28/D28</f>
        <v>0.13768898488120962</v>
      </c>
      <c r="O28" s="69" t="s">
        <v>22</v>
      </c>
      <c r="P28" s="14" t="s">
        <v>672</v>
      </c>
      <c r="Q28" s="14" t="s">
        <v>67</v>
      </c>
      <c r="R28" s="28" t="s">
        <v>25</v>
      </c>
    </row>
    <row r="29" spans="1:18" s="62" customFormat="1" ht="24.75" customHeight="1" x14ac:dyDescent="0.25">
      <c r="A29" s="240">
        <v>2</v>
      </c>
      <c r="B29" s="10" t="s">
        <v>45</v>
      </c>
      <c r="C29" s="33">
        <v>3737.07</v>
      </c>
      <c r="D29" s="56">
        <v>67.16</v>
      </c>
      <c r="E29" s="56">
        <v>76</v>
      </c>
      <c r="F29" s="56">
        <v>3.7</v>
      </c>
      <c r="G29" s="33">
        <v>318.32</v>
      </c>
      <c r="H29" s="35">
        <f t="shared" si="5"/>
        <v>1.18671828469327</v>
      </c>
      <c r="I29" s="33">
        <v>3991.73</v>
      </c>
      <c r="J29" s="56">
        <v>0.8</v>
      </c>
      <c r="K29" s="12">
        <f t="shared" si="6"/>
        <v>1.1911852293031568E-2</v>
      </c>
      <c r="L29" s="239">
        <f t="shared" si="7"/>
        <v>254.65600000000001</v>
      </c>
      <c r="M29" s="238">
        <f t="shared" si="8"/>
        <v>11.740000000000006</v>
      </c>
      <c r="N29" s="13">
        <f t="shared" si="9"/>
        <v>0.17480643240023833</v>
      </c>
      <c r="O29" s="69" t="s">
        <v>22</v>
      </c>
      <c r="P29" s="14" t="s">
        <v>672</v>
      </c>
      <c r="Q29" s="14" t="s">
        <v>67</v>
      </c>
      <c r="R29" s="28" t="s">
        <v>76</v>
      </c>
    </row>
    <row r="30" spans="1:18" s="62" customFormat="1" ht="24.95" customHeight="1" x14ac:dyDescent="0.25">
      <c r="A30" s="240">
        <v>3</v>
      </c>
      <c r="B30" s="10" t="s">
        <v>33</v>
      </c>
      <c r="C30" s="33">
        <v>3549.04</v>
      </c>
      <c r="D30" s="56">
        <v>63.95</v>
      </c>
      <c r="E30" s="56">
        <v>66.650000000000006</v>
      </c>
      <c r="F30" s="56">
        <v>16</v>
      </c>
      <c r="G30" s="33">
        <v>203.5</v>
      </c>
      <c r="H30" s="35">
        <f t="shared" si="5"/>
        <v>1.2924159499609069</v>
      </c>
      <c r="I30" s="33">
        <v>3805.45</v>
      </c>
      <c r="J30" s="32">
        <v>1.26</v>
      </c>
      <c r="K30" s="12">
        <f t="shared" si="6"/>
        <v>1.9702892885066457E-2</v>
      </c>
      <c r="L30" s="239">
        <f t="shared" si="7"/>
        <v>256.41000000000003</v>
      </c>
      <c r="M30" s="238">
        <f t="shared" si="8"/>
        <v>17.440000000000001</v>
      </c>
      <c r="N30" s="13">
        <f t="shared" si="9"/>
        <v>0.27271305707584048</v>
      </c>
      <c r="O30" s="69" t="s">
        <v>22</v>
      </c>
      <c r="P30" s="14" t="s">
        <v>672</v>
      </c>
      <c r="Q30" s="14" t="s">
        <v>65</v>
      </c>
      <c r="R30" s="28" t="s">
        <v>25</v>
      </c>
    </row>
    <row r="31" spans="1:18" s="62" customFormat="1" ht="24.95" customHeight="1" x14ac:dyDescent="0.25">
      <c r="A31" s="237">
        <v>4</v>
      </c>
      <c r="B31" s="10" t="s">
        <v>37</v>
      </c>
      <c r="C31" s="33">
        <v>3059.57</v>
      </c>
      <c r="D31" s="56">
        <v>283.99</v>
      </c>
      <c r="E31" s="56">
        <v>285.68</v>
      </c>
      <c r="F31" s="56">
        <v>23.4</v>
      </c>
      <c r="G31" s="33">
        <v>156.74</v>
      </c>
      <c r="H31" s="35">
        <f t="shared" si="5"/>
        <v>1.0883481812739884</v>
      </c>
      <c r="I31" s="33">
        <v>3932.61</v>
      </c>
      <c r="J31" s="56">
        <v>5.57</v>
      </c>
      <c r="K31" s="12">
        <f t="shared" si="6"/>
        <v>1.9613366667840419E-2</v>
      </c>
      <c r="L31" s="239">
        <f t="shared" si="7"/>
        <v>873.04180000000008</v>
      </c>
      <c r="M31" s="238">
        <f t="shared" si="8"/>
        <v>19.519999999999975</v>
      </c>
      <c r="N31" s="13">
        <f t="shared" si="9"/>
        <v>6.8734814606148012E-2</v>
      </c>
      <c r="O31" s="69" t="s">
        <v>22</v>
      </c>
      <c r="P31" s="14" t="s">
        <v>672</v>
      </c>
      <c r="Q31" s="14" t="s">
        <v>67</v>
      </c>
      <c r="R31" s="28" t="s">
        <v>25</v>
      </c>
    </row>
    <row r="32" spans="1:18" s="62" customFormat="1" ht="24.95" customHeight="1" x14ac:dyDescent="0.25">
      <c r="A32" s="240">
        <v>5</v>
      </c>
      <c r="B32" s="10" t="s">
        <v>47</v>
      </c>
      <c r="C32" s="33">
        <v>1998.23</v>
      </c>
      <c r="D32" s="56">
        <v>37.03</v>
      </c>
      <c r="E32" s="56">
        <v>40.700000000000003</v>
      </c>
      <c r="F32" s="56">
        <v>2.9</v>
      </c>
      <c r="G32" s="33">
        <v>342.75</v>
      </c>
      <c r="H32" s="35">
        <f t="shared" si="5"/>
        <v>1.1774237105049961</v>
      </c>
      <c r="I32" s="33">
        <v>2251.87</v>
      </c>
      <c r="J32" s="56">
        <v>0.74</v>
      </c>
      <c r="K32" s="12">
        <f t="shared" si="6"/>
        <v>1.9983796921415067E-2</v>
      </c>
      <c r="L32" s="239">
        <f t="shared" si="7"/>
        <v>253.63499999999999</v>
      </c>
      <c r="M32" s="238">
        <f t="shared" si="8"/>
        <v>5.83</v>
      </c>
      <c r="N32" s="13">
        <f t="shared" si="9"/>
        <v>0.15743991358358086</v>
      </c>
      <c r="O32" s="69" t="s">
        <v>22</v>
      </c>
      <c r="P32" s="14" t="s">
        <v>672</v>
      </c>
      <c r="Q32" s="14" t="s">
        <v>67</v>
      </c>
      <c r="R32" s="28" t="s">
        <v>73</v>
      </c>
    </row>
    <row r="33" spans="1:18" s="62" customFormat="1" ht="24.95" customHeight="1" x14ac:dyDescent="0.25">
      <c r="A33" s="237">
        <v>6</v>
      </c>
      <c r="B33" s="10" t="s">
        <v>117</v>
      </c>
      <c r="C33" s="33">
        <v>1901.8999999999999</v>
      </c>
      <c r="D33" s="56">
        <v>97.38</v>
      </c>
      <c r="E33" s="56">
        <v>102</v>
      </c>
      <c r="F33" s="56">
        <v>15</v>
      </c>
      <c r="G33" s="33">
        <v>110</v>
      </c>
      <c r="H33" s="35">
        <f t="shared" si="5"/>
        <v>1.201478743068392</v>
      </c>
      <c r="I33" s="33">
        <v>2158.1999999999998</v>
      </c>
      <c r="J33" s="56">
        <v>2.33</v>
      </c>
      <c r="K33" s="12">
        <f t="shared" si="6"/>
        <v>2.3926884370507294E-2</v>
      </c>
      <c r="L33" s="239">
        <f t="shared" si="7"/>
        <v>256.3</v>
      </c>
      <c r="M33" s="238">
        <f t="shared" si="8"/>
        <v>17.290000000000006</v>
      </c>
      <c r="N33" s="13">
        <f t="shared" si="9"/>
        <v>0.17755185869788465</v>
      </c>
      <c r="O33" s="69" t="s">
        <v>18</v>
      </c>
      <c r="P33" s="14" t="s">
        <v>673</v>
      </c>
      <c r="Q33" s="14" t="s">
        <v>678</v>
      </c>
      <c r="R33" s="28" t="s">
        <v>25</v>
      </c>
    </row>
    <row r="34" spans="1:18" s="62" customFormat="1" ht="24.95" customHeight="1" x14ac:dyDescent="0.25">
      <c r="A34" s="240">
        <v>7</v>
      </c>
      <c r="B34" s="10" t="s">
        <v>58</v>
      </c>
      <c r="C34" s="33">
        <v>1732.9399999999998</v>
      </c>
      <c r="D34" s="56">
        <v>52.33</v>
      </c>
      <c r="E34" s="56">
        <v>52.52</v>
      </c>
      <c r="F34" s="56">
        <v>5.25</v>
      </c>
      <c r="G34" s="33">
        <v>365.6</v>
      </c>
      <c r="H34" s="35">
        <f t="shared" si="5"/>
        <v>1.1039556659659853</v>
      </c>
      <c r="I34" s="33">
        <v>1988.86</v>
      </c>
      <c r="J34" s="56">
        <v>0.7</v>
      </c>
      <c r="K34" s="12">
        <f t="shared" si="6"/>
        <v>1.3376648194152494E-2</v>
      </c>
      <c r="L34" s="239">
        <f t="shared" si="7"/>
        <v>255.92</v>
      </c>
      <c r="M34" s="238">
        <f t="shared" si="8"/>
        <v>4.7400000000000047</v>
      </c>
      <c r="N34" s="13">
        <f t="shared" si="9"/>
        <v>9.0579017771832693E-2</v>
      </c>
      <c r="O34" s="69" t="s">
        <v>22</v>
      </c>
      <c r="P34" s="14" t="s">
        <v>672</v>
      </c>
      <c r="Q34" s="14" t="s">
        <v>67</v>
      </c>
      <c r="R34" s="28" t="s">
        <v>57</v>
      </c>
    </row>
    <row r="35" spans="1:18" s="62" customFormat="1" ht="24.95" customHeight="1" x14ac:dyDescent="0.25">
      <c r="A35" s="237">
        <v>8</v>
      </c>
      <c r="B35" s="10" t="s">
        <v>31</v>
      </c>
      <c r="C35" s="33">
        <v>1296.52</v>
      </c>
      <c r="D35" s="56">
        <v>17.059999999999999</v>
      </c>
      <c r="E35" s="56">
        <v>17.829999999999998</v>
      </c>
      <c r="F35" s="56">
        <v>4.8</v>
      </c>
      <c r="G35" s="33">
        <v>278.82</v>
      </c>
      <c r="H35" s="35">
        <f t="shared" si="5"/>
        <v>1.3264947245017586</v>
      </c>
      <c r="I35" s="33">
        <v>1553.03</v>
      </c>
      <c r="J35" s="56">
        <v>0.92</v>
      </c>
      <c r="K35" s="12">
        <f t="shared" si="6"/>
        <v>5.3927315357561553E-2</v>
      </c>
      <c r="L35" s="239">
        <f t="shared" si="7"/>
        <v>256.51440000000002</v>
      </c>
      <c r="M35" s="238">
        <f t="shared" si="8"/>
        <v>4.6500000000000004</v>
      </c>
      <c r="N35" s="13">
        <f t="shared" si="9"/>
        <v>0.27256740914419697</v>
      </c>
      <c r="O35" s="69" t="s">
        <v>22</v>
      </c>
      <c r="P35" s="14" t="s">
        <v>672</v>
      </c>
      <c r="Q35" s="14" t="s">
        <v>65</v>
      </c>
      <c r="R35" s="28" t="s">
        <v>25</v>
      </c>
    </row>
    <row r="36" spans="1:18" s="62" customFormat="1" ht="24.95" customHeight="1" x14ac:dyDescent="0.25">
      <c r="A36" s="240">
        <v>9</v>
      </c>
      <c r="B36" s="10" t="s">
        <v>69</v>
      </c>
      <c r="C36" s="33">
        <v>1195.4000000000001</v>
      </c>
      <c r="D36" s="56">
        <v>42.39</v>
      </c>
      <c r="E36" s="56">
        <v>44.91</v>
      </c>
      <c r="F36" s="56">
        <v>5.75</v>
      </c>
      <c r="G36" s="33">
        <v>235.78</v>
      </c>
      <c r="H36" s="35">
        <f t="shared" si="5"/>
        <v>1.1950931823543287</v>
      </c>
      <c r="I36" s="33">
        <v>1949.9</v>
      </c>
      <c r="J36" s="56">
        <v>3.2</v>
      </c>
      <c r="K36" s="12">
        <f t="shared" si="6"/>
        <v>7.5489502241094603E-2</v>
      </c>
      <c r="L36" s="239">
        <f t="shared" si="7"/>
        <v>754.49600000000009</v>
      </c>
      <c r="M36" s="238">
        <f t="shared" si="8"/>
        <v>5.0699999999999958</v>
      </c>
      <c r="N36" s="13">
        <f t="shared" si="9"/>
        <v>0.11960368011323415</v>
      </c>
      <c r="O36" s="69" t="s">
        <v>22</v>
      </c>
      <c r="P36" s="14" t="s">
        <v>672</v>
      </c>
      <c r="Q36" s="14" t="s">
        <v>408</v>
      </c>
      <c r="R36" s="28" t="s">
        <v>25</v>
      </c>
    </row>
    <row r="37" spans="1:18" s="62" customFormat="1" ht="24.95" customHeight="1" thickBot="1" x14ac:dyDescent="0.3">
      <c r="A37" s="241">
        <v>10</v>
      </c>
      <c r="B37" s="16" t="s">
        <v>26</v>
      </c>
      <c r="C37" s="34">
        <v>1063.6500000000001</v>
      </c>
      <c r="D37" s="58">
        <v>22.75</v>
      </c>
      <c r="E37" s="58">
        <v>23.75</v>
      </c>
      <c r="F37" s="58">
        <v>5.2</v>
      </c>
      <c r="G37" s="34">
        <v>212.73</v>
      </c>
      <c r="H37" s="36">
        <f t="shared" si="5"/>
        <v>1.2725274725274724</v>
      </c>
      <c r="I37" s="34">
        <v>1318.93</v>
      </c>
      <c r="J37" s="58">
        <v>1.2</v>
      </c>
      <c r="K37" s="18">
        <f t="shared" si="6"/>
        <v>5.2747252747252747E-2</v>
      </c>
      <c r="L37" s="243">
        <f t="shared" si="7"/>
        <v>255.27599999999998</v>
      </c>
      <c r="M37" s="242">
        <f t="shared" si="8"/>
        <v>4.9999999999999991</v>
      </c>
      <c r="N37" s="19">
        <f t="shared" si="9"/>
        <v>0.21978021978021975</v>
      </c>
      <c r="O37" s="52" t="s">
        <v>22</v>
      </c>
      <c r="P37" s="20" t="s">
        <v>672</v>
      </c>
      <c r="Q37" s="20" t="s">
        <v>84</v>
      </c>
      <c r="R37" s="65" t="s">
        <v>27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127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715" t="s">
        <v>185</v>
      </c>
      <c r="B41" s="450" t="s">
        <v>186</v>
      </c>
      <c r="C41" s="450"/>
      <c r="D41" s="451"/>
      <c r="E41" s="23"/>
      <c r="G41" s="21"/>
      <c r="H41" s="22"/>
    </row>
    <row r="42" spans="1:18" ht="20.45" customHeight="1" x14ac:dyDescent="0.35">
      <c r="A42" s="715"/>
      <c r="B42" s="716" t="s">
        <v>136</v>
      </c>
      <c r="C42" s="717" t="s">
        <v>137</v>
      </c>
      <c r="D42" s="718" t="s">
        <v>174</v>
      </c>
      <c r="E42" s="23"/>
      <c r="G42" s="21"/>
      <c r="H42" s="22"/>
    </row>
    <row r="43" spans="1:18" ht="20.45" customHeight="1" x14ac:dyDescent="0.35">
      <c r="A43" s="715"/>
      <c r="B43" s="716"/>
      <c r="C43" s="717"/>
      <c r="D43" s="718"/>
      <c r="E43" s="23"/>
      <c r="G43" s="21"/>
      <c r="H43" s="22"/>
    </row>
    <row r="44" spans="1:18" s="26" customFormat="1" ht="24.95" customHeight="1" x14ac:dyDescent="0.35">
      <c r="A44" s="247">
        <v>1</v>
      </c>
      <c r="B44" s="10" t="s">
        <v>37</v>
      </c>
      <c r="C44" s="33">
        <v>873.04</v>
      </c>
      <c r="D44" s="24">
        <f t="shared" ref="D44:D53" si="10">C44/$L$5</f>
        <v>0.15672870301720349</v>
      </c>
      <c r="E44" s="25"/>
      <c r="G44" s="21"/>
      <c r="H44" s="22"/>
    </row>
    <row r="45" spans="1:18" s="26" customFormat="1" ht="24.95" customHeight="1" x14ac:dyDescent="0.35">
      <c r="A45" s="248">
        <v>2</v>
      </c>
      <c r="B45" s="10" t="s">
        <v>69</v>
      </c>
      <c r="C45" s="33">
        <v>754.5</v>
      </c>
      <c r="D45" s="24">
        <f t="shared" si="10"/>
        <v>0.13544832588023462</v>
      </c>
      <c r="E45" s="25"/>
      <c r="G45" s="21"/>
      <c r="H45" s="22"/>
    </row>
    <row r="46" spans="1:18" s="26" customFormat="1" ht="24.95" customHeight="1" x14ac:dyDescent="0.35">
      <c r="A46" s="248">
        <v>3</v>
      </c>
      <c r="B46" s="10" t="s">
        <v>71</v>
      </c>
      <c r="C46" s="33">
        <v>347.37</v>
      </c>
      <c r="D46" s="24">
        <f t="shared" si="10"/>
        <v>6.2360086098100856E-2</v>
      </c>
      <c r="E46" s="25"/>
      <c r="G46" s="21"/>
      <c r="H46" s="22"/>
    </row>
    <row r="47" spans="1:18" s="26" customFormat="1" ht="24.95" customHeight="1" x14ac:dyDescent="0.35">
      <c r="A47" s="247">
        <v>4</v>
      </c>
      <c r="B47" s="10" t="s">
        <v>38</v>
      </c>
      <c r="C47" s="33">
        <v>338.99</v>
      </c>
      <c r="D47" s="24">
        <f t="shared" si="10"/>
        <v>6.0855703101578174E-2</v>
      </c>
      <c r="E47" s="25"/>
      <c r="G47" s="21"/>
      <c r="H47" s="22"/>
    </row>
    <row r="48" spans="1:18" s="26" customFormat="1" ht="24.95" customHeight="1" x14ac:dyDescent="0.35">
      <c r="A48" s="248">
        <v>5</v>
      </c>
      <c r="B48" s="10" t="s">
        <v>59</v>
      </c>
      <c r="C48" s="33">
        <v>330.72</v>
      </c>
      <c r="D48" s="24">
        <f t="shared" si="10"/>
        <v>5.93710673758929E-2</v>
      </c>
      <c r="E48" s="25"/>
      <c r="G48" s="21"/>
      <c r="H48" s="22"/>
    </row>
    <row r="49" spans="1:5" s="26" customFormat="1" ht="24.95" customHeight="1" x14ac:dyDescent="0.25">
      <c r="A49" s="247">
        <v>6</v>
      </c>
      <c r="B49" s="10" t="s">
        <v>41</v>
      </c>
      <c r="C49" s="33">
        <v>318.5</v>
      </c>
      <c r="D49" s="24">
        <f t="shared" si="10"/>
        <v>5.7177325106500629E-2</v>
      </c>
      <c r="E49" s="25"/>
    </row>
    <row r="50" spans="1:5" s="26" customFormat="1" ht="24.95" customHeight="1" x14ac:dyDescent="0.25">
      <c r="A50" s="248">
        <v>7</v>
      </c>
      <c r="B50" s="10" t="s">
        <v>34</v>
      </c>
      <c r="C50" s="33">
        <v>267.43</v>
      </c>
      <c r="D50" s="24">
        <f t="shared" si="10"/>
        <v>4.800920581862312E-2</v>
      </c>
      <c r="E50" s="25"/>
    </row>
    <row r="51" spans="1:5" s="26" customFormat="1" ht="24.95" customHeight="1" x14ac:dyDescent="0.25">
      <c r="A51" s="247">
        <v>8</v>
      </c>
      <c r="B51" s="10" t="s">
        <v>31</v>
      </c>
      <c r="C51" s="33">
        <v>256.51</v>
      </c>
      <c r="D51" s="24">
        <f t="shared" si="10"/>
        <v>4.6048840386400239E-2</v>
      </c>
      <c r="E51" s="25"/>
    </row>
    <row r="52" spans="1:5" s="26" customFormat="1" ht="24.95" customHeight="1" x14ac:dyDescent="0.25">
      <c r="A52" s="248">
        <v>9</v>
      </c>
      <c r="B52" s="10" t="s">
        <v>33</v>
      </c>
      <c r="C52" s="33">
        <v>256.41000000000003</v>
      </c>
      <c r="D52" s="24">
        <f t="shared" si="10"/>
        <v>4.6030888322002597E-2</v>
      </c>
      <c r="E52" s="25"/>
    </row>
    <row r="53" spans="1:5" s="26" customFormat="1" ht="24.95" customHeight="1" thickBot="1" x14ac:dyDescent="0.3">
      <c r="A53" s="249">
        <v>10</v>
      </c>
      <c r="B53" s="16" t="s">
        <v>117</v>
      </c>
      <c r="C53" s="34">
        <v>256.3</v>
      </c>
      <c r="D53" s="27">
        <f t="shared" si="10"/>
        <v>4.6011141051165189E-2</v>
      </c>
      <c r="E53" s="25"/>
    </row>
    <row r="54" spans="1:5" x14ac:dyDescent="0.25">
      <c r="A54" s="441" t="s">
        <v>273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217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569" priority="33" operator="containsText" text="024">
      <formula>NOT(ISERROR(SEARCH("024",A12)))</formula>
    </cfRule>
    <cfRule type="containsText" dxfId="568" priority="34" operator="containsText" text="白醬">
      <formula>NOT(ISERROR(SEARCH("白醬",A12)))</formula>
    </cfRule>
    <cfRule type="containsText" dxfId="567" priority="35" operator="containsText" text="青蔥">
      <formula>NOT(ISERROR(SEARCH("青蔥",A12)))</formula>
    </cfRule>
    <cfRule type="containsText" dxfId="566" priority="36" operator="containsText" text=")川燙小青花菜">
      <formula>NOT(ISERROR(SEARCH(")川燙小青花菜",A12)))</formula>
    </cfRule>
    <cfRule type="containsText" dxfId="565" priority="37" operator="containsText" text="湯凍">
      <formula>NOT(ISERROR(SEARCH("湯凍",A12)))</formula>
    </cfRule>
    <cfRule type="containsText" dxfId="564" priority="38" operator="containsText" text="中華">
      <formula>NOT(ISERROR(SEARCH("中華",A12)))</formula>
    </cfRule>
  </conditionalFormatting>
  <conditionalFormatting sqref="A12:A22">
    <cfRule type="containsText" dxfId="563" priority="31" operator="containsText" text="綠豆芽">
      <formula>NOT(ISERROR(SEARCH("綠豆芽",A12)))</formula>
    </cfRule>
    <cfRule type="containsText" dxfId="562" priority="32" operator="containsText" text="煮白細麵生(方#12)">
      <formula>NOT(ISERROR(SEARCH("煮白細麵生(方#12)",A12)))</formula>
    </cfRule>
  </conditionalFormatting>
  <conditionalFormatting sqref="E5">
    <cfRule type="cellIs" dxfId="561" priority="16" operator="greaterThan">
      <formula>0.0025</formula>
    </cfRule>
    <cfRule type="cellIs" dxfId="560" priority="19" operator="greaterThan">
      <formula>0.0025</formula>
    </cfRule>
    <cfRule type="cellIs" dxfId="559" priority="29" operator="greaterThan">
      <formula>0.072</formula>
    </cfRule>
    <cfRule type="cellIs" dxfId="558" priority="30" operator="greaterThan">
      <formula>7.2</formula>
    </cfRule>
  </conditionalFormatting>
  <conditionalFormatting sqref="E5">
    <cfRule type="cellIs" dxfId="557" priority="28" operator="greaterThan">
      <formula>0.0025</formula>
    </cfRule>
  </conditionalFormatting>
  <conditionalFormatting sqref="A44:A53">
    <cfRule type="containsText" dxfId="556" priority="22" operator="containsText" text="024">
      <formula>NOT(ISERROR(SEARCH("024",A44)))</formula>
    </cfRule>
    <cfRule type="containsText" dxfId="555" priority="23" operator="containsText" text="白醬">
      <formula>NOT(ISERROR(SEARCH("白醬",A44)))</formula>
    </cfRule>
    <cfRule type="containsText" dxfId="554" priority="24" operator="containsText" text="青蔥">
      <formula>NOT(ISERROR(SEARCH("青蔥",A44)))</formula>
    </cfRule>
    <cfRule type="containsText" dxfId="553" priority="25" operator="containsText" text=")川燙小青花菜">
      <formula>NOT(ISERROR(SEARCH(")川燙小青花菜",A44)))</formula>
    </cfRule>
    <cfRule type="containsText" dxfId="552" priority="26" operator="containsText" text="湯凍">
      <formula>NOT(ISERROR(SEARCH("湯凍",A44)))</formula>
    </cfRule>
    <cfRule type="containsText" dxfId="551" priority="27" operator="containsText" text="中華">
      <formula>NOT(ISERROR(SEARCH("中華",A44)))</formula>
    </cfRule>
  </conditionalFormatting>
  <conditionalFormatting sqref="A44:A53">
    <cfRule type="containsText" dxfId="550" priority="20" operator="containsText" text="綠豆芽">
      <formula>NOT(ISERROR(SEARCH("綠豆芽",A44)))</formula>
    </cfRule>
    <cfRule type="containsText" dxfId="549" priority="21" operator="containsText" text="煮白細麵生(方#12)">
      <formula>NOT(ISERROR(SEARCH("煮白細麵生(方#12)",A44)))</formula>
    </cfRule>
  </conditionalFormatting>
  <conditionalFormatting sqref="D44:D53">
    <cfRule type="cellIs" dxfId="548" priority="18" operator="greaterThan">
      <formula>0.146</formula>
    </cfRule>
  </conditionalFormatting>
  <conditionalFormatting sqref="H12:H22">
    <cfRule type="cellIs" dxfId="547" priority="17" operator="greaterThan">
      <formula>1.1</formula>
    </cfRule>
  </conditionalFormatting>
  <conditionalFormatting sqref="I5">
    <cfRule type="cellIs" dxfId="546" priority="15" operator="greaterThan">
      <formula>0.2</formula>
    </cfRule>
  </conditionalFormatting>
  <conditionalFormatting sqref="A28:A37">
    <cfRule type="containsText" dxfId="545" priority="9" operator="containsText" text="024">
      <formula>NOT(ISERROR(SEARCH("024",A28)))</formula>
    </cfRule>
    <cfRule type="containsText" dxfId="544" priority="10" operator="containsText" text="白醬">
      <formula>NOT(ISERROR(SEARCH("白醬",A28)))</formula>
    </cfRule>
    <cfRule type="containsText" dxfId="543" priority="11" operator="containsText" text="青蔥">
      <formula>NOT(ISERROR(SEARCH("青蔥",A28)))</formula>
    </cfRule>
    <cfRule type="containsText" dxfId="542" priority="12" operator="containsText" text=")川燙小青花菜">
      <formula>NOT(ISERROR(SEARCH(")川燙小青花菜",A28)))</formula>
    </cfRule>
    <cfRule type="containsText" dxfId="541" priority="13" operator="containsText" text="湯凍">
      <formula>NOT(ISERROR(SEARCH("湯凍",A28)))</formula>
    </cfRule>
    <cfRule type="containsText" dxfId="540" priority="14" operator="containsText" text="中華">
      <formula>NOT(ISERROR(SEARCH("中華",A28)))</formula>
    </cfRule>
  </conditionalFormatting>
  <conditionalFormatting sqref="A28:A37">
    <cfRule type="containsText" dxfId="539" priority="7" operator="containsText" text="綠豆芽">
      <formula>NOT(ISERROR(SEARCH("綠豆芽",A28)))</formula>
    </cfRule>
    <cfRule type="containsText" dxfId="538" priority="8" operator="containsText" text="煮白細麵生(方#12)">
      <formula>NOT(ISERROR(SEARCH("煮白細麵生(方#12)",A28)))</formula>
    </cfRule>
  </conditionalFormatting>
  <conditionalFormatting sqref="H28:H37">
    <cfRule type="cellIs" dxfId="537" priority="6" operator="greaterThan">
      <formula>1.1</formula>
    </cfRule>
  </conditionalFormatting>
  <conditionalFormatting sqref="G5">
    <cfRule type="cellIs" dxfId="536" priority="1" operator="greaterThan">
      <formula>0.0025</formula>
    </cfRule>
    <cfRule type="cellIs" dxfId="535" priority="2" operator="greaterThan">
      <formula>0.0025</formula>
    </cfRule>
    <cfRule type="cellIs" dxfId="534" priority="4" operator="greaterThan">
      <formula>0.072</formula>
    </cfRule>
    <cfRule type="cellIs" dxfId="533" priority="5" operator="greaterThan">
      <formula>7.2</formula>
    </cfRule>
  </conditionalFormatting>
  <conditionalFormatting sqref="G5">
    <cfRule type="cellIs" dxfId="53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zoomScale="70" zoomScaleNormal="70" zoomScaleSheetLayoutView="70" workbookViewId="0">
      <selection activeCell="F5" sqref="F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38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736" t="s">
        <v>92</v>
      </c>
      <c r="B2" s="737"/>
      <c r="C2" s="232" t="s">
        <v>93</v>
      </c>
      <c r="D2" s="738" t="s">
        <v>94</v>
      </c>
      <c r="E2" s="738"/>
      <c r="F2" s="738" t="s">
        <v>95</v>
      </c>
      <c r="G2" s="738"/>
      <c r="H2" s="738" t="s">
        <v>94</v>
      </c>
      <c r="I2" s="738"/>
      <c r="J2" s="738" t="s">
        <v>95</v>
      </c>
      <c r="K2" s="738"/>
      <c r="L2" s="738" t="s">
        <v>94</v>
      </c>
      <c r="M2" s="739"/>
      <c r="R2" s="54"/>
    </row>
    <row r="3" spans="1:18" s="1" customFormat="1" ht="28.5" x14ac:dyDescent="0.45">
      <c r="A3" s="733">
        <v>45883</v>
      </c>
      <c r="B3" s="734"/>
      <c r="C3" s="735">
        <v>5220507.6900000004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733"/>
      <c r="B4" s="734"/>
      <c r="C4" s="73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731" t="s">
        <v>105</v>
      </c>
      <c r="B5" s="732"/>
      <c r="C5" s="732"/>
      <c r="D5" s="233">
        <v>12531.16</v>
      </c>
      <c r="E5" s="5">
        <f>D5/C3</f>
        <v>2.4003719071238449E-3</v>
      </c>
      <c r="F5" s="233">
        <v>44895.03</v>
      </c>
      <c r="G5" s="44">
        <f>F5/C3</f>
        <v>8.5997440605245033E-3</v>
      </c>
      <c r="H5" s="6">
        <f>SUM(C12:C21)</f>
        <v>5238.95</v>
      </c>
      <c r="I5" s="7">
        <f>H5/D5</f>
        <v>0.41807382556762501</v>
      </c>
      <c r="J5" s="6">
        <f>SUM(C28:C37)</f>
        <v>26429.35</v>
      </c>
      <c r="K5" s="46">
        <f>J5/F5</f>
        <v>0.58869211135397392</v>
      </c>
      <c r="L5" s="8">
        <v>4639.55</v>
      </c>
      <c r="M5" s="9">
        <f>L5/D5</f>
        <v>0.37024106307795929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682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683</v>
      </c>
      <c r="B8" s="447"/>
      <c r="C8" s="447"/>
      <c r="D8" s="447" t="s">
        <v>684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685</v>
      </c>
      <c r="P8" s="457" t="s">
        <v>686</v>
      </c>
      <c r="Q8" s="456" t="s">
        <v>687</v>
      </c>
      <c r="R8" s="718" t="s">
        <v>688</v>
      </c>
    </row>
    <row r="9" spans="1:18" ht="20.45" customHeight="1" x14ac:dyDescent="0.25">
      <c r="A9" s="719" t="s">
        <v>689</v>
      </c>
      <c r="B9" s="461" t="s">
        <v>690</v>
      </c>
      <c r="C9" s="462"/>
      <c r="D9" s="463" t="s">
        <v>691</v>
      </c>
      <c r="E9" s="463"/>
      <c r="F9" s="463"/>
      <c r="G9" s="463"/>
      <c r="H9" s="463"/>
      <c r="I9" s="463"/>
      <c r="J9" s="464" t="s">
        <v>692</v>
      </c>
      <c r="K9" s="464"/>
      <c r="L9" s="464"/>
      <c r="M9" s="465"/>
      <c r="N9" s="465"/>
      <c r="O9" s="456"/>
      <c r="P9" s="456"/>
      <c r="Q9" s="456"/>
      <c r="R9" s="718"/>
    </row>
    <row r="10" spans="1:18" ht="20.45" customHeight="1" x14ac:dyDescent="0.3">
      <c r="A10" s="720"/>
      <c r="B10" s="722" t="s">
        <v>693</v>
      </c>
      <c r="C10" s="724" t="s">
        <v>694</v>
      </c>
      <c r="D10" s="726" t="s">
        <v>695</v>
      </c>
      <c r="E10" s="726"/>
      <c r="F10" s="726"/>
      <c r="G10" s="726"/>
      <c r="H10" s="726"/>
      <c r="I10" s="726"/>
      <c r="J10" s="727" t="s">
        <v>696</v>
      </c>
      <c r="K10" s="729"/>
      <c r="L10" s="730" t="s">
        <v>697</v>
      </c>
      <c r="M10" s="727"/>
      <c r="N10" s="727"/>
      <c r="O10" s="456"/>
      <c r="P10" s="456"/>
      <c r="Q10" s="456"/>
      <c r="R10" s="718"/>
    </row>
    <row r="11" spans="1:18" s="55" customFormat="1" ht="47.25" customHeight="1" x14ac:dyDescent="0.25">
      <c r="A11" s="721"/>
      <c r="B11" s="723"/>
      <c r="C11" s="725"/>
      <c r="D11" s="234" t="s">
        <v>698</v>
      </c>
      <c r="E11" s="234" t="s">
        <v>699</v>
      </c>
      <c r="F11" s="234" t="s">
        <v>700</v>
      </c>
      <c r="G11" s="234" t="s">
        <v>701</v>
      </c>
      <c r="H11" s="234" t="s">
        <v>144</v>
      </c>
      <c r="I11" s="234" t="s">
        <v>702</v>
      </c>
      <c r="J11" s="235" t="s">
        <v>703</v>
      </c>
      <c r="K11" s="235" t="s">
        <v>704</v>
      </c>
      <c r="L11" s="235" t="s">
        <v>703</v>
      </c>
      <c r="M11" s="235" t="s">
        <v>704</v>
      </c>
      <c r="N11" s="236" t="s">
        <v>705</v>
      </c>
      <c r="O11" s="456"/>
      <c r="P11" s="456"/>
      <c r="Q11" s="456"/>
      <c r="R11" s="718"/>
    </row>
    <row r="12" spans="1:18" s="15" customFormat="1" ht="24.95" customHeight="1" x14ac:dyDescent="0.25">
      <c r="A12" s="237">
        <v>1</v>
      </c>
      <c r="B12" s="10" t="s">
        <v>114</v>
      </c>
      <c r="C12" s="33">
        <v>1180.53</v>
      </c>
      <c r="D12" s="56">
        <v>33.520000000000003</v>
      </c>
      <c r="E12" s="56">
        <v>36.08</v>
      </c>
      <c r="F12" s="56">
        <v>1.9</v>
      </c>
      <c r="G12" s="33">
        <v>814.16</v>
      </c>
      <c r="H12" s="11">
        <f t="shared" ref="H12:H21" si="0">(E12+F12)/D12</f>
        <v>1.1330548926014319</v>
      </c>
      <c r="I12" s="33">
        <v>3631.15</v>
      </c>
      <c r="J12" s="56">
        <v>1.45</v>
      </c>
      <c r="K12" s="12">
        <f t="shared" ref="K12:K21" si="1">J12/D12</f>
        <v>4.3257756563245819E-2</v>
      </c>
      <c r="L12" s="238">
        <f t="shared" ref="L12:L21" si="2">((E12+F12)-D12)-J12</f>
        <v>3.0099999999999936</v>
      </c>
      <c r="M12" s="13">
        <f t="shared" ref="M12:M21" si="3">L12/D12</f>
        <v>8.9797136038185954E-2</v>
      </c>
      <c r="N12" s="239">
        <f t="shared" ref="N12:N21" si="4">L12*G12</f>
        <v>2450.6215999999945</v>
      </c>
      <c r="O12" s="66" t="s">
        <v>584</v>
      </c>
      <c r="P12" s="66" t="s">
        <v>672</v>
      </c>
      <c r="Q12" s="66" t="s">
        <v>585</v>
      </c>
      <c r="R12" s="28" t="s">
        <v>113</v>
      </c>
    </row>
    <row r="13" spans="1:18" s="15" customFormat="1" ht="24.95" customHeight="1" x14ac:dyDescent="0.25">
      <c r="A13" s="240">
        <v>2</v>
      </c>
      <c r="B13" s="10" t="s">
        <v>368</v>
      </c>
      <c r="C13" s="33">
        <v>612.67999999999995</v>
      </c>
      <c r="D13" s="56">
        <v>62.74</v>
      </c>
      <c r="E13" s="56">
        <v>78.540000000000006</v>
      </c>
      <c r="F13" s="56">
        <v>0</v>
      </c>
      <c r="G13" s="33">
        <v>90.1</v>
      </c>
      <c r="H13" s="11">
        <f t="shared" si="0"/>
        <v>1.2518329614281161</v>
      </c>
      <c r="I13" s="33">
        <v>1423.58</v>
      </c>
      <c r="J13" s="56">
        <v>6.8</v>
      </c>
      <c r="K13" s="12">
        <f t="shared" si="1"/>
        <v>0.10838380618425246</v>
      </c>
      <c r="L13" s="238">
        <f t="shared" si="2"/>
        <v>9.0000000000000036</v>
      </c>
      <c r="M13" s="13">
        <f t="shared" si="3"/>
        <v>0.14344915524386362</v>
      </c>
      <c r="N13" s="239">
        <f t="shared" si="4"/>
        <v>810.90000000000032</v>
      </c>
      <c r="O13" s="66" t="s">
        <v>18</v>
      </c>
      <c r="P13" s="66" t="s">
        <v>673</v>
      </c>
      <c r="Q13" s="66" t="s">
        <v>590</v>
      </c>
      <c r="R13" s="28" t="s">
        <v>78</v>
      </c>
    </row>
    <row r="14" spans="1:18" s="57" customFormat="1" ht="24.95" customHeight="1" x14ac:dyDescent="0.25">
      <c r="A14" s="240">
        <v>3</v>
      </c>
      <c r="B14" s="10" t="s">
        <v>50</v>
      </c>
      <c r="C14" s="33">
        <v>528.20000000000005</v>
      </c>
      <c r="D14" s="56">
        <v>319.10000000000002</v>
      </c>
      <c r="E14" s="56">
        <v>304.85000000000002</v>
      </c>
      <c r="F14" s="56">
        <v>25</v>
      </c>
      <c r="G14" s="33">
        <v>111.2</v>
      </c>
      <c r="H14" s="11">
        <f t="shared" si="0"/>
        <v>1.0336884989031652</v>
      </c>
      <c r="I14" s="33">
        <v>1195.4000000000001</v>
      </c>
      <c r="J14" s="56">
        <v>4.75</v>
      </c>
      <c r="K14" s="12">
        <f t="shared" si="1"/>
        <v>1.4885615794421811E-2</v>
      </c>
      <c r="L14" s="238">
        <f t="shared" si="2"/>
        <v>6</v>
      </c>
      <c r="M14" s="13">
        <f t="shared" si="3"/>
        <v>1.880288310874334E-2</v>
      </c>
      <c r="N14" s="239">
        <f t="shared" si="4"/>
        <v>667.2</v>
      </c>
      <c r="O14" s="66" t="s">
        <v>19</v>
      </c>
      <c r="P14" s="66" t="s">
        <v>670</v>
      </c>
      <c r="Q14" s="66" t="s">
        <v>587</v>
      </c>
      <c r="R14" s="28" t="s">
        <v>49</v>
      </c>
    </row>
    <row r="15" spans="1:18" s="15" customFormat="1" ht="24.95" customHeight="1" x14ac:dyDescent="0.25">
      <c r="A15" s="237">
        <v>4</v>
      </c>
      <c r="B15" s="10" t="s">
        <v>34</v>
      </c>
      <c r="C15" s="33">
        <v>511.61</v>
      </c>
      <c r="D15" s="56">
        <v>23.3</v>
      </c>
      <c r="E15" s="56">
        <v>25.5</v>
      </c>
      <c r="F15" s="56">
        <v>3</v>
      </c>
      <c r="G15" s="33">
        <v>232.55</v>
      </c>
      <c r="H15" s="11">
        <f t="shared" si="0"/>
        <v>1.2231759656652361</v>
      </c>
      <c r="I15" s="33">
        <v>1209.26</v>
      </c>
      <c r="J15" s="56">
        <v>2.2000000000000002</v>
      </c>
      <c r="K15" s="12">
        <f t="shared" si="1"/>
        <v>9.4420600858369105E-2</v>
      </c>
      <c r="L15" s="238">
        <f t="shared" si="2"/>
        <v>2.9999999999999991</v>
      </c>
      <c r="M15" s="13">
        <f t="shared" si="3"/>
        <v>0.12875536480686692</v>
      </c>
      <c r="N15" s="239">
        <f t="shared" si="4"/>
        <v>697.64999999999986</v>
      </c>
      <c r="O15" s="66" t="s">
        <v>584</v>
      </c>
      <c r="P15" s="66" t="s">
        <v>672</v>
      </c>
      <c r="Q15" s="66" t="s">
        <v>585</v>
      </c>
      <c r="R15" s="28" t="s">
        <v>25</v>
      </c>
    </row>
    <row r="16" spans="1:18" s="57" customFormat="1" ht="24.95" customHeight="1" x14ac:dyDescent="0.25">
      <c r="A16" s="240">
        <v>5</v>
      </c>
      <c r="B16" s="10" t="s">
        <v>38</v>
      </c>
      <c r="C16" s="33">
        <v>497.58</v>
      </c>
      <c r="D16" s="56">
        <v>216.26</v>
      </c>
      <c r="E16" s="56">
        <v>207.28</v>
      </c>
      <c r="F16" s="56">
        <v>19</v>
      </c>
      <c r="G16" s="33">
        <v>99.12</v>
      </c>
      <c r="H16" s="11">
        <f t="shared" si="0"/>
        <v>1.0463331175436974</v>
      </c>
      <c r="I16" s="33">
        <v>993.18</v>
      </c>
      <c r="J16" s="56">
        <v>5.0199999999999996</v>
      </c>
      <c r="K16" s="12">
        <f t="shared" si="1"/>
        <v>2.3212799408119853E-2</v>
      </c>
      <c r="L16" s="238">
        <f t="shared" si="2"/>
        <v>5.0000000000000107</v>
      </c>
      <c r="M16" s="13">
        <f t="shared" si="3"/>
        <v>2.3120318135577595E-2</v>
      </c>
      <c r="N16" s="239">
        <f t="shared" si="4"/>
        <v>495.6000000000011</v>
      </c>
      <c r="O16" s="66" t="s">
        <v>584</v>
      </c>
      <c r="P16" s="66" t="s">
        <v>672</v>
      </c>
      <c r="Q16" s="66" t="s">
        <v>585</v>
      </c>
      <c r="R16" s="28" t="s">
        <v>25</v>
      </c>
    </row>
    <row r="17" spans="1:18" s="15" customFormat="1" ht="24.95" customHeight="1" x14ac:dyDescent="0.25">
      <c r="A17" s="237">
        <v>6</v>
      </c>
      <c r="B17" s="10" t="s">
        <v>59</v>
      </c>
      <c r="C17" s="33">
        <v>420.17</v>
      </c>
      <c r="D17" s="56">
        <v>89.37</v>
      </c>
      <c r="E17" s="56">
        <v>95.57</v>
      </c>
      <c r="F17" s="56">
        <v>0</v>
      </c>
      <c r="G17" s="33">
        <v>135.54</v>
      </c>
      <c r="H17" s="11">
        <f t="shared" si="0"/>
        <v>1.0693745104621237</v>
      </c>
      <c r="I17" s="33">
        <v>840.35</v>
      </c>
      <c r="J17" s="56">
        <v>3.1</v>
      </c>
      <c r="K17" s="12">
        <f t="shared" si="1"/>
        <v>3.4687255231061878E-2</v>
      </c>
      <c r="L17" s="238">
        <f t="shared" si="2"/>
        <v>3.0999999999999885</v>
      </c>
      <c r="M17" s="13">
        <f t="shared" si="3"/>
        <v>3.4687255231061746E-2</v>
      </c>
      <c r="N17" s="239">
        <f t="shared" si="4"/>
        <v>420.17399999999844</v>
      </c>
      <c r="O17" s="66" t="s">
        <v>584</v>
      </c>
      <c r="P17" s="66" t="s">
        <v>672</v>
      </c>
      <c r="Q17" s="66" t="s">
        <v>585</v>
      </c>
      <c r="R17" s="28" t="s">
        <v>25</v>
      </c>
    </row>
    <row r="18" spans="1:18" s="57" customFormat="1" ht="24.95" customHeight="1" x14ac:dyDescent="0.25">
      <c r="A18" s="240">
        <v>7</v>
      </c>
      <c r="B18" s="10" t="s">
        <v>41</v>
      </c>
      <c r="C18" s="33">
        <v>403.86</v>
      </c>
      <c r="D18" s="56">
        <v>135.93</v>
      </c>
      <c r="E18" s="56">
        <v>139.74</v>
      </c>
      <c r="F18" s="56">
        <v>8.8000000000000007</v>
      </c>
      <c r="G18" s="33">
        <v>127.4</v>
      </c>
      <c r="H18" s="11">
        <f t="shared" si="0"/>
        <v>1.092768336643861</v>
      </c>
      <c r="I18" s="33">
        <v>1606.51</v>
      </c>
      <c r="J18" s="56">
        <v>3.17</v>
      </c>
      <c r="K18" s="12">
        <f t="shared" si="1"/>
        <v>2.3320826896196571E-2</v>
      </c>
      <c r="L18" s="238">
        <f t="shared" si="2"/>
        <v>9.4400000000000137</v>
      </c>
      <c r="M18" s="13">
        <f t="shared" si="3"/>
        <v>6.9447509747664338E-2</v>
      </c>
      <c r="N18" s="239">
        <f t="shared" si="4"/>
        <v>1202.6560000000018</v>
      </c>
      <c r="O18" s="66" t="s">
        <v>19</v>
      </c>
      <c r="P18" s="66" t="s">
        <v>670</v>
      </c>
      <c r="Q18" s="66" t="s">
        <v>587</v>
      </c>
      <c r="R18" s="28" t="s">
        <v>25</v>
      </c>
    </row>
    <row r="19" spans="1:18" s="15" customFormat="1" ht="24.95" customHeight="1" x14ac:dyDescent="0.25">
      <c r="A19" s="237">
        <v>8</v>
      </c>
      <c r="B19" s="10" t="s">
        <v>706</v>
      </c>
      <c r="C19" s="33">
        <v>395.66</v>
      </c>
      <c r="D19" s="56">
        <v>218.56</v>
      </c>
      <c r="E19" s="56">
        <v>175.26</v>
      </c>
      <c r="F19" s="56">
        <v>52.6</v>
      </c>
      <c r="G19" s="33">
        <v>95.34</v>
      </c>
      <c r="H19" s="11">
        <f t="shared" si="0"/>
        <v>1.0425512445095169</v>
      </c>
      <c r="I19" s="33">
        <v>886.66</v>
      </c>
      <c r="J19" s="56">
        <v>4.1500000000000004</v>
      </c>
      <c r="K19" s="12">
        <f t="shared" si="1"/>
        <v>1.8987920937042463E-2</v>
      </c>
      <c r="L19" s="238">
        <f t="shared" si="2"/>
        <v>5.1499999999999826</v>
      </c>
      <c r="M19" s="13">
        <f t="shared" si="3"/>
        <v>2.3563323572474298E-2</v>
      </c>
      <c r="N19" s="239">
        <f t="shared" si="4"/>
        <v>491.00099999999838</v>
      </c>
      <c r="O19" s="66" t="s">
        <v>584</v>
      </c>
      <c r="P19" s="66" t="s">
        <v>672</v>
      </c>
      <c r="Q19" s="66" t="s">
        <v>589</v>
      </c>
      <c r="R19" s="28" t="s">
        <v>25</v>
      </c>
    </row>
    <row r="20" spans="1:18" s="15" customFormat="1" ht="24.95" customHeight="1" x14ac:dyDescent="0.25">
      <c r="A20" s="240">
        <v>9</v>
      </c>
      <c r="B20" s="10" t="s">
        <v>26</v>
      </c>
      <c r="C20" s="33">
        <v>355.26</v>
      </c>
      <c r="D20" s="56">
        <v>27.64</v>
      </c>
      <c r="E20" s="56">
        <v>22.31</v>
      </c>
      <c r="F20" s="56">
        <v>9</v>
      </c>
      <c r="G20" s="33">
        <v>212.73</v>
      </c>
      <c r="H20" s="11">
        <f t="shared" si="0"/>
        <v>1.1327785817655571</v>
      </c>
      <c r="I20" s="33">
        <v>780.72</v>
      </c>
      <c r="J20" s="56">
        <v>1.67</v>
      </c>
      <c r="K20" s="12">
        <f t="shared" si="1"/>
        <v>6.0419681620839362E-2</v>
      </c>
      <c r="L20" s="238">
        <f t="shared" si="2"/>
        <v>1.9999999999999982</v>
      </c>
      <c r="M20" s="13">
        <f t="shared" si="3"/>
        <v>7.2358900144717728E-2</v>
      </c>
      <c r="N20" s="239">
        <f t="shared" si="4"/>
        <v>425.45999999999958</v>
      </c>
      <c r="O20" s="66" t="s">
        <v>584</v>
      </c>
      <c r="P20" s="66" t="s">
        <v>672</v>
      </c>
      <c r="Q20" s="66" t="s">
        <v>589</v>
      </c>
      <c r="R20" s="28" t="s">
        <v>27</v>
      </c>
    </row>
    <row r="21" spans="1:18" s="15" customFormat="1" ht="24.95" customHeight="1" thickBot="1" x14ac:dyDescent="0.3">
      <c r="A21" s="241">
        <v>10</v>
      </c>
      <c r="B21" s="16" t="s">
        <v>707</v>
      </c>
      <c r="C21" s="34">
        <v>333.4</v>
      </c>
      <c r="D21" s="58">
        <v>14.96</v>
      </c>
      <c r="E21" s="58">
        <v>16.23</v>
      </c>
      <c r="F21" s="58">
        <v>2</v>
      </c>
      <c r="G21" s="34">
        <v>262.52</v>
      </c>
      <c r="H21" s="17">
        <f t="shared" si="0"/>
        <v>1.2185828877005347</v>
      </c>
      <c r="I21" s="34">
        <v>858.44</v>
      </c>
      <c r="J21" s="58">
        <v>1.27</v>
      </c>
      <c r="K21" s="18">
        <f t="shared" si="1"/>
        <v>8.4893048128342238E-2</v>
      </c>
      <c r="L21" s="242">
        <f t="shared" si="2"/>
        <v>1.9999999999999996</v>
      </c>
      <c r="M21" s="19">
        <f t="shared" si="3"/>
        <v>0.13368983957219246</v>
      </c>
      <c r="N21" s="243">
        <f t="shared" si="4"/>
        <v>525.03999999999985</v>
      </c>
      <c r="O21" s="64" t="s">
        <v>19</v>
      </c>
      <c r="P21" s="64" t="s">
        <v>670</v>
      </c>
      <c r="Q21" s="64" t="s">
        <v>587</v>
      </c>
      <c r="R21" s="29" t="s">
        <v>708</v>
      </c>
    </row>
    <row r="22" spans="1:18" s="62" customFormat="1" ht="24.95" customHeight="1" thickBot="1" x14ac:dyDescent="0.3">
      <c r="A22" s="244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45"/>
      <c r="M22" s="30"/>
      <c r="N22" s="246"/>
      <c r="O22" s="61"/>
      <c r="P22" s="61"/>
      <c r="Q22" s="61"/>
      <c r="R22" s="59"/>
    </row>
    <row r="23" spans="1:18" s="62" customFormat="1" ht="40.5" customHeight="1" x14ac:dyDescent="0.25">
      <c r="A23" s="443" t="s">
        <v>709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683</v>
      </c>
      <c r="B24" s="447"/>
      <c r="C24" s="447"/>
      <c r="D24" s="447" t="s">
        <v>684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685</v>
      </c>
      <c r="P24" s="457" t="s">
        <v>686</v>
      </c>
      <c r="Q24" s="456" t="s">
        <v>687</v>
      </c>
      <c r="R24" s="718" t="s">
        <v>688</v>
      </c>
    </row>
    <row r="25" spans="1:18" s="62" customFormat="1" ht="24.95" customHeight="1" x14ac:dyDescent="0.25">
      <c r="A25" s="719" t="s">
        <v>689</v>
      </c>
      <c r="B25" s="461" t="s">
        <v>690</v>
      </c>
      <c r="C25" s="462"/>
      <c r="D25" s="463" t="s">
        <v>691</v>
      </c>
      <c r="E25" s="463"/>
      <c r="F25" s="463"/>
      <c r="G25" s="463"/>
      <c r="H25" s="463"/>
      <c r="I25" s="463"/>
      <c r="J25" s="464" t="s">
        <v>692</v>
      </c>
      <c r="K25" s="464"/>
      <c r="L25" s="464"/>
      <c r="M25" s="465"/>
      <c r="N25" s="465"/>
      <c r="O25" s="456"/>
      <c r="P25" s="456"/>
      <c r="Q25" s="456"/>
      <c r="R25" s="718"/>
    </row>
    <row r="26" spans="1:18" s="62" customFormat="1" ht="24.95" customHeight="1" x14ac:dyDescent="0.3">
      <c r="A26" s="720"/>
      <c r="B26" s="722" t="s">
        <v>136</v>
      </c>
      <c r="C26" s="724" t="s">
        <v>710</v>
      </c>
      <c r="D26" s="726" t="s">
        <v>695</v>
      </c>
      <c r="E26" s="726"/>
      <c r="F26" s="726"/>
      <c r="G26" s="726"/>
      <c r="H26" s="726"/>
      <c r="I26" s="726"/>
      <c r="J26" s="727" t="s">
        <v>696</v>
      </c>
      <c r="K26" s="728"/>
      <c r="L26" s="729"/>
      <c r="M26" s="727" t="s">
        <v>697</v>
      </c>
      <c r="N26" s="729"/>
      <c r="O26" s="456"/>
      <c r="P26" s="456"/>
      <c r="Q26" s="456"/>
      <c r="R26" s="718"/>
    </row>
    <row r="27" spans="1:18" s="62" customFormat="1" ht="50.1" customHeight="1" x14ac:dyDescent="0.25">
      <c r="A27" s="721"/>
      <c r="B27" s="723"/>
      <c r="C27" s="725"/>
      <c r="D27" s="234" t="s">
        <v>698</v>
      </c>
      <c r="E27" s="234" t="s">
        <v>699</v>
      </c>
      <c r="F27" s="234" t="s">
        <v>700</v>
      </c>
      <c r="G27" s="234" t="s">
        <v>701</v>
      </c>
      <c r="H27" s="234" t="s">
        <v>711</v>
      </c>
      <c r="I27" s="234" t="s">
        <v>702</v>
      </c>
      <c r="J27" s="235" t="s">
        <v>703</v>
      </c>
      <c r="K27" s="235" t="s">
        <v>704</v>
      </c>
      <c r="L27" s="236" t="s">
        <v>705</v>
      </c>
      <c r="M27" s="235" t="s">
        <v>703</v>
      </c>
      <c r="N27" s="235" t="s">
        <v>704</v>
      </c>
      <c r="O27" s="456"/>
      <c r="P27" s="456"/>
      <c r="Q27" s="456"/>
      <c r="R27" s="718"/>
    </row>
    <row r="28" spans="1:18" s="62" customFormat="1" ht="24.95" customHeight="1" x14ac:dyDescent="0.25">
      <c r="A28" s="237">
        <v>1</v>
      </c>
      <c r="B28" s="10" t="s">
        <v>37</v>
      </c>
      <c r="C28" s="33">
        <v>6319.76</v>
      </c>
      <c r="D28" s="56">
        <v>340.34</v>
      </c>
      <c r="E28" s="56">
        <v>344.53</v>
      </c>
      <c r="F28" s="56">
        <v>38.25</v>
      </c>
      <c r="G28" s="33">
        <v>156.74</v>
      </c>
      <c r="H28" s="35">
        <f t="shared" ref="H28:H37" si="5">(E28+F28)/D28</f>
        <v>1.1246988305811836</v>
      </c>
      <c r="I28" s="33">
        <v>6652.05</v>
      </c>
      <c r="J28" s="56">
        <v>2.12</v>
      </c>
      <c r="K28" s="12">
        <f t="shared" ref="K28:K37" si="6">J28/D28</f>
        <v>6.229065052594465E-3</v>
      </c>
      <c r="L28" s="239">
        <f t="shared" ref="L28:L37" si="7">J28*G28</f>
        <v>332.28880000000004</v>
      </c>
      <c r="M28" s="238">
        <f t="shared" ref="M28:M37" si="8">((E28+F28)-D28)-J28</f>
        <v>40.32</v>
      </c>
      <c r="N28" s="13">
        <f t="shared" ref="N28:N37" si="9">M28/D28</f>
        <v>0.11846976552858907</v>
      </c>
      <c r="O28" s="69" t="s">
        <v>22</v>
      </c>
      <c r="P28" s="14" t="s">
        <v>672</v>
      </c>
      <c r="Q28" s="14" t="s">
        <v>67</v>
      </c>
      <c r="R28" s="28" t="s">
        <v>25</v>
      </c>
    </row>
    <row r="29" spans="1:18" s="62" customFormat="1" ht="24.75" customHeight="1" x14ac:dyDescent="0.25">
      <c r="A29" s="240">
        <v>2</v>
      </c>
      <c r="B29" s="10" t="s">
        <v>55</v>
      </c>
      <c r="C29" s="33">
        <v>4622.2300000000005</v>
      </c>
      <c r="D29" s="56">
        <v>86.86</v>
      </c>
      <c r="E29" s="56">
        <v>91.57</v>
      </c>
      <c r="F29" s="56">
        <v>10.23</v>
      </c>
      <c r="G29" s="33">
        <v>331.58</v>
      </c>
      <c r="H29" s="35">
        <f t="shared" si="5"/>
        <v>1.1720009210223348</v>
      </c>
      <c r="I29" s="33">
        <v>4953.8100000000004</v>
      </c>
      <c r="J29" s="56">
        <v>1</v>
      </c>
      <c r="K29" s="12">
        <f t="shared" si="6"/>
        <v>1.1512779184895234E-2</v>
      </c>
      <c r="L29" s="239">
        <f t="shared" si="7"/>
        <v>331.58</v>
      </c>
      <c r="M29" s="238">
        <f t="shared" si="8"/>
        <v>13.939999999999998</v>
      </c>
      <c r="N29" s="13">
        <f t="shared" si="9"/>
        <v>0.16048814183743954</v>
      </c>
      <c r="O29" s="69" t="s">
        <v>22</v>
      </c>
      <c r="P29" s="14" t="s">
        <v>672</v>
      </c>
      <c r="Q29" s="14" t="s">
        <v>67</v>
      </c>
      <c r="R29" s="28" t="s">
        <v>74</v>
      </c>
    </row>
    <row r="30" spans="1:18" s="62" customFormat="1" ht="24.95" customHeight="1" x14ac:dyDescent="0.25">
      <c r="A30" s="240">
        <v>3</v>
      </c>
      <c r="B30" s="10" t="s">
        <v>68</v>
      </c>
      <c r="C30" s="33">
        <v>2536.6800000000003</v>
      </c>
      <c r="D30" s="56">
        <v>32.53</v>
      </c>
      <c r="E30" s="56">
        <v>39.26</v>
      </c>
      <c r="F30" s="56">
        <v>3</v>
      </c>
      <c r="G30" s="33">
        <v>294.62</v>
      </c>
      <c r="H30" s="35">
        <f t="shared" si="5"/>
        <v>1.299108515216723</v>
      </c>
      <c r="I30" s="33">
        <v>2866.65</v>
      </c>
      <c r="J30" s="32">
        <v>1.1200000000000001</v>
      </c>
      <c r="K30" s="12">
        <f t="shared" si="6"/>
        <v>3.4429757147248698E-2</v>
      </c>
      <c r="L30" s="239">
        <f t="shared" si="7"/>
        <v>329.97440000000006</v>
      </c>
      <c r="M30" s="238">
        <f t="shared" si="8"/>
        <v>8.6099999999999959</v>
      </c>
      <c r="N30" s="13">
        <f t="shared" si="9"/>
        <v>0.26467875806947422</v>
      </c>
      <c r="O30" s="69" t="s">
        <v>18</v>
      </c>
      <c r="P30" s="14" t="s">
        <v>673</v>
      </c>
      <c r="Q30" s="14" t="s">
        <v>678</v>
      </c>
      <c r="R30" s="28" t="s">
        <v>25</v>
      </c>
    </row>
    <row r="31" spans="1:18" s="62" customFormat="1" ht="24.95" customHeight="1" x14ac:dyDescent="0.25">
      <c r="A31" s="237">
        <v>4</v>
      </c>
      <c r="B31" s="10" t="s">
        <v>114</v>
      </c>
      <c r="C31" s="33">
        <v>2450.62</v>
      </c>
      <c r="D31" s="56">
        <v>33.520000000000003</v>
      </c>
      <c r="E31" s="56">
        <v>36.08</v>
      </c>
      <c r="F31" s="56">
        <v>1.9</v>
      </c>
      <c r="G31" s="33">
        <v>814.16</v>
      </c>
      <c r="H31" s="35">
        <f t="shared" si="5"/>
        <v>1.1330548926014319</v>
      </c>
      <c r="I31" s="33">
        <v>3631.15</v>
      </c>
      <c r="J31" s="56">
        <v>1.45</v>
      </c>
      <c r="K31" s="12">
        <f t="shared" si="6"/>
        <v>4.3257756563245819E-2</v>
      </c>
      <c r="L31" s="239">
        <f t="shared" si="7"/>
        <v>1180.5319999999999</v>
      </c>
      <c r="M31" s="238">
        <f t="shared" si="8"/>
        <v>3.0099999999999936</v>
      </c>
      <c r="N31" s="13">
        <f t="shared" si="9"/>
        <v>8.9797136038185954E-2</v>
      </c>
      <c r="O31" s="69" t="s">
        <v>22</v>
      </c>
      <c r="P31" s="14" t="s">
        <v>672</v>
      </c>
      <c r="Q31" s="14" t="s">
        <v>67</v>
      </c>
      <c r="R31" s="28" t="s">
        <v>113</v>
      </c>
    </row>
    <row r="32" spans="1:18" s="62" customFormat="1" ht="24.95" customHeight="1" x14ac:dyDescent="0.25">
      <c r="A32" s="240">
        <v>5</v>
      </c>
      <c r="B32" s="10" t="s">
        <v>32</v>
      </c>
      <c r="C32" s="33">
        <v>2252.37</v>
      </c>
      <c r="D32" s="56">
        <v>91.99</v>
      </c>
      <c r="E32" s="56">
        <v>95.13</v>
      </c>
      <c r="F32" s="56">
        <v>9</v>
      </c>
      <c r="G32" s="33">
        <v>212.89</v>
      </c>
      <c r="H32" s="35">
        <f t="shared" si="5"/>
        <v>1.1319708663985215</v>
      </c>
      <c r="I32" s="33">
        <v>2584.48</v>
      </c>
      <c r="J32" s="56">
        <v>1.56</v>
      </c>
      <c r="K32" s="12">
        <f t="shared" si="6"/>
        <v>1.6958365039678229E-2</v>
      </c>
      <c r="L32" s="239">
        <f t="shared" si="7"/>
        <v>332.10840000000002</v>
      </c>
      <c r="M32" s="238">
        <f t="shared" si="8"/>
        <v>10.58</v>
      </c>
      <c r="N32" s="13">
        <f t="shared" si="9"/>
        <v>0.11501250135884336</v>
      </c>
      <c r="O32" s="69" t="s">
        <v>22</v>
      </c>
      <c r="P32" s="14" t="s">
        <v>672</v>
      </c>
      <c r="Q32" s="14" t="s">
        <v>80</v>
      </c>
      <c r="R32" s="28" t="s">
        <v>25</v>
      </c>
    </row>
    <row r="33" spans="1:18" s="62" customFormat="1" ht="24.95" customHeight="1" x14ac:dyDescent="0.25">
      <c r="A33" s="237">
        <v>6</v>
      </c>
      <c r="B33" s="10" t="s">
        <v>69</v>
      </c>
      <c r="C33" s="33">
        <v>2067.79</v>
      </c>
      <c r="D33" s="56">
        <v>48.8</v>
      </c>
      <c r="E33" s="56">
        <v>49.93</v>
      </c>
      <c r="F33" s="56">
        <v>9</v>
      </c>
      <c r="G33" s="33">
        <v>235.78</v>
      </c>
      <c r="H33" s="35">
        <f t="shared" si="5"/>
        <v>1.2075819672131147</v>
      </c>
      <c r="I33" s="33">
        <v>2388.4499999999998</v>
      </c>
      <c r="J33" s="56">
        <v>1.36</v>
      </c>
      <c r="K33" s="12">
        <f t="shared" si="6"/>
        <v>2.7868852459016397E-2</v>
      </c>
      <c r="L33" s="239">
        <f t="shared" si="7"/>
        <v>320.66080000000005</v>
      </c>
      <c r="M33" s="238">
        <f t="shared" si="8"/>
        <v>8.7700000000000031</v>
      </c>
      <c r="N33" s="13">
        <f t="shared" si="9"/>
        <v>0.17971311475409843</v>
      </c>
      <c r="O33" s="69" t="s">
        <v>22</v>
      </c>
      <c r="P33" s="14" t="s">
        <v>672</v>
      </c>
      <c r="Q33" s="14" t="s">
        <v>408</v>
      </c>
      <c r="R33" s="28" t="s">
        <v>25</v>
      </c>
    </row>
    <row r="34" spans="1:18" s="62" customFormat="1" ht="24.95" customHeight="1" x14ac:dyDescent="0.25">
      <c r="A34" s="240">
        <v>7</v>
      </c>
      <c r="B34" s="10" t="s">
        <v>117</v>
      </c>
      <c r="C34" s="33">
        <v>1930.4999999999998</v>
      </c>
      <c r="D34" s="56">
        <v>112.53</v>
      </c>
      <c r="E34" s="56">
        <v>115.6</v>
      </c>
      <c r="F34" s="56">
        <v>17.399999999999999</v>
      </c>
      <c r="G34" s="33">
        <v>110</v>
      </c>
      <c r="H34" s="35">
        <f t="shared" si="5"/>
        <v>1.1819070470096862</v>
      </c>
      <c r="I34" s="33">
        <v>2251.6999999999998</v>
      </c>
      <c r="J34" s="56">
        <v>2.92</v>
      </c>
      <c r="K34" s="12">
        <f t="shared" si="6"/>
        <v>2.5948635919310407E-2</v>
      </c>
      <c r="L34" s="239">
        <f t="shared" si="7"/>
        <v>321.2</v>
      </c>
      <c r="M34" s="238">
        <f t="shared" si="8"/>
        <v>17.549999999999997</v>
      </c>
      <c r="N34" s="13">
        <f t="shared" si="9"/>
        <v>0.15595841109037586</v>
      </c>
      <c r="O34" s="69" t="s">
        <v>18</v>
      </c>
      <c r="P34" s="14" t="s">
        <v>673</v>
      </c>
      <c r="Q34" s="14" t="s">
        <v>678</v>
      </c>
      <c r="R34" s="28" t="s">
        <v>25</v>
      </c>
    </row>
    <row r="35" spans="1:18" s="62" customFormat="1" ht="24.95" customHeight="1" x14ac:dyDescent="0.25">
      <c r="A35" s="237">
        <v>8</v>
      </c>
      <c r="B35" s="10" t="s">
        <v>628</v>
      </c>
      <c r="C35" s="33">
        <v>1565.1</v>
      </c>
      <c r="D35" s="56">
        <v>186.3</v>
      </c>
      <c r="E35" s="56">
        <v>196.55</v>
      </c>
      <c r="F35" s="56">
        <v>0</v>
      </c>
      <c r="G35" s="33">
        <v>185</v>
      </c>
      <c r="H35" s="35">
        <f t="shared" si="5"/>
        <v>1.0550187869028449</v>
      </c>
      <c r="I35" s="33">
        <v>1896.25</v>
      </c>
      <c r="J35" s="56">
        <v>1.79</v>
      </c>
      <c r="K35" s="12">
        <f t="shared" si="6"/>
        <v>9.6081588835212027E-3</v>
      </c>
      <c r="L35" s="239">
        <f t="shared" si="7"/>
        <v>331.15000000000003</v>
      </c>
      <c r="M35" s="238">
        <f t="shared" si="8"/>
        <v>8.4600000000000009</v>
      </c>
      <c r="N35" s="13">
        <f t="shared" si="9"/>
        <v>4.5410628019323676E-2</v>
      </c>
      <c r="O35" s="69" t="s">
        <v>22</v>
      </c>
      <c r="P35" s="14" t="s">
        <v>672</v>
      </c>
      <c r="Q35" s="14" t="s">
        <v>84</v>
      </c>
      <c r="R35" s="28" t="s">
        <v>629</v>
      </c>
    </row>
    <row r="36" spans="1:18" s="62" customFormat="1" ht="24.95" customHeight="1" x14ac:dyDescent="0.25">
      <c r="A36" s="240">
        <v>9</v>
      </c>
      <c r="B36" s="10" t="s">
        <v>83</v>
      </c>
      <c r="C36" s="33">
        <v>1351.6100000000001</v>
      </c>
      <c r="D36" s="56">
        <v>30.53</v>
      </c>
      <c r="E36" s="56">
        <v>31.27</v>
      </c>
      <c r="F36" s="56">
        <v>4.8</v>
      </c>
      <c r="G36" s="33">
        <v>268.70999999999998</v>
      </c>
      <c r="H36" s="35">
        <f t="shared" si="5"/>
        <v>1.1814608581722894</v>
      </c>
      <c r="I36" s="33">
        <v>1488.65</v>
      </c>
      <c r="J36" s="56">
        <v>0.51</v>
      </c>
      <c r="K36" s="12">
        <f t="shared" si="6"/>
        <v>1.6704880445463477E-2</v>
      </c>
      <c r="L36" s="239">
        <f t="shared" si="7"/>
        <v>137.0421</v>
      </c>
      <c r="M36" s="238">
        <f t="shared" si="8"/>
        <v>5.0299999999999994</v>
      </c>
      <c r="N36" s="13">
        <f t="shared" si="9"/>
        <v>0.16475597772682604</v>
      </c>
      <c r="O36" s="69" t="s">
        <v>22</v>
      </c>
      <c r="P36" s="14" t="s">
        <v>672</v>
      </c>
      <c r="Q36" s="14" t="s">
        <v>84</v>
      </c>
      <c r="R36" s="28" t="s">
        <v>82</v>
      </c>
    </row>
    <row r="37" spans="1:18" s="62" customFormat="1" ht="24.95" customHeight="1" thickBot="1" x14ac:dyDescent="0.3">
      <c r="A37" s="241">
        <v>10</v>
      </c>
      <c r="B37" s="16" t="s">
        <v>108</v>
      </c>
      <c r="C37" s="34">
        <v>1332.6899999999998</v>
      </c>
      <c r="D37" s="58">
        <v>46.13</v>
      </c>
      <c r="E37" s="58">
        <v>49.59</v>
      </c>
      <c r="F37" s="58">
        <v>9</v>
      </c>
      <c r="G37" s="34">
        <v>118.99</v>
      </c>
      <c r="H37" s="36">
        <f t="shared" si="5"/>
        <v>1.2701062215477996</v>
      </c>
      <c r="I37" s="34">
        <v>1482.62</v>
      </c>
      <c r="J37" s="58">
        <v>1.26</v>
      </c>
      <c r="K37" s="18">
        <f t="shared" si="6"/>
        <v>2.7314112291350529E-2</v>
      </c>
      <c r="L37" s="243">
        <f t="shared" si="7"/>
        <v>149.92740000000001</v>
      </c>
      <c r="M37" s="242">
        <f t="shared" si="8"/>
        <v>11.200000000000001</v>
      </c>
      <c r="N37" s="19">
        <f t="shared" si="9"/>
        <v>0.24279210925644917</v>
      </c>
      <c r="O37" s="52" t="s">
        <v>22</v>
      </c>
      <c r="P37" s="20" t="s">
        <v>672</v>
      </c>
      <c r="Q37" s="20" t="s">
        <v>408</v>
      </c>
      <c r="R37" s="65" t="s">
        <v>51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712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683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715" t="s">
        <v>689</v>
      </c>
      <c r="B41" s="450" t="s">
        <v>690</v>
      </c>
      <c r="C41" s="450"/>
      <c r="D41" s="451"/>
      <c r="E41" s="23"/>
      <c r="G41" s="21"/>
      <c r="H41" s="22"/>
    </row>
    <row r="42" spans="1:18" ht="20.45" customHeight="1" x14ac:dyDescent="0.35">
      <c r="A42" s="715"/>
      <c r="B42" s="716" t="s">
        <v>693</v>
      </c>
      <c r="C42" s="717" t="s">
        <v>694</v>
      </c>
      <c r="D42" s="718" t="s">
        <v>713</v>
      </c>
      <c r="E42" s="23"/>
      <c r="G42" s="21"/>
      <c r="H42" s="22"/>
    </row>
    <row r="43" spans="1:18" ht="20.45" customHeight="1" x14ac:dyDescent="0.35">
      <c r="A43" s="715"/>
      <c r="B43" s="716"/>
      <c r="C43" s="717"/>
      <c r="D43" s="718"/>
      <c r="E43" s="23"/>
      <c r="G43" s="21"/>
      <c r="H43" s="22"/>
    </row>
    <row r="44" spans="1:18" s="26" customFormat="1" ht="24.95" customHeight="1" x14ac:dyDescent="0.35">
      <c r="A44" s="247">
        <v>1</v>
      </c>
      <c r="B44" s="10" t="s">
        <v>34</v>
      </c>
      <c r="C44" s="33">
        <v>511.61</v>
      </c>
      <c r="D44" s="24">
        <f t="shared" ref="D44:D53" si="10">C44/$L$5</f>
        <v>0.11027147029345519</v>
      </c>
      <c r="E44" s="25"/>
      <c r="G44" s="21"/>
      <c r="H44" s="22"/>
    </row>
    <row r="45" spans="1:18" s="26" customFormat="1" ht="24.95" customHeight="1" x14ac:dyDescent="0.35">
      <c r="A45" s="248">
        <v>2</v>
      </c>
      <c r="B45" s="10" t="s">
        <v>38</v>
      </c>
      <c r="C45" s="33">
        <v>497.58</v>
      </c>
      <c r="D45" s="24">
        <f t="shared" si="10"/>
        <v>0.10724747012102466</v>
      </c>
      <c r="E45" s="25"/>
      <c r="G45" s="21"/>
      <c r="H45" s="22"/>
    </row>
    <row r="46" spans="1:18" s="26" customFormat="1" ht="24.95" customHeight="1" x14ac:dyDescent="0.35">
      <c r="A46" s="248">
        <v>3</v>
      </c>
      <c r="B46" s="10" t="s">
        <v>59</v>
      </c>
      <c r="C46" s="33">
        <v>420.17</v>
      </c>
      <c r="D46" s="24">
        <f t="shared" si="10"/>
        <v>9.0562662327165352E-2</v>
      </c>
      <c r="E46" s="25"/>
      <c r="G46" s="21"/>
      <c r="H46" s="22"/>
    </row>
    <row r="47" spans="1:18" s="26" customFormat="1" ht="24.95" customHeight="1" x14ac:dyDescent="0.35">
      <c r="A47" s="247">
        <v>4</v>
      </c>
      <c r="B47" s="10" t="s">
        <v>41</v>
      </c>
      <c r="C47" s="33">
        <v>403.86</v>
      </c>
      <c r="D47" s="24">
        <f t="shared" si="10"/>
        <v>8.7047235184446764E-2</v>
      </c>
      <c r="E47" s="25"/>
      <c r="G47" s="21"/>
      <c r="H47" s="22"/>
    </row>
    <row r="48" spans="1:18" s="26" customFormat="1" ht="24.95" customHeight="1" x14ac:dyDescent="0.35">
      <c r="A48" s="248">
        <v>5</v>
      </c>
      <c r="B48" s="10" t="s">
        <v>706</v>
      </c>
      <c r="C48" s="33">
        <v>395.66</v>
      </c>
      <c r="D48" s="24">
        <f t="shared" si="10"/>
        <v>8.527982239656863E-2</v>
      </c>
      <c r="E48" s="25"/>
      <c r="G48" s="21"/>
      <c r="H48" s="22"/>
    </row>
    <row r="49" spans="1:5" s="26" customFormat="1" ht="24.95" customHeight="1" x14ac:dyDescent="0.25">
      <c r="A49" s="247">
        <v>6</v>
      </c>
      <c r="B49" s="10" t="s">
        <v>37</v>
      </c>
      <c r="C49" s="33">
        <v>332.29</v>
      </c>
      <c r="D49" s="24">
        <f t="shared" si="10"/>
        <v>7.1621170156588462E-2</v>
      </c>
      <c r="E49" s="25"/>
    </row>
    <row r="50" spans="1:5" s="26" customFormat="1" ht="24.95" customHeight="1" x14ac:dyDescent="0.25">
      <c r="A50" s="248">
        <v>7</v>
      </c>
      <c r="B50" s="10" t="s">
        <v>32</v>
      </c>
      <c r="C50" s="33">
        <v>332.11</v>
      </c>
      <c r="D50" s="24">
        <f t="shared" si="10"/>
        <v>7.1582373290513091E-2</v>
      </c>
      <c r="E50" s="25"/>
    </row>
    <row r="51" spans="1:5" s="26" customFormat="1" ht="24.95" customHeight="1" x14ac:dyDescent="0.25">
      <c r="A51" s="247">
        <v>8</v>
      </c>
      <c r="B51" s="10" t="s">
        <v>68</v>
      </c>
      <c r="C51" s="33">
        <v>329.97</v>
      </c>
      <c r="D51" s="24">
        <f t="shared" si="10"/>
        <v>7.1121121660505868E-2</v>
      </c>
      <c r="E51" s="25"/>
    </row>
    <row r="52" spans="1:5" s="26" customFormat="1" ht="24.95" customHeight="1" x14ac:dyDescent="0.25">
      <c r="A52" s="248">
        <v>9</v>
      </c>
      <c r="B52" s="10" t="s">
        <v>117</v>
      </c>
      <c r="C52" s="33">
        <v>321.2</v>
      </c>
      <c r="D52" s="24">
        <f t="shared" si="10"/>
        <v>6.9230852130055712E-2</v>
      </c>
      <c r="E52" s="25"/>
    </row>
    <row r="53" spans="1:5" s="26" customFormat="1" ht="24.95" customHeight="1" thickBot="1" x14ac:dyDescent="0.3">
      <c r="A53" s="249">
        <v>10</v>
      </c>
      <c r="B53" s="16" t="s">
        <v>69</v>
      </c>
      <c r="C53" s="34">
        <v>320.66000000000003</v>
      </c>
      <c r="D53" s="27">
        <f t="shared" si="10"/>
        <v>6.9114461531829596E-2</v>
      </c>
      <c r="E53" s="25"/>
    </row>
    <row r="54" spans="1:5" x14ac:dyDescent="0.25">
      <c r="A54" s="441" t="s">
        <v>714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715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531" priority="33" operator="containsText" text="024">
      <formula>NOT(ISERROR(SEARCH("024",A12)))</formula>
    </cfRule>
    <cfRule type="containsText" dxfId="530" priority="34" operator="containsText" text="白醬">
      <formula>NOT(ISERROR(SEARCH("白醬",A12)))</formula>
    </cfRule>
    <cfRule type="containsText" dxfId="529" priority="35" operator="containsText" text="青蔥">
      <formula>NOT(ISERROR(SEARCH("青蔥",A12)))</formula>
    </cfRule>
    <cfRule type="containsText" dxfId="528" priority="36" operator="containsText" text=")川燙小青花菜">
      <formula>NOT(ISERROR(SEARCH(")川燙小青花菜",A12)))</formula>
    </cfRule>
    <cfRule type="containsText" dxfId="527" priority="37" operator="containsText" text="湯凍">
      <formula>NOT(ISERROR(SEARCH("湯凍",A12)))</formula>
    </cfRule>
    <cfRule type="containsText" dxfId="526" priority="38" operator="containsText" text="中華">
      <formula>NOT(ISERROR(SEARCH("中華",A12)))</formula>
    </cfRule>
  </conditionalFormatting>
  <conditionalFormatting sqref="A12:A22">
    <cfRule type="containsText" dxfId="525" priority="31" operator="containsText" text="綠豆芽">
      <formula>NOT(ISERROR(SEARCH("綠豆芽",A12)))</formula>
    </cfRule>
    <cfRule type="containsText" dxfId="524" priority="32" operator="containsText" text="煮白細麵生(方#12)">
      <formula>NOT(ISERROR(SEARCH("煮白細麵生(方#12)",A12)))</formula>
    </cfRule>
  </conditionalFormatting>
  <conditionalFormatting sqref="E5">
    <cfRule type="cellIs" dxfId="523" priority="16" operator="greaterThan">
      <formula>0.0025</formula>
    </cfRule>
    <cfRule type="cellIs" dxfId="522" priority="19" operator="greaterThan">
      <formula>0.0025</formula>
    </cfRule>
    <cfRule type="cellIs" dxfId="521" priority="29" operator="greaterThan">
      <formula>0.072</formula>
    </cfRule>
    <cfRule type="cellIs" dxfId="520" priority="30" operator="greaterThan">
      <formula>7.2</formula>
    </cfRule>
  </conditionalFormatting>
  <conditionalFormatting sqref="E5">
    <cfRule type="cellIs" dxfId="519" priority="28" operator="greaterThan">
      <formula>0.0025</formula>
    </cfRule>
  </conditionalFormatting>
  <conditionalFormatting sqref="A44:A53">
    <cfRule type="containsText" dxfId="518" priority="22" operator="containsText" text="024">
      <formula>NOT(ISERROR(SEARCH("024",A44)))</formula>
    </cfRule>
    <cfRule type="containsText" dxfId="517" priority="23" operator="containsText" text="白醬">
      <formula>NOT(ISERROR(SEARCH("白醬",A44)))</formula>
    </cfRule>
    <cfRule type="containsText" dxfId="516" priority="24" operator="containsText" text="青蔥">
      <formula>NOT(ISERROR(SEARCH("青蔥",A44)))</formula>
    </cfRule>
    <cfRule type="containsText" dxfId="515" priority="25" operator="containsText" text=")川燙小青花菜">
      <formula>NOT(ISERROR(SEARCH(")川燙小青花菜",A44)))</formula>
    </cfRule>
    <cfRule type="containsText" dxfId="514" priority="26" operator="containsText" text="湯凍">
      <formula>NOT(ISERROR(SEARCH("湯凍",A44)))</formula>
    </cfRule>
    <cfRule type="containsText" dxfId="513" priority="27" operator="containsText" text="中華">
      <formula>NOT(ISERROR(SEARCH("中華",A44)))</formula>
    </cfRule>
  </conditionalFormatting>
  <conditionalFormatting sqref="A44:A53">
    <cfRule type="containsText" dxfId="512" priority="20" operator="containsText" text="綠豆芽">
      <formula>NOT(ISERROR(SEARCH("綠豆芽",A44)))</formula>
    </cfRule>
    <cfRule type="containsText" dxfId="511" priority="21" operator="containsText" text="煮白細麵生(方#12)">
      <formula>NOT(ISERROR(SEARCH("煮白細麵生(方#12)",A44)))</formula>
    </cfRule>
  </conditionalFormatting>
  <conditionalFormatting sqref="D44:D53">
    <cfRule type="cellIs" dxfId="510" priority="18" operator="greaterThan">
      <formula>0.146</formula>
    </cfRule>
  </conditionalFormatting>
  <conditionalFormatting sqref="H12:H22">
    <cfRule type="cellIs" dxfId="509" priority="17" operator="greaterThan">
      <formula>1.1</formula>
    </cfRule>
  </conditionalFormatting>
  <conditionalFormatting sqref="I5">
    <cfRule type="cellIs" dxfId="508" priority="15" operator="greaterThan">
      <formula>0.2</formula>
    </cfRule>
  </conditionalFormatting>
  <conditionalFormatting sqref="A28:A37">
    <cfRule type="containsText" dxfId="507" priority="9" operator="containsText" text="024">
      <formula>NOT(ISERROR(SEARCH("024",A28)))</formula>
    </cfRule>
    <cfRule type="containsText" dxfId="506" priority="10" operator="containsText" text="白醬">
      <formula>NOT(ISERROR(SEARCH("白醬",A28)))</formula>
    </cfRule>
    <cfRule type="containsText" dxfId="505" priority="11" operator="containsText" text="青蔥">
      <formula>NOT(ISERROR(SEARCH("青蔥",A28)))</formula>
    </cfRule>
    <cfRule type="containsText" dxfId="504" priority="12" operator="containsText" text=")川燙小青花菜">
      <formula>NOT(ISERROR(SEARCH(")川燙小青花菜",A28)))</formula>
    </cfRule>
    <cfRule type="containsText" dxfId="503" priority="13" operator="containsText" text="湯凍">
      <formula>NOT(ISERROR(SEARCH("湯凍",A28)))</formula>
    </cfRule>
    <cfRule type="containsText" dxfId="502" priority="14" operator="containsText" text="中華">
      <formula>NOT(ISERROR(SEARCH("中華",A28)))</formula>
    </cfRule>
  </conditionalFormatting>
  <conditionalFormatting sqref="A28:A37">
    <cfRule type="containsText" dxfId="501" priority="7" operator="containsText" text="綠豆芽">
      <formula>NOT(ISERROR(SEARCH("綠豆芽",A28)))</formula>
    </cfRule>
    <cfRule type="containsText" dxfId="500" priority="8" operator="containsText" text="煮白細麵生(方#12)">
      <formula>NOT(ISERROR(SEARCH("煮白細麵生(方#12)",A28)))</formula>
    </cfRule>
  </conditionalFormatting>
  <conditionalFormatting sqref="H28:H37">
    <cfRule type="cellIs" dxfId="499" priority="6" operator="greaterThan">
      <formula>1.1</formula>
    </cfRule>
  </conditionalFormatting>
  <conditionalFormatting sqref="G5">
    <cfRule type="cellIs" dxfId="498" priority="1" operator="greaterThan">
      <formula>0.0025</formula>
    </cfRule>
    <cfRule type="cellIs" dxfId="497" priority="2" operator="greaterThan">
      <formula>0.0025</formula>
    </cfRule>
    <cfRule type="cellIs" dxfId="496" priority="4" operator="greaterThan">
      <formula>0.072</formula>
    </cfRule>
    <cfRule type="cellIs" dxfId="495" priority="5" operator="greaterThan">
      <formula>7.2</formula>
    </cfRule>
  </conditionalFormatting>
  <conditionalFormatting sqref="G5">
    <cfRule type="cellIs" dxfId="49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A11" zoomScale="70" zoomScaleNormal="70" zoomScaleSheetLayoutView="70" workbookViewId="0">
      <selection activeCell="B20" sqref="B20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53.85546875" bestFit="1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740" t="s">
        <v>92</v>
      </c>
      <c r="B2" s="741"/>
      <c r="C2" s="214" t="s">
        <v>93</v>
      </c>
      <c r="D2" s="742" t="s">
        <v>94</v>
      </c>
      <c r="E2" s="742"/>
      <c r="F2" s="742" t="s">
        <v>95</v>
      </c>
      <c r="G2" s="742"/>
      <c r="H2" s="742" t="s">
        <v>94</v>
      </c>
      <c r="I2" s="742"/>
      <c r="J2" s="742" t="s">
        <v>95</v>
      </c>
      <c r="K2" s="742"/>
      <c r="L2" s="742" t="s">
        <v>94</v>
      </c>
      <c r="M2" s="743"/>
      <c r="R2" s="54"/>
    </row>
    <row r="3" spans="1:18" s="1" customFormat="1" ht="28.5" x14ac:dyDescent="0.45">
      <c r="A3" s="750">
        <v>45882</v>
      </c>
      <c r="B3" s="751"/>
      <c r="C3" s="752">
        <v>5601894.2999999998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750"/>
      <c r="B4" s="751"/>
      <c r="C4" s="752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744" t="s">
        <v>105</v>
      </c>
      <c r="B5" s="745"/>
      <c r="C5" s="745"/>
      <c r="D5" s="215">
        <v>13442.580000000002</v>
      </c>
      <c r="E5" s="5">
        <f>D5/C3</f>
        <v>2.3996489901639169E-3</v>
      </c>
      <c r="F5" s="215">
        <v>48178.07</v>
      </c>
      <c r="G5" s="44">
        <f>F5/C3</f>
        <v>8.6003175747175389E-3</v>
      </c>
      <c r="H5" s="6">
        <f>SUM(C12:C21)</f>
        <v>5323.9699999999993</v>
      </c>
      <c r="I5" s="7">
        <f>H5/D5</f>
        <v>0.3960526922659191</v>
      </c>
      <c r="J5" s="6">
        <f>SUM(C28:C37)</f>
        <v>26653.8</v>
      </c>
      <c r="K5" s="46">
        <f>J5/F5</f>
        <v>0.55323511298812922</v>
      </c>
      <c r="L5" s="8">
        <v>4897.1400000000003</v>
      </c>
      <c r="M5" s="9">
        <f>L5/D5</f>
        <v>0.36430060300924372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635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636</v>
      </c>
      <c r="B8" s="447"/>
      <c r="C8" s="447"/>
      <c r="D8" s="447" t="s">
        <v>637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129</v>
      </c>
      <c r="P8" s="457" t="s">
        <v>638</v>
      </c>
      <c r="Q8" s="456" t="s">
        <v>639</v>
      </c>
      <c r="R8" s="746" t="s">
        <v>131</v>
      </c>
    </row>
    <row r="9" spans="1:18" ht="20.45" customHeight="1" x14ac:dyDescent="0.25">
      <c r="A9" s="747" t="s">
        <v>640</v>
      </c>
      <c r="B9" s="461" t="s">
        <v>641</v>
      </c>
      <c r="C9" s="462"/>
      <c r="D9" s="463" t="s">
        <v>134</v>
      </c>
      <c r="E9" s="463"/>
      <c r="F9" s="463"/>
      <c r="G9" s="463"/>
      <c r="H9" s="463"/>
      <c r="I9" s="463"/>
      <c r="J9" s="464" t="s">
        <v>135</v>
      </c>
      <c r="K9" s="464"/>
      <c r="L9" s="464"/>
      <c r="M9" s="465"/>
      <c r="N9" s="465"/>
      <c r="O9" s="456"/>
      <c r="P9" s="456"/>
      <c r="Q9" s="456"/>
      <c r="R9" s="746"/>
    </row>
    <row r="10" spans="1:18" ht="20.45" customHeight="1" x14ac:dyDescent="0.3">
      <c r="A10" s="748"/>
      <c r="B10" s="753" t="s">
        <v>136</v>
      </c>
      <c r="C10" s="755" t="s">
        <v>642</v>
      </c>
      <c r="D10" s="757" t="s">
        <v>110</v>
      </c>
      <c r="E10" s="757"/>
      <c r="F10" s="757"/>
      <c r="G10" s="757"/>
      <c r="H10" s="757"/>
      <c r="I10" s="757"/>
      <c r="J10" s="758" t="s">
        <v>138</v>
      </c>
      <c r="K10" s="759"/>
      <c r="L10" s="760" t="s">
        <v>643</v>
      </c>
      <c r="M10" s="758"/>
      <c r="N10" s="758"/>
      <c r="O10" s="456"/>
      <c r="P10" s="456"/>
      <c r="Q10" s="456"/>
      <c r="R10" s="746"/>
    </row>
    <row r="11" spans="1:18" s="55" customFormat="1" ht="47.25" customHeight="1" x14ac:dyDescent="0.25">
      <c r="A11" s="749"/>
      <c r="B11" s="754"/>
      <c r="C11" s="756"/>
      <c r="D11" s="216" t="s">
        <v>644</v>
      </c>
      <c r="E11" s="216" t="s">
        <v>645</v>
      </c>
      <c r="F11" s="216" t="s">
        <v>646</v>
      </c>
      <c r="G11" s="216" t="s">
        <v>143</v>
      </c>
      <c r="H11" s="216" t="s">
        <v>647</v>
      </c>
      <c r="I11" s="216" t="s">
        <v>145</v>
      </c>
      <c r="J11" s="217" t="s">
        <v>648</v>
      </c>
      <c r="K11" s="217" t="s">
        <v>649</v>
      </c>
      <c r="L11" s="217" t="s">
        <v>146</v>
      </c>
      <c r="M11" s="217" t="s">
        <v>147</v>
      </c>
      <c r="N11" s="218" t="s">
        <v>650</v>
      </c>
      <c r="O11" s="456"/>
      <c r="P11" s="456"/>
      <c r="Q11" s="456"/>
      <c r="R11" s="746"/>
    </row>
    <row r="12" spans="1:18" s="15" customFormat="1" ht="24.95" customHeight="1" x14ac:dyDescent="0.25">
      <c r="A12" s="219">
        <v>1</v>
      </c>
      <c r="B12" s="10" t="s">
        <v>114</v>
      </c>
      <c r="C12" s="33">
        <v>1286.3699999999999</v>
      </c>
      <c r="D12" s="56">
        <v>38.57</v>
      </c>
      <c r="E12" s="56">
        <v>39.14</v>
      </c>
      <c r="F12" s="56">
        <v>2.85</v>
      </c>
      <c r="G12" s="33">
        <v>814.16</v>
      </c>
      <c r="H12" s="11">
        <f t="shared" ref="H12:H21" si="0">(E12+F12)/D12</f>
        <v>1.0886699507389164</v>
      </c>
      <c r="I12" s="33">
        <v>2784.43</v>
      </c>
      <c r="J12" s="56">
        <v>1.58</v>
      </c>
      <c r="K12" s="12">
        <f t="shared" ref="K12:K21" si="1">J12/D12</f>
        <v>4.0964480165932071E-2</v>
      </c>
      <c r="L12" s="220">
        <f t="shared" ref="L12:L21" si="2">((E12+F12)-D12)-J12</f>
        <v>1.8400000000000016</v>
      </c>
      <c r="M12" s="13">
        <f t="shared" ref="M12:M21" si="3">L12/D12</f>
        <v>4.7705470572984229E-2</v>
      </c>
      <c r="N12" s="221">
        <f t="shared" ref="N12:N21" si="4">L12*G12</f>
        <v>1498.0544000000014</v>
      </c>
      <c r="O12" s="66" t="s">
        <v>584</v>
      </c>
      <c r="P12" s="66" t="s">
        <v>672</v>
      </c>
      <c r="Q12" s="66" t="s">
        <v>589</v>
      </c>
      <c r="R12" s="28" t="s">
        <v>113</v>
      </c>
    </row>
    <row r="13" spans="1:18" s="15" customFormat="1" ht="24.95" customHeight="1" x14ac:dyDescent="0.25">
      <c r="A13" s="222">
        <v>2</v>
      </c>
      <c r="B13" s="10" t="s">
        <v>37</v>
      </c>
      <c r="C13" s="33">
        <v>1180.25</v>
      </c>
      <c r="D13" s="56">
        <v>354.2</v>
      </c>
      <c r="E13" s="56">
        <v>362.92</v>
      </c>
      <c r="F13" s="56">
        <v>22.9</v>
      </c>
      <c r="G13" s="33">
        <v>156.74</v>
      </c>
      <c r="H13" s="11">
        <f t="shared" si="0"/>
        <v>1.0892715979672503</v>
      </c>
      <c r="I13" s="33">
        <v>4956.12</v>
      </c>
      <c r="J13" s="56">
        <v>7.53</v>
      </c>
      <c r="K13" s="12">
        <f t="shared" si="1"/>
        <v>2.1259175607001694E-2</v>
      </c>
      <c r="L13" s="220">
        <f t="shared" si="2"/>
        <v>24.090000000000003</v>
      </c>
      <c r="M13" s="13">
        <f t="shared" si="3"/>
        <v>6.8012422360248459E-2</v>
      </c>
      <c r="N13" s="221">
        <f t="shared" si="4"/>
        <v>3775.8666000000007</v>
      </c>
      <c r="O13" s="66" t="s">
        <v>18</v>
      </c>
      <c r="P13" s="66" t="s">
        <v>673</v>
      </c>
      <c r="Q13" s="66" t="s">
        <v>583</v>
      </c>
      <c r="R13" s="28" t="s">
        <v>25</v>
      </c>
    </row>
    <row r="14" spans="1:18" s="57" customFormat="1" ht="24.95" customHeight="1" x14ac:dyDescent="0.25">
      <c r="A14" s="222">
        <v>3</v>
      </c>
      <c r="B14" s="10" t="s">
        <v>35</v>
      </c>
      <c r="C14" s="33">
        <v>656.26</v>
      </c>
      <c r="D14" s="56">
        <v>94.28</v>
      </c>
      <c r="E14" s="56">
        <v>96.1</v>
      </c>
      <c r="F14" s="56">
        <v>6</v>
      </c>
      <c r="G14" s="33">
        <v>410.16</v>
      </c>
      <c r="H14" s="11">
        <f t="shared" si="0"/>
        <v>1.0829444208739922</v>
      </c>
      <c r="I14" s="33">
        <v>3207.45</v>
      </c>
      <c r="J14" s="56">
        <v>1.6</v>
      </c>
      <c r="K14" s="12">
        <f t="shared" si="1"/>
        <v>1.6970725498515062E-2</v>
      </c>
      <c r="L14" s="220">
        <f t="shared" si="2"/>
        <v>6.2199999999999935</v>
      </c>
      <c r="M14" s="13">
        <f t="shared" si="3"/>
        <v>6.5973695375477232E-2</v>
      </c>
      <c r="N14" s="221">
        <f t="shared" si="4"/>
        <v>2551.1951999999974</v>
      </c>
      <c r="O14" s="66" t="s">
        <v>584</v>
      </c>
      <c r="P14" s="66" t="s">
        <v>672</v>
      </c>
      <c r="Q14" s="66" t="s">
        <v>585</v>
      </c>
      <c r="R14" s="28" t="s">
        <v>25</v>
      </c>
    </row>
    <row r="15" spans="1:18" s="15" customFormat="1" ht="24.95" customHeight="1" x14ac:dyDescent="0.25">
      <c r="A15" s="219">
        <v>4</v>
      </c>
      <c r="B15" s="10" t="s">
        <v>59</v>
      </c>
      <c r="C15" s="33">
        <v>426.95</v>
      </c>
      <c r="D15" s="56">
        <v>98.14</v>
      </c>
      <c r="E15" s="56">
        <v>104.44</v>
      </c>
      <c r="F15" s="56">
        <v>0</v>
      </c>
      <c r="G15" s="33">
        <v>135.54</v>
      </c>
      <c r="H15" s="11">
        <f t="shared" si="0"/>
        <v>1.0641940085592012</v>
      </c>
      <c r="I15" s="33">
        <v>853.9</v>
      </c>
      <c r="J15" s="56">
        <v>3.15</v>
      </c>
      <c r="K15" s="12">
        <f t="shared" si="1"/>
        <v>3.209700427960057E-2</v>
      </c>
      <c r="L15" s="220">
        <f t="shared" si="2"/>
        <v>3.1499999999999972</v>
      </c>
      <c r="M15" s="13">
        <f t="shared" si="3"/>
        <v>3.2097004279600543E-2</v>
      </c>
      <c r="N15" s="221">
        <f t="shared" si="4"/>
        <v>426.95099999999962</v>
      </c>
      <c r="O15" s="66" t="s">
        <v>584</v>
      </c>
      <c r="P15" s="66" t="s">
        <v>672</v>
      </c>
      <c r="Q15" s="66" t="s">
        <v>585</v>
      </c>
      <c r="R15" s="28" t="s">
        <v>25</v>
      </c>
    </row>
    <row r="16" spans="1:18" s="57" customFormat="1" ht="24.95" customHeight="1" x14ac:dyDescent="0.25">
      <c r="A16" s="222">
        <v>5</v>
      </c>
      <c r="B16" s="10" t="s">
        <v>43</v>
      </c>
      <c r="C16" s="33">
        <v>396.13</v>
      </c>
      <c r="D16" s="56">
        <v>34.79</v>
      </c>
      <c r="E16" s="56">
        <v>42.59</v>
      </c>
      <c r="F16" s="56">
        <v>0</v>
      </c>
      <c r="G16" s="33">
        <v>113.18</v>
      </c>
      <c r="H16" s="11">
        <f t="shared" si="0"/>
        <v>1.2242023569991378</v>
      </c>
      <c r="I16" s="33">
        <v>882.8</v>
      </c>
      <c r="J16" s="56">
        <v>3.5</v>
      </c>
      <c r="K16" s="12">
        <f t="shared" si="1"/>
        <v>0.1006036217303823</v>
      </c>
      <c r="L16" s="220">
        <f t="shared" si="2"/>
        <v>4.3000000000000043</v>
      </c>
      <c r="M16" s="13">
        <f t="shared" si="3"/>
        <v>0.12359873526875552</v>
      </c>
      <c r="N16" s="221">
        <f t="shared" si="4"/>
        <v>486.67400000000049</v>
      </c>
      <c r="O16" s="66" t="s">
        <v>584</v>
      </c>
      <c r="P16" s="66" t="s">
        <v>672</v>
      </c>
      <c r="Q16" s="66" t="s">
        <v>585</v>
      </c>
      <c r="R16" s="28" t="s">
        <v>89</v>
      </c>
    </row>
    <row r="17" spans="1:18" s="15" customFormat="1" ht="24.95" customHeight="1" x14ac:dyDescent="0.25">
      <c r="A17" s="219">
        <v>6</v>
      </c>
      <c r="B17" s="10" t="s">
        <v>38</v>
      </c>
      <c r="C17" s="33">
        <v>336.02</v>
      </c>
      <c r="D17" s="56">
        <v>220.99</v>
      </c>
      <c r="E17" s="56">
        <v>207.19</v>
      </c>
      <c r="F17" s="56">
        <v>20.5</v>
      </c>
      <c r="G17" s="33">
        <v>99.12</v>
      </c>
      <c r="H17" s="11">
        <f t="shared" si="0"/>
        <v>1.0303181139418072</v>
      </c>
      <c r="I17" s="33">
        <v>664.1</v>
      </c>
      <c r="J17" s="56">
        <v>3.39</v>
      </c>
      <c r="K17" s="12">
        <f t="shared" si="1"/>
        <v>1.5340060636227884E-2</v>
      </c>
      <c r="L17" s="220">
        <f t="shared" si="2"/>
        <v>3.3099999999999885</v>
      </c>
      <c r="M17" s="13">
        <f t="shared" si="3"/>
        <v>1.4978053305579385E-2</v>
      </c>
      <c r="N17" s="221">
        <f t="shared" si="4"/>
        <v>328.08719999999886</v>
      </c>
      <c r="O17" s="66" t="s">
        <v>584</v>
      </c>
      <c r="P17" s="66" t="s">
        <v>672</v>
      </c>
      <c r="Q17" s="66" t="s">
        <v>585</v>
      </c>
      <c r="R17" s="28" t="s">
        <v>25</v>
      </c>
    </row>
    <row r="18" spans="1:18" s="57" customFormat="1" ht="24.95" customHeight="1" x14ac:dyDescent="0.25">
      <c r="A18" s="222">
        <v>7</v>
      </c>
      <c r="B18" s="10" t="s">
        <v>108</v>
      </c>
      <c r="C18" s="33">
        <v>285.58</v>
      </c>
      <c r="D18" s="56">
        <v>48.36</v>
      </c>
      <c r="E18" s="56">
        <v>53.36</v>
      </c>
      <c r="F18" s="56">
        <v>0</v>
      </c>
      <c r="G18" s="33">
        <v>118.99</v>
      </c>
      <c r="H18" s="11">
        <f t="shared" si="0"/>
        <v>1.1033912324234905</v>
      </c>
      <c r="I18" s="33">
        <v>594.95000000000005</v>
      </c>
      <c r="J18" s="56">
        <v>2.4</v>
      </c>
      <c r="K18" s="12">
        <f t="shared" si="1"/>
        <v>4.9627791563275431E-2</v>
      </c>
      <c r="L18" s="220">
        <f t="shared" si="2"/>
        <v>2.6</v>
      </c>
      <c r="M18" s="13">
        <f t="shared" si="3"/>
        <v>5.3763440860215055E-2</v>
      </c>
      <c r="N18" s="221">
        <f t="shared" si="4"/>
        <v>309.37400000000002</v>
      </c>
      <c r="O18" s="66" t="s">
        <v>584</v>
      </c>
      <c r="P18" s="66" t="s">
        <v>672</v>
      </c>
      <c r="Q18" s="66" t="s">
        <v>585</v>
      </c>
      <c r="R18" s="28" t="s">
        <v>51</v>
      </c>
    </row>
    <row r="19" spans="1:18" s="15" customFormat="1" ht="24.95" customHeight="1" x14ac:dyDescent="0.25">
      <c r="A19" s="219">
        <v>8</v>
      </c>
      <c r="B19" s="10" t="s">
        <v>512</v>
      </c>
      <c r="C19" s="33">
        <v>274.64999999999998</v>
      </c>
      <c r="D19" s="56">
        <v>56.27</v>
      </c>
      <c r="E19" s="56">
        <v>63.97</v>
      </c>
      <c r="F19" s="56">
        <v>0</v>
      </c>
      <c r="G19" s="33">
        <v>74.23</v>
      </c>
      <c r="H19" s="11">
        <f t="shared" si="0"/>
        <v>1.1368402345832591</v>
      </c>
      <c r="I19" s="33">
        <v>571.57000000000005</v>
      </c>
      <c r="J19" s="56">
        <v>3.7</v>
      </c>
      <c r="K19" s="12">
        <f t="shared" si="1"/>
        <v>6.5754398436111611E-2</v>
      </c>
      <c r="L19" s="220">
        <f t="shared" si="2"/>
        <v>3.9999999999999956</v>
      </c>
      <c r="M19" s="13">
        <f t="shared" si="3"/>
        <v>7.1085836147147599E-2</v>
      </c>
      <c r="N19" s="221">
        <f t="shared" si="4"/>
        <v>296.91999999999967</v>
      </c>
      <c r="O19" s="66" t="s">
        <v>18</v>
      </c>
      <c r="P19" s="66" t="s">
        <v>673</v>
      </c>
      <c r="Q19" s="66" t="s">
        <v>590</v>
      </c>
      <c r="R19" s="28" t="s">
        <v>74</v>
      </c>
    </row>
    <row r="20" spans="1:18" s="15" customFormat="1" ht="24.95" customHeight="1" x14ac:dyDescent="0.25">
      <c r="A20" s="222">
        <v>9</v>
      </c>
      <c r="B20" s="10" t="s">
        <v>46</v>
      </c>
      <c r="C20" s="33">
        <v>263.33999999999997</v>
      </c>
      <c r="D20" s="56">
        <v>22.53</v>
      </c>
      <c r="E20" s="56">
        <v>20.309999999999999</v>
      </c>
      <c r="F20" s="56">
        <v>2.75</v>
      </c>
      <c r="G20" s="33">
        <v>1012.86</v>
      </c>
      <c r="H20" s="11">
        <f t="shared" si="0"/>
        <v>1.0235241899689302</v>
      </c>
      <c r="I20" s="33">
        <v>536.82000000000005</v>
      </c>
      <c r="J20" s="56">
        <v>0.26</v>
      </c>
      <c r="K20" s="12">
        <f t="shared" si="1"/>
        <v>1.154016866400355E-2</v>
      </c>
      <c r="L20" s="220">
        <f t="shared" si="2"/>
        <v>0.26999999999999758</v>
      </c>
      <c r="M20" s="13">
        <f t="shared" si="3"/>
        <v>1.1984021304926656E-2</v>
      </c>
      <c r="N20" s="221">
        <f t="shared" si="4"/>
        <v>273.47219999999754</v>
      </c>
      <c r="O20" s="66" t="s">
        <v>584</v>
      </c>
      <c r="P20" s="66" t="s">
        <v>672</v>
      </c>
      <c r="Q20" s="66" t="s">
        <v>589</v>
      </c>
      <c r="R20" s="28" t="s">
        <v>76</v>
      </c>
    </row>
    <row r="21" spans="1:18" s="15" customFormat="1" ht="24.95" customHeight="1" thickBot="1" x14ac:dyDescent="0.3">
      <c r="A21" s="223">
        <v>10</v>
      </c>
      <c r="B21" s="16" t="s">
        <v>86</v>
      </c>
      <c r="C21" s="34">
        <v>218.42</v>
      </c>
      <c r="D21" s="58">
        <v>8.8000000000000007</v>
      </c>
      <c r="E21" s="58">
        <v>11.39</v>
      </c>
      <c r="F21" s="58">
        <v>0</v>
      </c>
      <c r="G21" s="34">
        <v>169.32</v>
      </c>
      <c r="H21" s="17">
        <f t="shared" si="0"/>
        <v>1.2943181818181817</v>
      </c>
      <c r="I21" s="34">
        <v>438.54</v>
      </c>
      <c r="J21" s="58">
        <v>1.29</v>
      </c>
      <c r="K21" s="18">
        <f t="shared" si="1"/>
        <v>0.14659090909090908</v>
      </c>
      <c r="L21" s="224">
        <f t="shared" si="2"/>
        <v>1.2999999999999998</v>
      </c>
      <c r="M21" s="19">
        <f t="shared" si="3"/>
        <v>0.14772727272727271</v>
      </c>
      <c r="N21" s="225">
        <f t="shared" si="4"/>
        <v>220.11599999999996</v>
      </c>
      <c r="O21" s="64" t="s">
        <v>19</v>
      </c>
      <c r="P21" s="64" t="s">
        <v>675</v>
      </c>
      <c r="Q21" s="64" t="s">
        <v>586</v>
      </c>
      <c r="R21" s="29" t="s">
        <v>120</v>
      </c>
    </row>
    <row r="22" spans="1:18" s="62" customFormat="1" ht="24.95" customHeight="1" thickBot="1" x14ac:dyDescent="0.3">
      <c r="A22" s="226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27"/>
      <c r="M22" s="30"/>
      <c r="N22" s="228"/>
      <c r="O22" s="61"/>
      <c r="P22" s="61"/>
      <c r="Q22" s="61"/>
      <c r="R22" s="59"/>
    </row>
    <row r="23" spans="1:18" s="62" customFormat="1" ht="40.5" customHeight="1" x14ac:dyDescent="0.25">
      <c r="A23" s="443" t="s">
        <v>651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636</v>
      </c>
      <c r="B24" s="447"/>
      <c r="C24" s="447"/>
      <c r="D24" s="447" t="s">
        <v>128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652</v>
      </c>
      <c r="P24" s="457" t="s">
        <v>653</v>
      </c>
      <c r="Q24" s="456" t="s">
        <v>654</v>
      </c>
      <c r="R24" s="746" t="s">
        <v>131</v>
      </c>
    </row>
    <row r="25" spans="1:18" s="62" customFormat="1" ht="24.95" customHeight="1" x14ac:dyDescent="0.25">
      <c r="A25" s="747" t="s">
        <v>655</v>
      </c>
      <c r="B25" s="461" t="s">
        <v>133</v>
      </c>
      <c r="C25" s="462"/>
      <c r="D25" s="463" t="s">
        <v>656</v>
      </c>
      <c r="E25" s="463"/>
      <c r="F25" s="463"/>
      <c r="G25" s="463"/>
      <c r="H25" s="463"/>
      <c r="I25" s="463"/>
      <c r="J25" s="464" t="s">
        <v>657</v>
      </c>
      <c r="K25" s="464"/>
      <c r="L25" s="464"/>
      <c r="M25" s="465"/>
      <c r="N25" s="465"/>
      <c r="O25" s="456"/>
      <c r="P25" s="456"/>
      <c r="Q25" s="456"/>
      <c r="R25" s="746"/>
    </row>
    <row r="26" spans="1:18" s="62" customFormat="1" ht="24.95" customHeight="1" x14ac:dyDescent="0.3">
      <c r="A26" s="748"/>
      <c r="B26" s="753" t="s">
        <v>658</v>
      </c>
      <c r="C26" s="755" t="s">
        <v>158</v>
      </c>
      <c r="D26" s="757" t="s">
        <v>110</v>
      </c>
      <c r="E26" s="757"/>
      <c r="F26" s="757"/>
      <c r="G26" s="757"/>
      <c r="H26" s="757"/>
      <c r="I26" s="757"/>
      <c r="J26" s="758" t="s">
        <v>138</v>
      </c>
      <c r="K26" s="761"/>
      <c r="L26" s="759"/>
      <c r="M26" s="758" t="s">
        <v>659</v>
      </c>
      <c r="N26" s="759"/>
      <c r="O26" s="456"/>
      <c r="P26" s="456"/>
      <c r="Q26" s="456"/>
      <c r="R26" s="746"/>
    </row>
    <row r="27" spans="1:18" s="62" customFormat="1" ht="50.1" customHeight="1" x14ac:dyDescent="0.25">
      <c r="A27" s="749"/>
      <c r="B27" s="754"/>
      <c r="C27" s="756"/>
      <c r="D27" s="216" t="s">
        <v>140</v>
      </c>
      <c r="E27" s="216" t="s">
        <v>141</v>
      </c>
      <c r="F27" s="216" t="s">
        <v>660</v>
      </c>
      <c r="G27" s="216" t="s">
        <v>143</v>
      </c>
      <c r="H27" s="216" t="s">
        <v>144</v>
      </c>
      <c r="I27" s="216" t="s">
        <v>661</v>
      </c>
      <c r="J27" s="217" t="s">
        <v>146</v>
      </c>
      <c r="K27" s="217" t="s">
        <v>662</v>
      </c>
      <c r="L27" s="218" t="s">
        <v>149</v>
      </c>
      <c r="M27" s="217" t="s">
        <v>663</v>
      </c>
      <c r="N27" s="217" t="s">
        <v>664</v>
      </c>
      <c r="O27" s="456"/>
      <c r="P27" s="456"/>
      <c r="Q27" s="456"/>
      <c r="R27" s="746"/>
    </row>
    <row r="28" spans="1:18" s="62" customFormat="1" ht="24.95" customHeight="1" x14ac:dyDescent="0.25">
      <c r="A28" s="219">
        <v>1</v>
      </c>
      <c r="B28" s="10" t="s">
        <v>52</v>
      </c>
      <c r="C28" s="33">
        <v>4043.1700000000005</v>
      </c>
      <c r="D28" s="56">
        <v>317.45999999999998</v>
      </c>
      <c r="E28" s="56">
        <v>349.2</v>
      </c>
      <c r="F28" s="56">
        <v>0</v>
      </c>
      <c r="G28" s="33">
        <v>133.88</v>
      </c>
      <c r="H28" s="35">
        <f t="shared" ref="H28:H37" si="5">(E28+F28)/D28</f>
        <v>1.0999810999810999</v>
      </c>
      <c r="I28" s="33">
        <v>4249.3500000000004</v>
      </c>
      <c r="J28" s="56">
        <v>1.54</v>
      </c>
      <c r="K28" s="12">
        <f t="shared" ref="K28:K37" si="6">J28/D28</f>
        <v>4.8510048510048516E-3</v>
      </c>
      <c r="L28" s="221">
        <f t="shared" ref="L28:L37" si="7">J28*G28</f>
        <v>206.17519999999999</v>
      </c>
      <c r="M28" s="220">
        <f t="shared" ref="M28:M37" si="8">((E28+F28)-D28)-J28</f>
        <v>30.20000000000001</v>
      </c>
      <c r="N28" s="13">
        <f t="shared" ref="N28:N37" si="9">M28/D28</f>
        <v>9.5130095130095169E-2</v>
      </c>
      <c r="O28" s="69" t="s">
        <v>22</v>
      </c>
      <c r="P28" s="66" t="s">
        <v>672</v>
      </c>
      <c r="Q28" s="14" t="s">
        <v>677</v>
      </c>
      <c r="R28" s="28" t="s">
        <v>77</v>
      </c>
    </row>
    <row r="29" spans="1:18" s="62" customFormat="1" ht="24.75" customHeight="1" x14ac:dyDescent="0.25">
      <c r="A29" s="222">
        <v>2</v>
      </c>
      <c r="B29" s="10" t="s">
        <v>37</v>
      </c>
      <c r="C29" s="33">
        <v>3775.87</v>
      </c>
      <c r="D29" s="56">
        <v>354.2</v>
      </c>
      <c r="E29" s="56">
        <v>362.92</v>
      </c>
      <c r="F29" s="56">
        <v>22.9</v>
      </c>
      <c r="G29" s="33">
        <v>156.74</v>
      </c>
      <c r="H29" s="35">
        <f t="shared" si="5"/>
        <v>1.0892715979672503</v>
      </c>
      <c r="I29" s="33">
        <v>4956.12</v>
      </c>
      <c r="J29" s="56">
        <v>7.53</v>
      </c>
      <c r="K29" s="12">
        <f t="shared" si="6"/>
        <v>2.1259175607001694E-2</v>
      </c>
      <c r="L29" s="221">
        <f t="shared" si="7"/>
        <v>1180.2522000000001</v>
      </c>
      <c r="M29" s="220">
        <f t="shared" si="8"/>
        <v>24.090000000000003</v>
      </c>
      <c r="N29" s="13">
        <f t="shared" si="9"/>
        <v>6.8012422360248459E-2</v>
      </c>
      <c r="O29" s="69" t="s">
        <v>22</v>
      </c>
      <c r="P29" s="66" t="s">
        <v>672</v>
      </c>
      <c r="Q29" s="14" t="s">
        <v>67</v>
      </c>
      <c r="R29" s="28" t="s">
        <v>25</v>
      </c>
    </row>
    <row r="30" spans="1:18" s="62" customFormat="1" ht="24.95" customHeight="1" x14ac:dyDescent="0.25">
      <c r="A30" s="222">
        <v>3</v>
      </c>
      <c r="B30" s="10" t="s">
        <v>47</v>
      </c>
      <c r="C30" s="33">
        <v>3293.83</v>
      </c>
      <c r="D30" s="56">
        <v>46.52</v>
      </c>
      <c r="E30" s="56">
        <v>50.94</v>
      </c>
      <c r="F30" s="56">
        <v>5.8</v>
      </c>
      <c r="G30" s="33">
        <v>342.75</v>
      </c>
      <c r="H30" s="35">
        <f t="shared" si="5"/>
        <v>1.2196904557179706</v>
      </c>
      <c r="I30" s="33">
        <v>3502.91</v>
      </c>
      <c r="J30" s="32">
        <v>0.61</v>
      </c>
      <c r="K30" s="12">
        <f t="shared" si="6"/>
        <v>1.3112639724849526E-2</v>
      </c>
      <c r="L30" s="221">
        <f t="shared" si="7"/>
        <v>209.07749999999999</v>
      </c>
      <c r="M30" s="220">
        <f t="shared" si="8"/>
        <v>9.6099999999999923</v>
      </c>
      <c r="N30" s="13">
        <f t="shared" si="9"/>
        <v>0.20657781599312106</v>
      </c>
      <c r="O30" s="69" t="s">
        <v>22</v>
      </c>
      <c r="P30" s="66" t="s">
        <v>672</v>
      </c>
      <c r="Q30" s="14" t="s">
        <v>67</v>
      </c>
      <c r="R30" s="28" t="s">
        <v>73</v>
      </c>
    </row>
    <row r="31" spans="1:18" s="62" customFormat="1" ht="24.95" customHeight="1" x14ac:dyDescent="0.25">
      <c r="A31" s="219">
        <v>4</v>
      </c>
      <c r="B31" s="10" t="s">
        <v>35</v>
      </c>
      <c r="C31" s="33">
        <v>2551.1899999999996</v>
      </c>
      <c r="D31" s="56">
        <v>94.28</v>
      </c>
      <c r="E31" s="56">
        <v>96.1</v>
      </c>
      <c r="F31" s="56">
        <v>6</v>
      </c>
      <c r="G31" s="33">
        <v>410.16</v>
      </c>
      <c r="H31" s="35">
        <f t="shared" si="5"/>
        <v>1.0829444208739922</v>
      </c>
      <c r="I31" s="33">
        <v>3207.45</v>
      </c>
      <c r="J31" s="56">
        <v>1.6</v>
      </c>
      <c r="K31" s="12">
        <f t="shared" si="6"/>
        <v>1.6970725498515062E-2</v>
      </c>
      <c r="L31" s="221">
        <f t="shared" si="7"/>
        <v>656.25600000000009</v>
      </c>
      <c r="M31" s="220">
        <f t="shared" si="8"/>
        <v>6.2199999999999935</v>
      </c>
      <c r="N31" s="13">
        <f t="shared" si="9"/>
        <v>6.5973695375477232E-2</v>
      </c>
      <c r="O31" s="69" t="s">
        <v>22</v>
      </c>
      <c r="P31" s="66" t="s">
        <v>672</v>
      </c>
      <c r="Q31" s="14" t="s">
        <v>67</v>
      </c>
      <c r="R31" s="28" t="s">
        <v>25</v>
      </c>
    </row>
    <row r="32" spans="1:18" s="62" customFormat="1" ht="24.95" customHeight="1" x14ac:dyDescent="0.25">
      <c r="A32" s="222">
        <v>5</v>
      </c>
      <c r="B32" s="10" t="s">
        <v>58</v>
      </c>
      <c r="C32" s="33">
        <v>2482.4300000000003</v>
      </c>
      <c r="D32" s="56">
        <v>71.92</v>
      </c>
      <c r="E32" s="56">
        <v>72.3</v>
      </c>
      <c r="F32" s="56">
        <v>7</v>
      </c>
      <c r="G32" s="33">
        <v>365.6</v>
      </c>
      <c r="H32" s="35">
        <f t="shared" si="5"/>
        <v>1.1026140155728588</v>
      </c>
      <c r="I32" s="33">
        <v>2698.13</v>
      </c>
      <c r="J32" s="56">
        <v>0.59</v>
      </c>
      <c r="K32" s="12">
        <f t="shared" si="6"/>
        <v>8.2035595105672959E-3</v>
      </c>
      <c r="L32" s="221">
        <f t="shared" si="7"/>
        <v>215.70400000000001</v>
      </c>
      <c r="M32" s="220">
        <f t="shared" si="8"/>
        <v>6.7899999999999956</v>
      </c>
      <c r="N32" s="13">
        <f t="shared" si="9"/>
        <v>9.441045606229137E-2</v>
      </c>
      <c r="O32" s="69" t="s">
        <v>22</v>
      </c>
      <c r="P32" s="66" t="s">
        <v>672</v>
      </c>
      <c r="Q32" s="14" t="s">
        <v>67</v>
      </c>
      <c r="R32" s="28" t="s">
        <v>57</v>
      </c>
    </row>
    <row r="33" spans="1:18" s="62" customFormat="1" ht="24.95" customHeight="1" x14ac:dyDescent="0.25">
      <c r="A33" s="219">
        <v>6</v>
      </c>
      <c r="B33" s="10" t="s">
        <v>41</v>
      </c>
      <c r="C33" s="33">
        <v>2346.7000000000003</v>
      </c>
      <c r="D33" s="56">
        <v>138.91</v>
      </c>
      <c r="E33" s="56">
        <v>139.22</v>
      </c>
      <c r="F33" s="56">
        <v>19.8</v>
      </c>
      <c r="G33" s="33">
        <v>127.4</v>
      </c>
      <c r="H33" s="35">
        <f t="shared" si="5"/>
        <v>1.1447699949607661</v>
      </c>
      <c r="I33" s="33">
        <v>2562.0100000000002</v>
      </c>
      <c r="J33" s="56">
        <v>1.69</v>
      </c>
      <c r="K33" s="12">
        <f t="shared" si="6"/>
        <v>1.2166150745086746E-2</v>
      </c>
      <c r="L33" s="221">
        <f t="shared" si="7"/>
        <v>215.30600000000001</v>
      </c>
      <c r="M33" s="220">
        <f t="shared" si="8"/>
        <v>18.420000000000012</v>
      </c>
      <c r="N33" s="13">
        <f t="shared" si="9"/>
        <v>0.13260384421567931</v>
      </c>
      <c r="O33" s="69" t="s">
        <v>22</v>
      </c>
      <c r="P33" s="66" t="s">
        <v>672</v>
      </c>
      <c r="Q33" s="14" t="s">
        <v>84</v>
      </c>
      <c r="R33" s="28" t="s">
        <v>25</v>
      </c>
    </row>
    <row r="34" spans="1:18" s="62" customFormat="1" ht="24.95" customHeight="1" x14ac:dyDescent="0.25">
      <c r="A34" s="222">
        <v>7</v>
      </c>
      <c r="B34" s="10" t="s">
        <v>68</v>
      </c>
      <c r="C34" s="33">
        <v>2115.37</v>
      </c>
      <c r="D34" s="56">
        <v>33.99</v>
      </c>
      <c r="E34" s="56">
        <v>41.9</v>
      </c>
      <c r="F34" s="56">
        <v>0</v>
      </c>
      <c r="G34" s="33">
        <v>294.62</v>
      </c>
      <c r="H34" s="35">
        <f t="shared" si="5"/>
        <v>1.2327155045601645</v>
      </c>
      <c r="I34" s="33">
        <v>2330.44</v>
      </c>
      <c r="J34" s="56">
        <v>0.73</v>
      </c>
      <c r="K34" s="12">
        <f t="shared" si="6"/>
        <v>2.1476904972050601E-2</v>
      </c>
      <c r="L34" s="221">
        <f t="shared" si="7"/>
        <v>215.07259999999999</v>
      </c>
      <c r="M34" s="220">
        <f t="shared" si="8"/>
        <v>7.1799999999999962</v>
      </c>
      <c r="N34" s="13">
        <f t="shared" si="9"/>
        <v>0.21123859958811403</v>
      </c>
      <c r="O34" s="69" t="s">
        <v>18</v>
      </c>
      <c r="P34" s="66" t="s">
        <v>673</v>
      </c>
      <c r="Q34" s="14" t="s">
        <v>678</v>
      </c>
      <c r="R34" s="28" t="s">
        <v>25</v>
      </c>
    </row>
    <row r="35" spans="1:18" s="62" customFormat="1" ht="24.95" customHeight="1" x14ac:dyDescent="0.25">
      <c r="A35" s="219">
        <v>8</v>
      </c>
      <c r="B35" s="10" t="s">
        <v>31</v>
      </c>
      <c r="C35" s="33">
        <v>2057.69</v>
      </c>
      <c r="D35" s="56">
        <v>20.64</v>
      </c>
      <c r="E35" s="56">
        <v>23.85</v>
      </c>
      <c r="F35" s="56">
        <v>4.95</v>
      </c>
      <c r="G35" s="33">
        <v>278.82</v>
      </c>
      <c r="H35" s="35">
        <f t="shared" si="5"/>
        <v>1.3953488372093024</v>
      </c>
      <c r="I35" s="33">
        <v>2275.17</v>
      </c>
      <c r="J35" s="56">
        <v>0.78</v>
      </c>
      <c r="K35" s="12">
        <f t="shared" si="6"/>
        <v>3.7790697674418602E-2</v>
      </c>
      <c r="L35" s="221">
        <f t="shared" si="7"/>
        <v>217.4796</v>
      </c>
      <c r="M35" s="220">
        <f t="shared" si="8"/>
        <v>7.38</v>
      </c>
      <c r="N35" s="13">
        <f t="shared" si="9"/>
        <v>0.35755813953488369</v>
      </c>
      <c r="O35" s="69" t="s">
        <v>22</v>
      </c>
      <c r="P35" s="66" t="s">
        <v>672</v>
      </c>
      <c r="Q35" s="14" t="s">
        <v>65</v>
      </c>
      <c r="R35" s="28" t="s">
        <v>25</v>
      </c>
    </row>
    <row r="36" spans="1:18" s="62" customFormat="1" ht="24.95" customHeight="1" x14ac:dyDescent="0.25">
      <c r="A36" s="222">
        <v>9</v>
      </c>
      <c r="B36" s="10" t="s">
        <v>665</v>
      </c>
      <c r="C36" s="33">
        <v>2017.71</v>
      </c>
      <c r="D36" s="56">
        <v>480.4</v>
      </c>
      <c r="E36" s="56">
        <v>481.97</v>
      </c>
      <c r="F36" s="56">
        <v>26</v>
      </c>
      <c r="G36" s="33">
        <v>81</v>
      </c>
      <c r="H36" s="35">
        <f t="shared" si="5"/>
        <v>1.057389675270608</v>
      </c>
      <c r="I36" s="33">
        <v>2233.17</v>
      </c>
      <c r="J36" s="56">
        <v>2.66</v>
      </c>
      <c r="K36" s="12">
        <f t="shared" si="6"/>
        <v>5.5370524562864286E-3</v>
      </c>
      <c r="L36" s="221">
        <f t="shared" si="7"/>
        <v>215.46</v>
      </c>
      <c r="M36" s="220">
        <f t="shared" si="8"/>
        <v>24.91000000000005</v>
      </c>
      <c r="N36" s="13">
        <f t="shared" si="9"/>
        <v>5.1852622814321507E-2</v>
      </c>
      <c r="O36" s="69" t="s">
        <v>22</v>
      </c>
      <c r="P36" s="66" t="s">
        <v>672</v>
      </c>
      <c r="Q36" s="14" t="s">
        <v>84</v>
      </c>
      <c r="R36" s="28" t="s">
        <v>25</v>
      </c>
    </row>
    <row r="37" spans="1:18" s="62" customFormat="1" ht="24.95" customHeight="1" thickBot="1" x14ac:dyDescent="0.3">
      <c r="A37" s="223">
        <v>10</v>
      </c>
      <c r="B37" s="16" t="s">
        <v>63</v>
      </c>
      <c r="C37" s="34">
        <v>1969.84</v>
      </c>
      <c r="D37" s="58">
        <v>53.29</v>
      </c>
      <c r="E37" s="58">
        <v>53.32</v>
      </c>
      <c r="F37" s="58">
        <v>9.4499999999999993</v>
      </c>
      <c r="G37" s="34">
        <v>230.66</v>
      </c>
      <c r="H37" s="36">
        <f t="shared" si="5"/>
        <v>1.1778945393131919</v>
      </c>
      <c r="I37" s="34">
        <v>2186.66</v>
      </c>
      <c r="J37" s="58">
        <v>0.94</v>
      </c>
      <c r="K37" s="18">
        <f t="shared" si="6"/>
        <v>1.7639331957215235E-2</v>
      </c>
      <c r="L37" s="225">
        <f t="shared" si="7"/>
        <v>216.82039999999998</v>
      </c>
      <c r="M37" s="224">
        <f t="shared" si="8"/>
        <v>8.5399999999999974</v>
      </c>
      <c r="N37" s="19">
        <f t="shared" si="9"/>
        <v>0.16025520735597668</v>
      </c>
      <c r="O37" s="52" t="s">
        <v>22</v>
      </c>
      <c r="P37" s="64" t="s">
        <v>672</v>
      </c>
      <c r="Q37" s="20" t="s">
        <v>84</v>
      </c>
      <c r="R37" s="65" t="s">
        <v>25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666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667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762" t="s">
        <v>132</v>
      </c>
      <c r="B41" s="450" t="s">
        <v>668</v>
      </c>
      <c r="C41" s="450"/>
      <c r="D41" s="451"/>
      <c r="E41" s="23"/>
      <c r="G41" s="21"/>
      <c r="H41" s="22"/>
    </row>
    <row r="42" spans="1:18" ht="20.45" customHeight="1" x14ac:dyDescent="0.35">
      <c r="A42" s="762"/>
      <c r="B42" s="763" t="s">
        <v>658</v>
      </c>
      <c r="C42" s="764" t="s">
        <v>137</v>
      </c>
      <c r="D42" s="746" t="s">
        <v>174</v>
      </c>
      <c r="E42" s="23"/>
      <c r="G42" s="21"/>
      <c r="H42" s="22"/>
    </row>
    <row r="43" spans="1:18" ht="20.45" customHeight="1" x14ac:dyDescent="0.35">
      <c r="A43" s="762"/>
      <c r="B43" s="763"/>
      <c r="C43" s="764"/>
      <c r="D43" s="746"/>
      <c r="E43" s="23"/>
      <c r="G43" s="21"/>
      <c r="H43" s="22"/>
    </row>
    <row r="44" spans="1:18" s="26" customFormat="1" ht="24.95" customHeight="1" x14ac:dyDescent="0.35">
      <c r="A44" s="229">
        <v>1</v>
      </c>
      <c r="B44" s="10" t="s">
        <v>37</v>
      </c>
      <c r="C44" s="33">
        <v>1180.25</v>
      </c>
      <c r="D44" s="24">
        <f t="shared" ref="D44:D53" si="10">C44/$L$5</f>
        <v>0.24100801692416388</v>
      </c>
      <c r="E44" s="25"/>
      <c r="G44" s="21"/>
      <c r="H44" s="22"/>
    </row>
    <row r="45" spans="1:18" s="26" customFormat="1" ht="24.95" customHeight="1" x14ac:dyDescent="0.35">
      <c r="A45" s="230">
        <v>2</v>
      </c>
      <c r="B45" s="10" t="s">
        <v>35</v>
      </c>
      <c r="C45" s="33">
        <v>656.26</v>
      </c>
      <c r="D45" s="24">
        <f t="shared" si="10"/>
        <v>0.13400882964342453</v>
      </c>
      <c r="E45" s="25"/>
      <c r="G45" s="21"/>
      <c r="H45" s="22"/>
    </row>
    <row r="46" spans="1:18" s="26" customFormat="1" ht="24.95" customHeight="1" x14ac:dyDescent="0.35">
      <c r="A46" s="230">
        <v>3</v>
      </c>
      <c r="B46" s="10" t="s">
        <v>59</v>
      </c>
      <c r="C46" s="33">
        <v>426.95</v>
      </c>
      <c r="D46" s="24">
        <f t="shared" si="10"/>
        <v>8.7183539780361585E-2</v>
      </c>
      <c r="E46" s="25"/>
      <c r="G46" s="21"/>
      <c r="H46" s="22"/>
    </row>
    <row r="47" spans="1:18" s="26" customFormat="1" ht="24.95" customHeight="1" x14ac:dyDescent="0.35">
      <c r="A47" s="229">
        <v>4</v>
      </c>
      <c r="B47" s="10" t="s">
        <v>38</v>
      </c>
      <c r="C47" s="33">
        <v>336.02</v>
      </c>
      <c r="D47" s="24">
        <f t="shared" si="10"/>
        <v>6.8615559285623851E-2</v>
      </c>
      <c r="E47" s="25"/>
      <c r="G47" s="21"/>
      <c r="H47" s="22"/>
    </row>
    <row r="48" spans="1:18" s="26" customFormat="1" ht="24.95" customHeight="1" x14ac:dyDescent="0.35">
      <c r="A48" s="230">
        <v>5</v>
      </c>
      <c r="B48" s="10" t="s">
        <v>31</v>
      </c>
      <c r="C48" s="33">
        <v>217.48</v>
      </c>
      <c r="D48" s="24">
        <f t="shared" si="10"/>
        <v>4.4409594171291811E-2</v>
      </c>
      <c r="E48" s="25"/>
      <c r="G48" s="21"/>
      <c r="H48" s="22"/>
    </row>
    <row r="49" spans="1:5" s="26" customFormat="1" ht="24.95" customHeight="1" x14ac:dyDescent="0.25">
      <c r="A49" s="229">
        <v>6</v>
      </c>
      <c r="B49" s="10" t="s">
        <v>32</v>
      </c>
      <c r="C49" s="33">
        <v>217.15</v>
      </c>
      <c r="D49" s="24">
        <f t="shared" si="10"/>
        <v>4.4342207900938096E-2</v>
      </c>
      <c r="E49" s="25"/>
    </row>
    <row r="50" spans="1:5" s="26" customFormat="1" ht="24.95" customHeight="1" x14ac:dyDescent="0.25">
      <c r="A50" s="230">
        <v>7</v>
      </c>
      <c r="B50" s="10" t="s">
        <v>42</v>
      </c>
      <c r="C50" s="33">
        <v>217.02</v>
      </c>
      <c r="D50" s="24">
        <f t="shared" si="10"/>
        <v>4.4315661794435121E-2</v>
      </c>
      <c r="E50" s="25"/>
    </row>
    <row r="51" spans="1:5" s="26" customFormat="1" ht="24.95" customHeight="1" x14ac:dyDescent="0.25">
      <c r="A51" s="229">
        <v>8</v>
      </c>
      <c r="B51" s="10" t="s">
        <v>63</v>
      </c>
      <c r="C51" s="33">
        <v>216.82</v>
      </c>
      <c r="D51" s="24">
        <f t="shared" si="10"/>
        <v>4.4274821630584375E-2</v>
      </c>
      <c r="E51" s="25"/>
    </row>
    <row r="52" spans="1:5" s="26" customFormat="1" ht="24.95" customHeight="1" x14ac:dyDescent="0.25">
      <c r="A52" s="230">
        <v>9</v>
      </c>
      <c r="B52" s="10" t="s">
        <v>669</v>
      </c>
      <c r="C52" s="33">
        <v>216.22</v>
      </c>
      <c r="D52" s="24">
        <f t="shared" si="10"/>
        <v>4.4152301139032166E-2</v>
      </c>
      <c r="E52" s="25"/>
    </row>
    <row r="53" spans="1:5" s="26" customFormat="1" ht="24.95" customHeight="1" thickBot="1" x14ac:dyDescent="0.3">
      <c r="A53" s="231">
        <v>10</v>
      </c>
      <c r="B53" s="16" t="s">
        <v>40</v>
      </c>
      <c r="C53" s="34">
        <v>216.06</v>
      </c>
      <c r="D53" s="27">
        <f t="shared" si="10"/>
        <v>4.4119629007951577E-2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6"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B9:C9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493" priority="33" operator="containsText" text="024">
      <formula>NOT(ISERROR(SEARCH("024",A12)))</formula>
    </cfRule>
    <cfRule type="containsText" dxfId="492" priority="34" operator="containsText" text="白醬">
      <formula>NOT(ISERROR(SEARCH("白醬",A12)))</formula>
    </cfRule>
    <cfRule type="containsText" dxfId="491" priority="35" operator="containsText" text="青蔥">
      <formula>NOT(ISERROR(SEARCH("青蔥",A12)))</formula>
    </cfRule>
    <cfRule type="containsText" dxfId="490" priority="36" operator="containsText" text=")川燙小青花菜">
      <formula>NOT(ISERROR(SEARCH(")川燙小青花菜",A12)))</formula>
    </cfRule>
    <cfRule type="containsText" dxfId="489" priority="37" operator="containsText" text="湯凍">
      <formula>NOT(ISERROR(SEARCH("湯凍",A12)))</formula>
    </cfRule>
    <cfRule type="containsText" dxfId="488" priority="38" operator="containsText" text="中華">
      <formula>NOT(ISERROR(SEARCH("中華",A12)))</formula>
    </cfRule>
  </conditionalFormatting>
  <conditionalFormatting sqref="A12:A22">
    <cfRule type="containsText" dxfId="487" priority="31" operator="containsText" text="綠豆芽">
      <formula>NOT(ISERROR(SEARCH("綠豆芽",A12)))</formula>
    </cfRule>
    <cfRule type="containsText" dxfId="486" priority="32" operator="containsText" text="煮白細麵生(方#12)">
      <formula>NOT(ISERROR(SEARCH("煮白細麵生(方#12)",A12)))</formula>
    </cfRule>
  </conditionalFormatting>
  <conditionalFormatting sqref="E5">
    <cfRule type="cellIs" dxfId="485" priority="16" operator="greaterThan">
      <formula>0.0025</formula>
    </cfRule>
    <cfRule type="cellIs" dxfId="484" priority="19" operator="greaterThan">
      <formula>0.0025</formula>
    </cfRule>
    <cfRule type="cellIs" dxfId="483" priority="29" operator="greaterThan">
      <formula>0.072</formula>
    </cfRule>
    <cfRule type="cellIs" dxfId="482" priority="30" operator="greaterThan">
      <formula>7.2</formula>
    </cfRule>
  </conditionalFormatting>
  <conditionalFormatting sqref="E5">
    <cfRule type="cellIs" dxfId="481" priority="28" operator="greaterThan">
      <formula>0.0025</formula>
    </cfRule>
  </conditionalFormatting>
  <conditionalFormatting sqref="A44:A53">
    <cfRule type="containsText" dxfId="480" priority="22" operator="containsText" text="024">
      <formula>NOT(ISERROR(SEARCH("024",A44)))</formula>
    </cfRule>
    <cfRule type="containsText" dxfId="479" priority="23" operator="containsText" text="白醬">
      <formula>NOT(ISERROR(SEARCH("白醬",A44)))</formula>
    </cfRule>
    <cfRule type="containsText" dxfId="478" priority="24" operator="containsText" text="青蔥">
      <formula>NOT(ISERROR(SEARCH("青蔥",A44)))</formula>
    </cfRule>
    <cfRule type="containsText" dxfId="477" priority="25" operator="containsText" text=")川燙小青花菜">
      <formula>NOT(ISERROR(SEARCH(")川燙小青花菜",A44)))</formula>
    </cfRule>
    <cfRule type="containsText" dxfId="476" priority="26" operator="containsText" text="湯凍">
      <formula>NOT(ISERROR(SEARCH("湯凍",A44)))</formula>
    </cfRule>
    <cfRule type="containsText" dxfId="475" priority="27" operator="containsText" text="中華">
      <formula>NOT(ISERROR(SEARCH("中華",A44)))</formula>
    </cfRule>
  </conditionalFormatting>
  <conditionalFormatting sqref="A44:A53">
    <cfRule type="containsText" dxfId="474" priority="20" operator="containsText" text="綠豆芽">
      <formula>NOT(ISERROR(SEARCH("綠豆芽",A44)))</formula>
    </cfRule>
    <cfRule type="containsText" dxfId="473" priority="21" operator="containsText" text="煮白細麵生(方#12)">
      <formula>NOT(ISERROR(SEARCH("煮白細麵生(方#12)",A44)))</formula>
    </cfRule>
  </conditionalFormatting>
  <conditionalFormatting sqref="D44:D53">
    <cfRule type="cellIs" dxfId="472" priority="18" operator="greaterThan">
      <formula>0.146</formula>
    </cfRule>
  </conditionalFormatting>
  <conditionalFormatting sqref="H12:H22">
    <cfRule type="cellIs" dxfId="471" priority="17" operator="greaterThan">
      <formula>1.1</formula>
    </cfRule>
  </conditionalFormatting>
  <conditionalFormatting sqref="I5">
    <cfRule type="cellIs" dxfId="470" priority="15" operator="greaterThan">
      <formula>0.2</formula>
    </cfRule>
  </conditionalFormatting>
  <conditionalFormatting sqref="A28:A37">
    <cfRule type="containsText" dxfId="469" priority="9" operator="containsText" text="024">
      <formula>NOT(ISERROR(SEARCH("024",A28)))</formula>
    </cfRule>
    <cfRule type="containsText" dxfId="468" priority="10" operator="containsText" text="白醬">
      <formula>NOT(ISERROR(SEARCH("白醬",A28)))</formula>
    </cfRule>
    <cfRule type="containsText" dxfId="467" priority="11" operator="containsText" text="青蔥">
      <formula>NOT(ISERROR(SEARCH("青蔥",A28)))</formula>
    </cfRule>
    <cfRule type="containsText" dxfId="466" priority="12" operator="containsText" text=")川燙小青花菜">
      <formula>NOT(ISERROR(SEARCH(")川燙小青花菜",A28)))</formula>
    </cfRule>
    <cfRule type="containsText" dxfId="465" priority="13" operator="containsText" text="湯凍">
      <formula>NOT(ISERROR(SEARCH("湯凍",A28)))</formula>
    </cfRule>
    <cfRule type="containsText" dxfId="464" priority="14" operator="containsText" text="中華">
      <formula>NOT(ISERROR(SEARCH("中華",A28)))</formula>
    </cfRule>
  </conditionalFormatting>
  <conditionalFormatting sqref="A28:A37">
    <cfRule type="containsText" dxfId="463" priority="7" operator="containsText" text="綠豆芽">
      <formula>NOT(ISERROR(SEARCH("綠豆芽",A28)))</formula>
    </cfRule>
    <cfRule type="containsText" dxfId="462" priority="8" operator="containsText" text="煮白細麵生(方#12)">
      <formula>NOT(ISERROR(SEARCH("煮白細麵生(方#12)",A28)))</formula>
    </cfRule>
  </conditionalFormatting>
  <conditionalFormatting sqref="H28:H37">
    <cfRule type="cellIs" dxfId="461" priority="6" operator="greaterThan">
      <formula>1.1</formula>
    </cfRule>
  </conditionalFormatting>
  <conditionalFormatting sqref="G5">
    <cfRule type="cellIs" dxfId="460" priority="1" operator="greaterThan">
      <formula>0.0025</formula>
    </cfRule>
    <cfRule type="cellIs" dxfId="459" priority="2" operator="greaterThan">
      <formula>0.0025</formula>
    </cfRule>
    <cfRule type="cellIs" dxfId="458" priority="4" operator="greaterThan">
      <formula>0.072</formula>
    </cfRule>
    <cfRule type="cellIs" dxfId="457" priority="5" operator="greaterThan">
      <formula>7.2</formula>
    </cfRule>
  </conditionalFormatting>
  <conditionalFormatting sqref="G5">
    <cfRule type="cellIs" dxfId="45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下拉式選單!$C$2:$C$9</xm:f>
          </x14:formula1>
          <xm:sqref>P28:P37 P12:P21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R56"/>
  <sheetViews>
    <sheetView topLeftCell="M22" zoomScale="70" zoomScaleNormal="70" zoomScaleSheetLayoutView="70" workbookViewId="0">
      <selection activeCell="R28" sqref="R28:R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53.85546875" bestFit="1" customWidth="1"/>
    <col min="17" max="17" width="66.140625" customWidth="1"/>
    <col min="18" max="18" width="47.7109375" customWidth="1"/>
  </cols>
  <sheetData>
    <row r="1" spans="1:18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  <c r="Q1" s="51"/>
    </row>
    <row r="2" spans="1:18" ht="24.95" customHeight="1" x14ac:dyDescent="0.25">
      <c r="A2" s="786" t="s">
        <v>92</v>
      </c>
      <c r="B2" s="787"/>
      <c r="C2" s="196" t="s">
        <v>93</v>
      </c>
      <c r="D2" s="788" t="s">
        <v>94</v>
      </c>
      <c r="E2" s="788"/>
      <c r="F2" s="788" t="s">
        <v>95</v>
      </c>
      <c r="G2" s="788"/>
      <c r="H2" s="788" t="s">
        <v>94</v>
      </c>
      <c r="I2" s="788"/>
      <c r="J2" s="788" t="s">
        <v>95</v>
      </c>
      <c r="K2" s="788"/>
      <c r="L2" s="788" t="s">
        <v>94</v>
      </c>
      <c r="M2" s="789"/>
      <c r="R2" s="54"/>
    </row>
    <row r="3" spans="1:18" s="1" customFormat="1" ht="28.5" x14ac:dyDescent="0.45">
      <c r="A3" s="783">
        <v>45881</v>
      </c>
      <c r="B3" s="784"/>
      <c r="C3" s="785">
        <v>5571059.96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8" ht="28.5" customHeight="1" x14ac:dyDescent="0.25">
      <c r="A4" s="783"/>
      <c r="B4" s="784"/>
      <c r="C4" s="78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R4" s="54"/>
    </row>
    <row r="5" spans="1:18" s="55" customFormat="1" ht="46.5" customHeight="1" thickBot="1" x14ac:dyDescent="0.3">
      <c r="A5" s="781" t="s">
        <v>105</v>
      </c>
      <c r="B5" s="782"/>
      <c r="C5" s="782"/>
      <c r="D5" s="197">
        <v>13534.119999999995</v>
      </c>
      <c r="E5" s="5">
        <f>D5/C3</f>
        <v>2.4293617547063691E-3</v>
      </c>
      <c r="F5" s="197">
        <v>47748.029999999992</v>
      </c>
      <c r="G5" s="44">
        <f>F5/C3</f>
        <v>8.5707262788103245E-3</v>
      </c>
      <c r="H5" s="6">
        <f>SUM(C12:C21)</f>
        <v>6650.97</v>
      </c>
      <c r="I5" s="7">
        <f>H5/D5</f>
        <v>0.49142241978052525</v>
      </c>
      <c r="J5" s="6">
        <f>SUM(C28:C37)</f>
        <v>26859.179999999997</v>
      </c>
      <c r="K5" s="46">
        <f>J5/F5</f>
        <v>0.56251912382563218</v>
      </c>
      <c r="L5" s="8">
        <v>4519.4499999999989</v>
      </c>
      <c r="M5" s="9">
        <f>L5/D5</f>
        <v>0.3339300966741835</v>
      </c>
    </row>
    <row r="6" spans="1:18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8" ht="40.5" customHeight="1" x14ac:dyDescent="0.25">
      <c r="A7" s="443" t="s">
        <v>600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55"/>
      <c r="R7" s="445"/>
    </row>
    <row r="8" spans="1:18" ht="26.1" customHeight="1" x14ac:dyDescent="0.25">
      <c r="A8" s="446" t="s">
        <v>601</v>
      </c>
      <c r="B8" s="447"/>
      <c r="C8" s="447"/>
      <c r="D8" s="447" t="s">
        <v>602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603</v>
      </c>
      <c r="P8" s="457" t="s">
        <v>604</v>
      </c>
      <c r="Q8" s="456" t="s">
        <v>605</v>
      </c>
      <c r="R8" s="768" t="s">
        <v>606</v>
      </c>
    </row>
    <row r="9" spans="1:18" ht="20.45" customHeight="1" x14ac:dyDescent="0.25">
      <c r="A9" s="769" t="s">
        <v>607</v>
      </c>
      <c r="B9" s="461" t="s">
        <v>608</v>
      </c>
      <c r="C9" s="462"/>
      <c r="D9" s="463" t="s">
        <v>609</v>
      </c>
      <c r="E9" s="463"/>
      <c r="F9" s="463"/>
      <c r="G9" s="463"/>
      <c r="H9" s="463"/>
      <c r="I9" s="463"/>
      <c r="J9" s="464" t="s">
        <v>610</v>
      </c>
      <c r="K9" s="464"/>
      <c r="L9" s="464"/>
      <c r="M9" s="465"/>
      <c r="N9" s="465"/>
      <c r="O9" s="456"/>
      <c r="P9" s="456"/>
      <c r="Q9" s="456"/>
      <c r="R9" s="768"/>
    </row>
    <row r="10" spans="1:18" ht="20.45" customHeight="1" x14ac:dyDescent="0.3">
      <c r="A10" s="770"/>
      <c r="B10" s="772" t="s">
        <v>611</v>
      </c>
      <c r="C10" s="774" t="s">
        <v>612</v>
      </c>
      <c r="D10" s="776" t="s">
        <v>613</v>
      </c>
      <c r="E10" s="776"/>
      <c r="F10" s="776"/>
      <c r="G10" s="776"/>
      <c r="H10" s="776"/>
      <c r="I10" s="776"/>
      <c r="J10" s="777" t="s">
        <v>614</v>
      </c>
      <c r="K10" s="779"/>
      <c r="L10" s="780" t="s">
        <v>615</v>
      </c>
      <c r="M10" s="777"/>
      <c r="N10" s="777"/>
      <c r="O10" s="456"/>
      <c r="P10" s="456"/>
      <c r="Q10" s="456"/>
      <c r="R10" s="768"/>
    </row>
    <row r="11" spans="1:18" s="55" customFormat="1" ht="47.25" customHeight="1" x14ac:dyDescent="0.25">
      <c r="A11" s="771"/>
      <c r="B11" s="773"/>
      <c r="C11" s="775"/>
      <c r="D11" s="198" t="s">
        <v>616</v>
      </c>
      <c r="E11" s="198" t="s">
        <v>617</v>
      </c>
      <c r="F11" s="198" t="s">
        <v>618</v>
      </c>
      <c r="G11" s="198" t="s">
        <v>619</v>
      </c>
      <c r="H11" s="198" t="s">
        <v>620</v>
      </c>
      <c r="I11" s="198" t="s">
        <v>621</v>
      </c>
      <c r="J11" s="199" t="s">
        <v>622</v>
      </c>
      <c r="K11" s="199" t="s">
        <v>623</v>
      </c>
      <c r="L11" s="199" t="s">
        <v>622</v>
      </c>
      <c r="M11" s="199" t="s">
        <v>623</v>
      </c>
      <c r="N11" s="200" t="s">
        <v>624</v>
      </c>
      <c r="O11" s="456"/>
      <c r="P11" s="456"/>
      <c r="Q11" s="456"/>
      <c r="R11" s="768"/>
    </row>
    <row r="12" spans="1:18" s="15" customFormat="1" ht="24.95" customHeight="1" x14ac:dyDescent="0.25">
      <c r="A12" s="201">
        <v>1</v>
      </c>
      <c r="B12" s="10" t="s">
        <v>59</v>
      </c>
      <c r="C12" s="33">
        <v>1112.78</v>
      </c>
      <c r="D12" s="56">
        <v>93.77</v>
      </c>
      <c r="E12" s="56">
        <v>112.21</v>
      </c>
      <c r="F12" s="56">
        <v>0</v>
      </c>
      <c r="G12" s="33">
        <v>135.54</v>
      </c>
      <c r="H12" s="11">
        <f t="shared" ref="H12:H21" si="0">(E12+F12)/D12</f>
        <v>1.1966513810387118</v>
      </c>
      <c r="I12" s="33">
        <v>2499.36</v>
      </c>
      <c r="J12" s="56">
        <v>8.2100000000000009</v>
      </c>
      <c r="K12" s="12">
        <f t="shared" ref="K12:K21" si="1">J12/D12</f>
        <v>8.7554655006931867E-2</v>
      </c>
      <c r="L12" s="202">
        <f t="shared" ref="L12:L21" si="2">((E12+F12)-D12)-J12</f>
        <v>10.229999999999997</v>
      </c>
      <c r="M12" s="13">
        <f t="shared" ref="M12:M21" si="3">L12/D12</f>
        <v>0.10909672603177986</v>
      </c>
      <c r="N12" s="203">
        <f t="shared" ref="N12:N21" si="4">L12*G12</f>
        <v>1386.5741999999996</v>
      </c>
      <c r="O12" s="66" t="s">
        <v>584</v>
      </c>
      <c r="P12" s="66" t="s">
        <v>672</v>
      </c>
      <c r="Q12" s="66" t="s">
        <v>585</v>
      </c>
      <c r="R12" s="28" t="s">
        <v>25</v>
      </c>
    </row>
    <row r="13" spans="1:18" s="15" customFormat="1" ht="24.95" customHeight="1" x14ac:dyDescent="0.25">
      <c r="A13" s="204">
        <v>2</v>
      </c>
      <c r="B13" s="10" t="s">
        <v>123</v>
      </c>
      <c r="C13" s="33">
        <v>705.43</v>
      </c>
      <c r="D13" s="56">
        <v>10.19</v>
      </c>
      <c r="E13" s="56">
        <v>11.19</v>
      </c>
      <c r="F13" s="56">
        <v>0</v>
      </c>
      <c r="G13" s="33">
        <v>1567.63</v>
      </c>
      <c r="H13" s="11">
        <f t="shared" si="0"/>
        <v>1.098135426889107</v>
      </c>
      <c r="I13" s="33">
        <v>1567.63</v>
      </c>
      <c r="J13" s="56">
        <v>0.45</v>
      </c>
      <c r="K13" s="12">
        <f t="shared" si="1"/>
        <v>4.416094210009814E-2</v>
      </c>
      <c r="L13" s="202">
        <f t="shared" si="2"/>
        <v>0.55000000000000004</v>
      </c>
      <c r="M13" s="13">
        <f t="shared" si="3"/>
        <v>5.3974484789008841E-2</v>
      </c>
      <c r="N13" s="203">
        <f t="shared" si="4"/>
        <v>862.19650000000013</v>
      </c>
      <c r="O13" s="66" t="s">
        <v>19</v>
      </c>
      <c r="P13" s="66" t="s">
        <v>670</v>
      </c>
      <c r="Q13" s="66" t="s">
        <v>587</v>
      </c>
      <c r="R13" s="28" t="s">
        <v>122</v>
      </c>
    </row>
    <row r="14" spans="1:18" s="57" customFormat="1" ht="24.95" customHeight="1" x14ac:dyDescent="0.25">
      <c r="A14" s="204">
        <v>3</v>
      </c>
      <c r="B14" s="10" t="s">
        <v>71</v>
      </c>
      <c r="C14" s="33">
        <v>653.17999999999995</v>
      </c>
      <c r="D14" s="56">
        <v>49.79</v>
      </c>
      <c r="E14" s="56">
        <v>58.75</v>
      </c>
      <c r="F14" s="56">
        <v>0</v>
      </c>
      <c r="G14" s="33">
        <v>148.44999999999999</v>
      </c>
      <c r="H14" s="11">
        <f t="shared" si="0"/>
        <v>1.1799558144205664</v>
      </c>
      <c r="I14" s="33">
        <v>1330.11</v>
      </c>
      <c r="J14" s="56">
        <v>4.4000000000000004</v>
      </c>
      <c r="K14" s="12">
        <f t="shared" si="1"/>
        <v>8.8371158867242422E-2</v>
      </c>
      <c r="L14" s="202">
        <f t="shared" si="2"/>
        <v>4.5600000000000005</v>
      </c>
      <c r="M14" s="13">
        <f t="shared" si="3"/>
        <v>9.1584655553323971E-2</v>
      </c>
      <c r="N14" s="203">
        <f t="shared" si="4"/>
        <v>676.93200000000002</v>
      </c>
      <c r="O14" s="66" t="s">
        <v>19</v>
      </c>
      <c r="P14" s="66" t="s">
        <v>670</v>
      </c>
      <c r="Q14" s="66" t="s">
        <v>587</v>
      </c>
      <c r="R14" s="28" t="s">
        <v>25</v>
      </c>
    </row>
    <row r="15" spans="1:18" s="15" customFormat="1" ht="24.95" customHeight="1" x14ac:dyDescent="0.25">
      <c r="A15" s="201">
        <v>4</v>
      </c>
      <c r="B15" s="10" t="s">
        <v>34</v>
      </c>
      <c r="C15" s="33">
        <v>641.84</v>
      </c>
      <c r="D15" s="56">
        <v>26.45</v>
      </c>
      <c r="E15" s="56">
        <v>32.25</v>
      </c>
      <c r="F15" s="56">
        <v>0</v>
      </c>
      <c r="G15" s="33">
        <v>232.55</v>
      </c>
      <c r="H15" s="11">
        <f t="shared" si="0"/>
        <v>1.2192816635160681</v>
      </c>
      <c r="I15" s="33">
        <v>1348.79</v>
      </c>
      <c r="J15" s="56">
        <v>2.76</v>
      </c>
      <c r="K15" s="12">
        <f t="shared" si="1"/>
        <v>0.10434782608695652</v>
      </c>
      <c r="L15" s="202">
        <f t="shared" si="2"/>
        <v>3.0400000000000009</v>
      </c>
      <c r="M15" s="13">
        <f t="shared" si="3"/>
        <v>0.11493383742911156</v>
      </c>
      <c r="N15" s="203">
        <f t="shared" si="4"/>
        <v>706.95200000000023</v>
      </c>
      <c r="O15" s="66" t="s">
        <v>584</v>
      </c>
      <c r="P15" s="66" t="s">
        <v>672</v>
      </c>
      <c r="Q15" s="66" t="s">
        <v>585</v>
      </c>
      <c r="R15" s="28" t="s">
        <v>25</v>
      </c>
    </row>
    <row r="16" spans="1:18" s="57" customFormat="1" ht="24.95" customHeight="1" x14ac:dyDescent="0.25">
      <c r="A16" s="204">
        <v>5</v>
      </c>
      <c r="B16" s="10" t="s">
        <v>369</v>
      </c>
      <c r="C16" s="33">
        <v>633.15</v>
      </c>
      <c r="D16" s="56">
        <v>57.96</v>
      </c>
      <c r="E16" s="56">
        <v>68.849999999999994</v>
      </c>
      <c r="F16" s="56">
        <v>0</v>
      </c>
      <c r="G16" s="33">
        <v>124.39</v>
      </c>
      <c r="H16" s="11">
        <f t="shared" si="0"/>
        <v>1.1878881987577639</v>
      </c>
      <c r="I16" s="33">
        <v>1354.61</v>
      </c>
      <c r="J16" s="56">
        <v>5.09</v>
      </c>
      <c r="K16" s="12">
        <f t="shared" si="1"/>
        <v>8.7819185645272593E-2</v>
      </c>
      <c r="L16" s="202">
        <f t="shared" si="2"/>
        <v>5.7999999999999936</v>
      </c>
      <c r="M16" s="13">
        <f t="shared" si="3"/>
        <v>0.10006901311249126</v>
      </c>
      <c r="N16" s="203">
        <f t="shared" si="4"/>
        <v>721.46199999999919</v>
      </c>
      <c r="O16" s="66" t="s">
        <v>18</v>
      </c>
      <c r="P16" s="66" t="s">
        <v>673</v>
      </c>
      <c r="Q16" s="66" t="s">
        <v>590</v>
      </c>
      <c r="R16" s="28" t="s">
        <v>78</v>
      </c>
    </row>
    <row r="17" spans="1:18" s="15" customFormat="1" ht="24.95" customHeight="1" x14ac:dyDescent="0.25">
      <c r="A17" s="201">
        <v>6</v>
      </c>
      <c r="B17" s="10" t="s">
        <v>625</v>
      </c>
      <c r="C17" s="33">
        <v>618.46</v>
      </c>
      <c r="D17" s="56">
        <v>158.65</v>
      </c>
      <c r="E17" s="56">
        <v>180.15</v>
      </c>
      <c r="F17" s="56">
        <v>0</v>
      </c>
      <c r="G17" s="33">
        <v>59.41</v>
      </c>
      <c r="H17" s="11">
        <f t="shared" si="0"/>
        <v>1.1355184368105893</v>
      </c>
      <c r="I17" s="33">
        <v>1277.32</v>
      </c>
      <c r="J17" s="56">
        <v>10.41</v>
      </c>
      <c r="K17" s="12">
        <f t="shared" si="1"/>
        <v>6.5616136148755125E-2</v>
      </c>
      <c r="L17" s="202">
        <f t="shared" si="2"/>
        <v>11.09</v>
      </c>
      <c r="M17" s="13">
        <f t="shared" si="3"/>
        <v>6.9902300661834227E-2</v>
      </c>
      <c r="N17" s="203">
        <f t="shared" si="4"/>
        <v>658.8569</v>
      </c>
      <c r="O17" s="66" t="s">
        <v>19</v>
      </c>
      <c r="P17" s="66" t="s">
        <v>670</v>
      </c>
      <c r="Q17" s="66" t="s">
        <v>587</v>
      </c>
      <c r="R17" s="28" t="s">
        <v>85</v>
      </c>
    </row>
    <row r="18" spans="1:18" s="57" customFormat="1" ht="24.95" customHeight="1" x14ac:dyDescent="0.25">
      <c r="A18" s="204">
        <v>7</v>
      </c>
      <c r="B18" s="10" t="s">
        <v>368</v>
      </c>
      <c r="C18" s="33">
        <v>594.66</v>
      </c>
      <c r="D18" s="56">
        <v>69.55</v>
      </c>
      <c r="E18" s="56">
        <v>83.45</v>
      </c>
      <c r="F18" s="56">
        <v>0</v>
      </c>
      <c r="G18" s="33">
        <v>90.1</v>
      </c>
      <c r="H18" s="11">
        <f t="shared" si="0"/>
        <v>1.1998562185478074</v>
      </c>
      <c r="I18" s="33">
        <v>1252.3900000000001</v>
      </c>
      <c r="J18" s="56">
        <v>6.6</v>
      </c>
      <c r="K18" s="12">
        <f t="shared" si="1"/>
        <v>9.4895758447160319E-2</v>
      </c>
      <c r="L18" s="202">
        <f t="shared" si="2"/>
        <v>7.300000000000006</v>
      </c>
      <c r="M18" s="13">
        <f t="shared" si="3"/>
        <v>0.10496046010064711</v>
      </c>
      <c r="N18" s="203">
        <f t="shared" si="4"/>
        <v>657.73000000000047</v>
      </c>
      <c r="O18" s="66" t="s">
        <v>18</v>
      </c>
      <c r="P18" s="66" t="s">
        <v>673</v>
      </c>
      <c r="Q18" s="66" t="s">
        <v>590</v>
      </c>
      <c r="R18" s="28" t="s">
        <v>78</v>
      </c>
    </row>
    <row r="19" spans="1:18" s="15" customFormat="1" ht="24.95" customHeight="1" x14ac:dyDescent="0.25">
      <c r="A19" s="201">
        <v>8</v>
      </c>
      <c r="B19" s="10" t="s">
        <v>48</v>
      </c>
      <c r="C19" s="33">
        <v>592.51</v>
      </c>
      <c r="D19" s="56">
        <v>15.06</v>
      </c>
      <c r="E19" s="56">
        <v>16.760000000000002</v>
      </c>
      <c r="F19" s="56">
        <v>0</v>
      </c>
      <c r="G19" s="33">
        <v>846.44</v>
      </c>
      <c r="H19" s="11">
        <f t="shared" si="0"/>
        <v>1.1128818061088979</v>
      </c>
      <c r="I19" s="33">
        <v>1438.95</v>
      </c>
      <c r="J19" s="56">
        <v>0.7</v>
      </c>
      <c r="K19" s="12">
        <f t="shared" si="1"/>
        <v>4.6480743691899064E-2</v>
      </c>
      <c r="L19" s="202">
        <f t="shared" si="2"/>
        <v>1.0000000000000011</v>
      </c>
      <c r="M19" s="13">
        <f t="shared" si="3"/>
        <v>6.6401062416998738E-2</v>
      </c>
      <c r="N19" s="203">
        <f t="shared" si="4"/>
        <v>846.44000000000096</v>
      </c>
      <c r="O19" s="66" t="s">
        <v>19</v>
      </c>
      <c r="P19" s="66" t="s">
        <v>670</v>
      </c>
      <c r="Q19" s="66" t="s">
        <v>587</v>
      </c>
      <c r="R19" s="28" t="s">
        <v>73</v>
      </c>
    </row>
    <row r="20" spans="1:18" s="15" customFormat="1" ht="24.95" customHeight="1" x14ac:dyDescent="0.25">
      <c r="A20" s="204">
        <v>9</v>
      </c>
      <c r="B20" s="10" t="s">
        <v>108</v>
      </c>
      <c r="C20" s="33">
        <v>591.38</v>
      </c>
      <c r="D20" s="56">
        <v>43.88</v>
      </c>
      <c r="E20" s="56">
        <v>54.55</v>
      </c>
      <c r="F20" s="56">
        <v>0</v>
      </c>
      <c r="G20" s="33">
        <v>118.99</v>
      </c>
      <c r="H20" s="11">
        <f t="shared" si="0"/>
        <v>1.2431631722880583</v>
      </c>
      <c r="I20" s="33">
        <v>1269.6199999999999</v>
      </c>
      <c r="J20" s="56">
        <v>4.97</v>
      </c>
      <c r="K20" s="12">
        <f t="shared" si="1"/>
        <v>0.1132634457611668</v>
      </c>
      <c r="L20" s="202">
        <f t="shared" si="2"/>
        <v>5.6999999999999948</v>
      </c>
      <c r="M20" s="13">
        <f t="shared" si="3"/>
        <v>0.12989972652689138</v>
      </c>
      <c r="N20" s="203">
        <f t="shared" si="4"/>
        <v>678.24299999999937</v>
      </c>
      <c r="O20" s="66" t="s">
        <v>584</v>
      </c>
      <c r="P20" s="66" t="s">
        <v>672</v>
      </c>
      <c r="Q20" s="66" t="s">
        <v>585</v>
      </c>
      <c r="R20" s="28" t="s">
        <v>51</v>
      </c>
    </row>
    <row r="21" spans="1:18" s="15" customFormat="1" ht="24.95" customHeight="1" thickBot="1" x14ac:dyDescent="0.3">
      <c r="A21" s="205">
        <v>10</v>
      </c>
      <c r="B21" s="16" t="s">
        <v>107</v>
      </c>
      <c r="C21" s="34">
        <v>507.58</v>
      </c>
      <c r="D21" s="58">
        <v>192.16</v>
      </c>
      <c r="E21" s="58">
        <v>186.82</v>
      </c>
      <c r="F21" s="58">
        <v>12</v>
      </c>
      <c r="G21" s="34">
        <v>166.42</v>
      </c>
      <c r="H21" s="17">
        <f t="shared" si="0"/>
        <v>1.0346586178184847</v>
      </c>
      <c r="I21" s="34">
        <v>1108.3599999999999</v>
      </c>
      <c r="J21" s="58">
        <v>3.05</v>
      </c>
      <c r="K21" s="18">
        <f t="shared" si="1"/>
        <v>1.5872189841798501E-2</v>
      </c>
      <c r="L21" s="206">
        <f t="shared" si="2"/>
        <v>3.6099999999999968</v>
      </c>
      <c r="M21" s="19">
        <f t="shared" si="3"/>
        <v>1.8786427976686077E-2</v>
      </c>
      <c r="N21" s="207">
        <f t="shared" si="4"/>
        <v>600.77619999999945</v>
      </c>
      <c r="O21" s="66" t="s">
        <v>584</v>
      </c>
      <c r="P21" s="66" t="s">
        <v>672</v>
      </c>
      <c r="Q21" s="64" t="s">
        <v>589</v>
      </c>
      <c r="R21" s="29" t="s">
        <v>106</v>
      </c>
    </row>
    <row r="22" spans="1:18" s="62" customFormat="1" ht="24.95" customHeight="1" thickBot="1" x14ac:dyDescent="0.3">
      <c r="A22" s="208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209"/>
      <c r="M22" s="30"/>
      <c r="N22" s="210"/>
      <c r="O22" s="61"/>
      <c r="P22" s="61"/>
      <c r="Q22" s="61"/>
      <c r="R22" s="59"/>
    </row>
    <row r="23" spans="1:18" s="62" customFormat="1" ht="40.5" customHeight="1" x14ac:dyDescent="0.25">
      <c r="A23" s="443" t="s">
        <v>626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55"/>
      <c r="R23" s="445"/>
    </row>
    <row r="24" spans="1:18" s="62" customFormat="1" ht="24.95" customHeight="1" x14ac:dyDescent="0.25">
      <c r="A24" s="446" t="s">
        <v>601</v>
      </c>
      <c r="B24" s="447"/>
      <c r="C24" s="447"/>
      <c r="D24" s="447" t="s">
        <v>602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603</v>
      </c>
      <c r="P24" s="457" t="s">
        <v>604</v>
      </c>
      <c r="Q24" s="456" t="s">
        <v>605</v>
      </c>
      <c r="R24" s="768" t="s">
        <v>606</v>
      </c>
    </row>
    <row r="25" spans="1:18" s="62" customFormat="1" ht="24.95" customHeight="1" x14ac:dyDescent="0.25">
      <c r="A25" s="769" t="s">
        <v>607</v>
      </c>
      <c r="B25" s="461" t="s">
        <v>608</v>
      </c>
      <c r="C25" s="462"/>
      <c r="D25" s="463" t="s">
        <v>609</v>
      </c>
      <c r="E25" s="463"/>
      <c r="F25" s="463"/>
      <c r="G25" s="463"/>
      <c r="H25" s="463"/>
      <c r="I25" s="463"/>
      <c r="J25" s="464" t="s">
        <v>610</v>
      </c>
      <c r="K25" s="464"/>
      <c r="L25" s="464"/>
      <c r="M25" s="465"/>
      <c r="N25" s="465"/>
      <c r="O25" s="456"/>
      <c r="P25" s="456"/>
      <c r="Q25" s="456"/>
      <c r="R25" s="768"/>
    </row>
    <row r="26" spans="1:18" s="62" customFormat="1" ht="24.95" customHeight="1" x14ac:dyDescent="0.3">
      <c r="A26" s="770"/>
      <c r="B26" s="772" t="s">
        <v>136</v>
      </c>
      <c r="C26" s="774" t="s">
        <v>627</v>
      </c>
      <c r="D26" s="776" t="s">
        <v>613</v>
      </c>
      <c r="E26" s="776"/>
      <c r="F26" s="776"/>
      <c r="G26" s="776"/>
      <c r="H26" s="776"/>
      <c r="I26" s="776"/>
      <c r="J26" s="777" t="s">
        <v>614</v>
      </c>
      <c r="K26" s="778"/>
      <c r="L26" s="779"/>
      <c r="M26" s="777" t="s">
        <v>615</v>
      </c>
      <c r="N26" s="779"/>
      <c r="O26" s="456"/>
      <c r="P26" s="456"/>
      <c r="Q26" s="456"/>
      <c r="R26" s="768"/>
    </row>
    <row r="27" spans="1:18" s="62" customFormat="1" ht="50.1" customHeight="1" x14ac:dyDescent="0.25">
      <c r="A27" s="771"/>
      <c r="B27" s="773"/>
      <c r="C27" s="775"/>
      <c r="D27" s="198" t="s">
        <v>616</v>
      </c>
      <c r="E27" s="198" t="s">
        <v>617</v>
      </c>
      <c r="F27" s="198" t="s">
        <v>618</v>
      </c>
      <c r="G27" s="198" t="s">
        <v>619</v>
      </c>
      <c r="H27" s="198" t="s">
        <v>620</v>
      </c>
      <c r="I27" s="198" t="s">
        <v>621</v>
      </c>
      <c r="J27" s="199" t="s">
        <v>146</v>
      </c>
      <c r="K27" s="199" t="s">
        <v>623</v>
      </c>
      <c r="L27" s="200" t="s">
        <v>624</v>
      </c>
      <c r="M27" s="199" t="s">
        <v>622</v>
      </c>
      <c r="N27" s="199" t="s">
        <v>623</v>
      </c>
      <c r="O27" s="456"/>
      <c r="P27" s="456"/>
      <c r="Q27" s="456"/>
      <c r="R27" s="768"/>
    </row>
    <row r="28" spans="1:18" s="62" customFormat="1" ht="24.95" customHeight="1" x14ac:dyDescent="0.25">
      <c r="A28" s="201">
        <v>1</v>
      </c>
      <c r="B28" s="10" t="s">
        <v>37</v>
      </c>
      <c r="C28" s="33">
        <v>5456.12</v>
      </c>
      <c r="D28" s="56">
        <v>338.48</v>
      </c>
      <c r="E28" s="56">
        <v>341.2</v>
      </c>
      <c r="F28" s="56">
        <v>32.880000000000003</v>
      </c>
      <c r="G28" s="33">
        <v>156.74</v>
      </c>
      <c r="H28" s="35">
        <f t="shared" ref="H28:H37" si="5">(E28+F28)/D28</f>
        <v>1.1051760813046561</v>
      </c>
      <c r="I28" s="33">
        <v>5579.94</v>
      </c>
      <c r="J28" s="56">
        <v>0.79</v>
      </c>
      <c r="K28" s="12">
        <f t="shared" ref="K28:K37" si="6">J28/D28</f>
        <v>2.3339636019853462E-3</v>
      </c>
      <c r="L28" s="203">
        <f t="shared" ref="L28:L37" si="7">J28*G28</f>
        <v>123.82460000000002</v>
      </c>
      <c r="M28" s="202">
        <f t="shared" ref="M28:M37" si="8">((E28+F28)-D28)-J28</f>
        <v>34.809999999999967</v>
      </c>
      <c r="N28" s="13">
        <f t="shared" ref="N28:N37" si="9">M28/D28</f>
        <v>0.10284211770267065</v>
      </c>
      <c r="O28" s="69" t="s">
        <v>22</v>
      </c>
      <c r="P28" s="66" t="s">
        <v>672</v>
      </c>
      <c r="Q28" s="14" t="s">
        <v>67</v>
      </c>
      <c r="R28" s="28" t="s">
        <v>25</v>
      </c>
    </row>
    <row r="29" spans="1:18" s="62" customFormat="1" ht="24.75" customHeight="1" x14ac:dyDescent="0.25">
      <c r="A29" s="204">
        <v>2</v>
      </c>
      <c r="B29" s="10" t="s">
        <v>628</v>
      </c>
      <c r="C29" s="33">
        <v>3770.3</v>
      </c>
      <c r="D29" s="56">
        <v>195.95</v>
      </c>
      <c r="E29" s="56">
        <v>217.2</v>
      </c>
      <c r="F29" s="56">
        <v>0</v>
      </c>
      <c r="G29" s="33">
        <v>185</v>
      </c>
      <c r="H29" s="35">
        <f t="shared" si="5"/>
        <v>1.108446032151059</v>
      </c>
      <c r="I29" s="33">
        <v>3931.25</v>
      </c>
      <c r="J29" s="56">
        <v>0.87</v>
      </c>
      <c r="K29" s="12">
        <f t="shared" si="6"/>
        <v>4.4399081398315901E-3</v>
      </c>
      <c r="L29" s="203">
        <f t="shared" si="7"/>
        <v>160.94999999999999</v>
      </c>
      <c r="M29" s="202">
        <f t="shared" si="8"/>
        <v>20.38</v>
      </c>
      <c r="N29" s="13">
        <f t="shared" si="9"/>
        <v>0.10400612401122736</v>
      </c>
      <c r="O29" s="69" t="s">
        <v>22</v>
      </c>
      <c r="P29" s="66" t="s">
        <v>672</v>
      </c>
      <c r="Q29" s="14" t="s">
        <v>84</v>
      </c>
      <c r="R29" s="28" t="s">
        <v>629</v>
      </c>
    </row>
    <row r="30" spans="1:18" s="62" customFormat="1" ht="24.95" customHeight="1" x14ac:dyDescent="0.25">
      <c r="A30" s="204">
        <v>3</v>
      </c>
      <c r="B30" s="10" t="s">
        <v>630</v>
      </c>
      <c r="C30" s="33">
        <v>3615.71</v>
      </c>
      <c r="D30" s="56">
        <v>34.159999999999997</v>
      </c>
      <c r="E30" s="56">
        <v>37.58</v>
      </c>
      <c r="F30" s="56">
        <v>16</v>
      </c>
      <c r="G30" s="33">
        <v>194.08</v>
      </c>
      <c r="H30" s="35">
        <f t="shared" si="5"/>
        <v>1.5685011709601875</v>
      </c>
      <c r="I30" s="33">
        <v>3769.03</v>
      </c>
      <c r="J30" s="32">
        <v>0.79</v>
      </c>
      <c r="K30" s="12">
        <f t="shared" si="6"/>
        <v>2.3126463700234197E-2</v>
      </c>
      <c r="L30" s="203">
        <f t="shared" si="7"/>
        <v>153.32320000000001</v>
      </c>
      <c r="M30" s="202">
        <f t="shared" si="8"/>
        <v>18.630000000000003</v>
      </c>
      <c r="N30" s="13">
        <f t="shared" si="9"/>
        <v>0.5453747072599533</v>
      </c>
      <c r="O30" s="69" t="s">
        <v>22</v>
      </c>
      <c r="P30" s="66" t="s">
        <v>672</v>
      </c>
      <c r="Q30" s="14" t="s">
        <v>679</v>
      </c>
      <c r="R30" s="28" t="s">
        <v>89</v>
      </c>
    </row>
    <row r="31" spans="1:18" s="62" customFormat="1" ht="24.95" customHeight="1" x14ac:dyDescent="0.25">
      <c r="A31" s="201">
        <v>4</v>
      </c>
      <c r="B31" s="10" t="s">
        <v>69</v>
      </c>
      <c r="C31" s="33">
        <v>2760.9900000000002</v>
      </c>
      <c r="D31" s="56">
        <v>49.79</v>
      </c>
      <c r="E31" s="56">
        <v>50.4</v>
      </c>
      <c r="F31" s="56">
        <v>12</v>
      </c>
      <c r="G31" s="33">
        <v>235.78</v>
      </c>
      <c r="H31" s="35">
        <f t="shared" si="5"/>
        <v>1.2532637075718016</v>
      </c>
      <c r="I31" s="33">
        <v>2973.19</v>
      </c>
      <c r="J31" s="56">
        <v>0.9</v>
      </c>
      <c r="K31" s="12">
        <f t="shared" si="6"/>
        <v>1.8075918859208676E-2</v>
      </c>
      <c r="L31" s="203">
        <f t="shared" si="7"/>
        <v>212.202</v>
      </c>
      <c r="M31" s="202">
        <f t="shared" si="8"/>
        <v>11.709999999999999</v>
      </c>
      <c r="N31" s="13">
        <f t="shared" si="9"/>
        <v>0.23518778871259288</v>
      </c>
      <c r="O31" s="69" t="s">
        <v>22</v>
      </c>
      <c r="P31" s="66" t="s">
        <v>672</v>
      </c>
      <c r="Q31" s="14" t="s">
        <v>408</v>
      </c>
      <c r="R31" s="28" t="s">
        <v>25</v>
      </c>
    </row>
    <row r="32" spans="1:18" s="62" customFormat="1" ht="24.95" customHeight="1" x14ac:dyDescent="0.25">
      <c r="A32" s="204">
        <v>5</v>
      </c>
      <c r="B32" s="10" t="s">
        <v>50</v>
      </c>
      <c r="C32" s="33">
        <v>2654.3399999999997</v>
      </c>
      <c r="D32" s="56">
        <v>318.7</v>
      </c>
      <c r="E32" s="56">
        <v>318.67</v>
      </c>
      <c r="F32" s="56">
        <v>25</v>
      </c>
      <c r="G32" s="33">
        <v>111.2</v>
      </c>
      <c r="H32" s="35">
        <f t="shared" si="5"/>
        <v>1.0783495450266709</v>
      </c>
      <c r="I32" s="33">
        <v>2776.66</v>
      </c>
      <c r="J32" s="56">
        <v>1.1000000000000001</v>
      </c>
      <c r="K32" s="12">
        <f t="shared" si="6"/>
        <v>3.4515218073423288E-3</v>
      </c>
      <c r="L32" s="203">
        <f t="shared" si="7"/>
        <v>122.32000000000001</v>
      </c>
      <c r="M32" s="202">
        <f t="shared" si="8"/>
        <v>23.870000000000026</v>
      </c>
      <c r="N32" s="13">
        <f t="shared" si="9"/>
        <v>7.4898023219328605E-2</v>
      </c>
      <c r="O32" s="69" t="s">
        <v>22</v>
      </c>
      <c r="P32" s="66" t="s">
        <v>672</v>
      </c>
      <c r="Q32" s="14" t="s">
        <v>84</v>
      </c>
      <c r="R32" s="28" t="s">
        <v>49</v>
      </c>
    </row>
    <row r="33" spans="1:18" s="62" customFormat="1" ht="24.95" customHeight="1" x14ac:dyDescent="0.25">
      <c r="A33" s="201">
        <v>6</v>
      </c>
      <c r="B33" s="10" t="s">
        <v>47</v>
      </c>
      <c r="C33" s="33">
        <v>1912.55</v>
      </c>
      <c r="D33" s="56">
        <v>48.52</v>
      </c>
      <c r="E33" s="56">
        <v>54.9</v>
      </c>
      <c r="F33" s="56">
        <v>0</v>
      </c>
      <c r="G33" s="33">
        <v>342.75</v>
      </c>
      <c r="H33" s="35">
        <f t="shared" si="5"/>
        <v>1.1314921681780707</v>
      </c>
      <c r="I33" s="33">
        <v>2186.75</v>
      </c>
      <c r="J33" s="56">
        <v>0.8</v>
      </c>
      <c r="K33" s="12">
        <f t="shared" si="6"/>
        <v>1.6488046166529265E-2</v>
      </c>
      <c r="L33" s="203">
        <f t="shared" si="7"/>
        <v>274.2</v>
      </c>
      <c r="M33" s="202">
        <f t="shared" si="8"/>
        <v>5.5799999999999956</v>
      </c>
      <c r="N33" s="13">
        <f t="shared" si="9"/>
        <v>0.11500412201154153</v>
      </c>
      <c r="O33" s="69" t="s">
        <v>22</v>
      </c>
      <c r="P33" s="66" t="s">
        <v>672</v>
      </c>
      <c r="Q33" s="14" t="s">
        <v>67</v>
      </c>
      <c r="R33" s="28" t="s">
        <v>73</v>
      </c>
    </row>
    <row r="34" spans="1:18" s="62" customFormat="1" ht="24.95" customHeight="1" x14ac:dyDescent="0.25">
      <c r="A34" s="204">
        <v>7</v>
      </c>
      <c r="B34" s="10" t="s">
        <v>26</v>
      </c>
      <c r="C34" s="33">
        <v>1857.77</v>
      </c>
      <c r="D34" s="56">
        <v>29.04</v>
      </c>
      <c r="E34" s="56">
        <v>31.553000000000001</v>
      </c>
      <c r="F34" s="56">
        <v>7</v>
      </c>
      <c r="G34" s="33">
        <v>212.73</v>
      </c>
      <c r="H34" s="35">
        <f t="shared" si="5"/>
        <v>1.3275826446280992</v>
      </c>
      <c r="I34" s="33">
        <v>2023.7</v>
      </c>
      <c r="J34" s="56">
        <v>0.78</v>
      </c>
      <c r="K34" s="12">
        <f t="shared" si="6"/>
        <v>2.6859504132231406E-2</v>
      </c>
      <c r="L34" s="203">
        <f t="shared" si="7"/>
        <v>165.92939999999999</v>
      </c>
      <c r="M34" s="202">
        <f t="shared" si="8"/>
        <v>8.7329999999999988</v>
      </c>
      <c r="N34" s="13">
        <f t="shared" si="9"/>
        <v>0.30072314049586774</v>
      </c>
      <c r="O34" s="69" t="s">
        <v>22</v>
      </c>
      <c r="P34" s="66" t="s">
        <v>672</v>
      </c>
      <c r="Q34" s="14" t="s">
        <v>84</v>
      </c>
      <c r="R34" s="28" t="s">
        <v>27</v>
      </c>
    </row>
    <row r="35" spans="1:18" s="62" customFormat="1" ht="24.95" customHeight="1" x14ac:dyDescent="0.25">
      <c r="A35" s="201">
        <v>8</v>
      </c>
      <c r="B35" s="10" t="s">
        <v>117</v>
      </c>
      <c r="C35" s="33">
        <v>1838.1</v>
      </c>
      <c r="D35" s="56">
        <v>110.7</v>
      </c>
      <c r="E35" s="56">
        <v>112.21</v>
      </c>
      <c r="F35" s="56">
        <v>13.8</v>
      </c>
      <c r="G35" s="33">
        <v>110</v>
      </c>
      <c r="H35" s="35">
        <f t="shared" si="5"/>
        <v>1.1383017163504967</v>
      </c>
      <c r="I35" s="33">
        <v>1903</v>
      </c>
      <c r="J35" s="56">
        <v>0.89</v>
      </c>
      <c r="K35" s="12">
        <f t="shared" si="6"/>
        <v>8.0397470641373082E-3</v>
      </c>
      <c r="L35" s="203">
        <f t="shared" si="7"/>
        <v>97.9</v>
      </c>
      <c r="M35" s="202">
        <f t="shared" si="8"/>
        <v>14.419999999999987</v>
      </c>
      <c r="N35" s="13">
        <f t="shared" si="9"/>
        <v>0.13026196928635941</v>
      </c>
      <c r="O35" s="69" t="s">
        <v>18</v>
      </c>
      <c r="P35" s="66" t="s">
        <v>673</v>
      </c>
      <c r="Q35" s="14" t="s">
        <v>678</v>
      </c>
      <c r="R35" s="28" t="s">
        <v>25</v>
      </c>
    </row>
    <row r="36" spans="1:18" s="62" customFormat="1" ht="24.95" customHeight="1" x14ac:dyDescent="0.25">
      <c r="A36" s="204">
        <v>9</v>
      </c>
      <c r="B36" s="10" t="s">
        <v>31</v>
      </c>
      <c r="C36" s="33">
        <v>1558.6</v>
      </c>
      <c r="D36" s="56">
        <v>20.21</v>
      </c>
      <c r="E36" s="56">
        <v>21.07</v>
      </c>
      <c r="F36" s="56">
        <v>5.58</v>
      </c>
      <c r="G36" s="33">
        <v>278.82</v>
      </c>
      <c r="H36" s="35">
        <f t="shared" si="5"/>
        <v>1.3186541316180107</v>
      </c>
      <c r="I36" s="33">
        <v>1795.6</v>
      </c>
      <c r="J36" s="56">
        <v>0.85</v>
      </c>
      <c r="K36" s="12">
        <f t="shared" si="6"/>
        <v>4.2058386937159818E-2</v>
      </c>
      <c r="L36" s="203">
        <f t="shared" si="7"/>
        <v>236.99699999999999</v>
      </c>
      <c r="M36" s="202">
        <f t="shared" si="8"/>
        <v>5.5899999999999981</v>
      </c>
      <c r="N36" s="13">
        <f t="shared" si="9"/>
        <v>0.27659574468085096</v>
      </c>
      <c r="O36" s="69" t="s">
        <v>22</v>
      </c>
      <c r="P36" s="66" t="s">
        <v>672</v>
      </c>
      <c r="Q36" s="14" t="s">
        <v>65</v>
      </c>
      <c r="R36" s="28" t="s">
        <v>25</v>
      </c>
    </row>
    <row r="37" spans="1:18" s="62" customFormat="1" ht="24.95" customHeight="1" thickBot="1" x14ac:dyDescent="0.3">
      <c r="A37" s="205">
        <v>10</v>
      </c>
      <c r="B37" s="16" t="s">
        <v>63</v>
      </c>
      <c r="C37" s="34">
        <v>1434.6999999999998</v>
      </c>
      <c r="D37" s="58">
        <v>54.36</v>
      </c>
      <c r="E37" s="58">
        <v>54.97</v>
      </c>
      <c r="F37" s="58">
        <v>6.3</v>
      </c>
      <c r="G37" s="34">
        <v>230.66</v>
      </c>
      <c r="H37" s="36">
        <f t="shared" si="5"/>
        <v>1.1271155261221486</v>
      </c>
      <c r="I37" s="34">
        <v>1593.86</v>
      </c>
      <c r="J37" s="58">
        <v>0.69</v>
      </c>
      <c r="K37" s="18">
        <f t="shared" si="6"/>
        <v>1.2693156732891831E-2</v>
      </c>
      <c r="L37" s="207">
        <f t="shared" si="7"/>
        <v>159.15539999999999</v>
      </c>
      <c r="M37" s="206">
        <f t="shared" si="8"/>
        <v>6.2199999999999971</v>
      </c>
      <c r="N37" s="19">
        <f t="shared" si="9"/>
        <v>0.11442236938925675</v>
      </c>
      <c r="O37" s="52" t="s">
        <v>22</v>
      </c>
      <c r="P37" s="64" t="s">
        <v>672</v>
      </c>
      <c r="Q37" s="20" t="s">
        <v>84</v>
      </c>
      <c r="R37" s="65" t="s">
        <v>25</v>
      </c>
    </row>
    <row r="38" spans="1:18" ht="15.75" customHeight="1" thickBot="1" x14ac:dyDescent="0.3">
      <c r="O38" s="61"/>
      <c r="P38" s="61"/>
      <c r="Q38" s="61"/>
      <c r="R38" s="59"/>
    </row>
    <row r="39" spans="1:18" ht="40.5" customHeight="1" x14ac:dyDescent="0.35">
      <c r="A39" s="443" t="s">
        <v>631</v>
      </c>
      <c r="B39" s="444"/>
      <c r="C39" s="444"/>
      <c r="D39" s="445"/>
      <c r="E39" s="23"/>
      <c r="F39" s="63"/>
      <c r="G39" s="21"/>
      <c r="H39" s="22"/>
      <c r="I39" s="63"/>
    </row>
    <row r="40" spans="1:18" ht="26.1" customHeight="1" x14ac:dyDescent="0.35">
      <c r="A40" s="446" t="s">
        <v>601</v>
      </c>
      <c r="B40" s="447"/>
      <c r="C40" s="447"/>
      <c r="D40" s="448"/>
      <c r="E40" s="23"/>
      <c r="G40" s="21"/>
      <c r="H40" s="22"/>
    </row>
    <row r="41" spans="1:18" ht="25.5" customHeight="1" x14ac:dyDescent="0.35">
      <c r="A41" s="765" t="s">
        <v>607</v>
      </c>
      <c r="B41" s="450" t="s">
        <v>608</v>
      </c>
      <c r="C41" s="450"/>
      <c r="D41" s="451"/>
      <c r="E41" s="23"/>
      <c r="G41" s="21"/>
      <c r="H41" s="22"/>
    </row>
    <row r="42" spans="1:18" ht="20.45" customHeight="1" x14ac:dyDescent="0.35">
      <c r="A42" s="765"/>
      <c r="B42" s="766" t="s">
        <v>611</v>
      </c>
      <c r="C42" s="767" t="s">
        <v>612</v>
      </c>
      <c r="D42" s="768" t="s">
        <v>632</v>
      </c>
      <c r="E42" s="23"/>
      <c r="G42" s="21"/>
      <c r="H42" s="22"/>
    </row>
    <row r="43" spans="1:18" ht="20.45" customHeight="1" x14ac:dyDescent="0.35">
      <c r="A43" s="765"/>
      <c r="B43" s="766"/>
      <c r="C43" s="767"/>
      <c r="D43" s="768"/>
      <c r="E43" s="23"/>
      <c r="G43" s="21"/>
      <c r="H43" s="22"/>
    </row>
    <row r="44" spans="1:18" s="26" customFormat="1" ht="24.95" customHeight="1" x14ac:dyDescent="0.35">
      <c r="A44" s="211">
        <v>1</v>
      </c>
      <c r="B44" s="10" t="s">
        <v>59</v>
      </c>
      <c r="C44" s="33">
        <v>1112.78</v>
      </c>
      <c r="D44" s="24">
        <f t="shared" ref="D44:D53" si="10">C44/$L$5</f>
        <v>0.24622022591244516</v>
      </c>
      <c r="E44" s="25"/>
      <c r="G44" s="21"/>
      <c r="H44" s="22"/>
    </row>
    <row r="45" spans="1:18" s="26" customFormat="1" ht="24.95" customHeight="1" x14ac:dyDescent="0.35">
      <c r="A45" s="212">
        <v>2</v>
      </c>
      <c r="B45" s="10" t="s">
        <v>71</v>
      </c>
      <c r="C45" s="33">
        <v>653.17999999999995</v>
      </c>
      <c r="D45" s="24">
        <f t="shared" si="10"/>
        <v>0.14452643573886206</v>
      </c>
      <c r="E45" s="25"/>
      <c r="G45" s="21"/>
      <c r="H45" s="22"/>
    </row>
    <row r="46" spans="1:18" s="26" customFormat="1" ht="24.95" customHeight="1" x14ac:dyDescent="0.35">
      <c r="A46" s="212">
        <v>3</v>
      </c>
      <c r="B46" s="10" t="s">
        <v>34</v>
      </c>
      <c r="C46" s="33">
        <v>641.84</v>
      </c>
      <c r="D46" s="24">
        <f t="shared" si="10"/>
        <v>0.14201728086382195</v>
      </c>
      <c r="E46" s="25"/>
      <c r="G46" s="21"/>
      <c r="H46" s="22"/>
    </row>
    <row r="47" spans="1:18" s="26" customFormat="1" ht="24.95" customHeight="1" x14ac:dyDescent="0.35">
      <c r="A47" s="211">
        <v>4</v>
      </c>
      <c r="B47" s="10" t="s">
        <v>30</v>
      </c>
      <c r="C47" s="33">
        <v>313.38</v>
      </c>
      <c r="D47" s="24">
        <f t="shared" si="10"/>
        <v>6.9340295832457502E-2</v>
      </c>
      <c r="E47" s="25"/>
      <c r="G47" s="21"/>
      <c r="H47" s="22"/>
    </row>
    <row r="48" spans="1:18" s="26" customFormat="1" ht="24.95" customHeight="1" x14ac:dyDescent="0.35">
      <c r="A48" s="212">
        <v>5</v>
      </c>
      <c r="B48" s="10" t="s">
        <v>38</v>
      </c>
      <c r="C48" s="33">
        <v>298.35000000000002</v>
      </c>
      <c r="D48" s="24">
        <f t="shared" si="10"/>
        <v>6.6014669926650393E-2</v>
      </c>
      <c r="E48" s="25"/>
      <c r="G48" s="21"/>
      <c r="H48" s="22"/>
    </row>
    <row r="49" spans="1:5" s="26" customFormat="1" ht="24.95" customHeight="1" x14ac:dyDescent="0.25">
      <c r="A49" s="211">
        <v>6</v>
      </c>
      <c r="B49" s="10" t="s">
        <v>544</v>
      </c>
      <c r="C49" s="33">
        <v>238.64</v>
      </c>
      <c r="D49" s="24">
        <f t="shared" si="10"/>
        <v>5.2802885306840443E-2</v>
      </c>
      <c r="E49" s="25"/>
    </row>
    <row r="50" spans="1:5" s="26" customFormat="1" ht="24.95" customHeight="1" x14ac:dyDescent="0.25">
      <c r="A50" s="212">
        <v>7</v>
      </c>
      <c r="B50" s="10" t="s">
        <v>31</v>
      </c>
      <c r="C50" s="33">
        <v>237</v>
      </c>
      <c r="D50" s="24">
        <f t="shared" si="10"/>
        <v>5.2440009293166216E-2</v>
      </c>
      <c r="E50" s="25"/>
    </row>
    <row r="51" spans="1:5" s="26" customFormat="1" ht="24.95" customHeight="1" x14ac:dyDescent="0.25">
      <c r="A51" s="211">
        <v>8</v>
      </c>
      <c r="B51" s="10" t="s">
        <v>69</v>
      </c>
      <c r="C51" s="33">
        <v>212.2</v>
      </c>
      <c r="D51" s="24">
        <f t="shared" si="10"/>
        <v>4.6952615915653459E-2</v>
      </c>
      <c r="E51" s="25"/>
    </row>
    <row r="52" spans="1:5" s="26" customFormat="1" ht="24.95" customHeight="1" x14ac:dyDescent="0.25">
      <c r="A52" s="212">
        <v>9</v>
      </c>
      <c r="B52" s="10" t="s">
        <v>116</v>
      </c>
      <c r="C52" s="33">
        <v>183.47</v>
      </c>
      <c r="D52" s="24">
        <f t="shared" si="10"/>
        <v>4.0595647700494536E-2</v>
      </c>
      <c r="E52" s="25"/>
    </row>
    <row r="53" spans="1:5" s="26" customFormat="1" ht="24.95" customHeight="1" thickBot="1" x14ac:dyDescent="0.3">
      <c r="A53" s="213">
        <v>10</v>
      </c>
      <c r="B53" s="16" t="s">
        <v>63</v>
      </c>
      <c r="C53" s="34">
        <v>159.16</v>
      </c>
      <c r="D53" s="27">
        <f t="shared" si="10"/>
        <v>3.5216674595360063E-2</v>
      </c>
      <c r="E53" s="25"/>
    </row>
    <row r="54" spans="1:5" x14ac:dyDescent="0.25">
      <c r="A54" s="441" t="s">
        <v>633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634</v>
      </c>
      <c r="B56" s="442"/>
      <c r="C56" s="442"/>
      <c r="D56" s="442"/>
      <c r="E56" s="442"/>
    </row>
  </sheetData>
  <dataConsolidate/>
  <mergeCells count="56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R7"/>
    <mergeCell ref="A8:C8"/>
    <mergeCell ref="D8:N8"/>
    <mergeCell ref="O8:O11"/>
    <mergeCell ref="P8:P11"/>
    <mergeCell ref="Q8:Q11"/>
    <mergeCell ref="R8:R11"/>
    <mergeCell ref="A9:A11"/>
    <mergeCell ref="A3:B4"/>
    <mergeCell ref="C3:C4"/>
    <mergeCell ref="D3:E3"/>
    <mergeCell ref="F3:G3"/>
    <mergeCell ref="H3:I3"/>
    <mergeCell ref="J3:K3"/>
    <mergeCell ref="B9:C9"/>
    <mergeCell ref="D9:I9"/>
    <mergeCell ref="J9:N9"/>
    <mergeCell ref="B10:B11"/>
    <mergeCell ref="C10:C11"/>
    <mergeCell ref="D10:I10"/>
    <mergeCell ref="J10:K10"/>
    <mergeCell ref="L10:N10"/>
    <mergeCell ref="A23:R23"/>
    <mergeCell ref="A24:C24"/>
    <mergeCell ref="D24:N24"/>
    <mergeCell ref="O24:O27"/>
    <mergeCell ref="P24:P27"/>
    <mergeCell ref="Q24:Q27"/>
    <mergeCell ref="R24:R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39:D39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455" priority="33" operator="containsText" text="024">
      <formula>NOT(ISERROR(SEARCH("024",A12)))</formula>
    </cfRule>
    <cfRule type="containsText" dxfId="454" priority="34" operator="containsText" text="白醬">
      <formula>NOT(ISERROR(SEARCH("白醬",A12)))</formula>
    </cfRule>
    <cfRule type="containsText" dxfId="453" priority="35" operator="containsText" text="青蔥">
      <formula>NOT(ISERROR(SEARCH("青蔥",A12)))</formula>
    </cfRule>
    <cfRule type="containsText" dxfId="452" priority="36" operator="containsText" text=")川燙小青花菜">
      <formula>NOT(ISERROR(SEARCH(")川燙小青花菜",A12)))</formula>
    </cfRule>
    <cfRule type="containsText" dxfId="451" priority="37" operator="containsText" text="湯凍">
      <formula>NOT(ISERROR(SEARCH("湯凍",A12)))</formula>
    </cfRule>
    <cfRule type="containsText" dxfId="450" priority="38" operator="containsText" text="中華">
      <formula>NOT(ISERROR(SEARCH("中華",A12)))</formula>
    </cfRule>
  </conditionalFormatting>
  <conditionalFormatting sqref="A12:A22">
    <cfRule type="containsText" dxfId="449" priority="31" operator="containsText" text="綠豆芽">
      <formula>NOT(ISERROR(SEARCH("綠豆芽",A12)))</formula>
    </cfRule>
    <cfRule type="containsText" dxfId="448" priority="32" operator="containsText" text="煮白細麵生(方#12)">
      <formula>NOT(ISERROR(SEARCH("煮白細麵生(方#12)",A12)))</formula>
    </cfRule>
  </conditionalFormatting>
  <conditionalFormatting sqref="E5">
    <cfRule type="cellIs" dxfId="447" priority="16" operator="greaterThan">
      <formula>0.0025</formula>
    </cfRule>
    <cfRule type="cellIs" dxfId="446" priority="19" operator="greaterThan">
      <formula>0.0025</formula>
    </cfRule>
    <cfRule type="cellIs" dxfId="445" priority="29" operator="greaterThan">
      <formula>0.072</formula>
    </cfRule>
    <cfRule type="cellIs" dxfId="444" priority="30" operator="greaterThan">
      <formula>7.2</formula>
    </cfRule>
  </conditionalFormatting>
  <conditionalFormatting sqref="E5">
    <cfRule type="cellIs" dxfId="443" priority="28" operator="greaterThan">
      <formula>0.0025</formula>
    </cfRule>
  </conditionalFormatting>
  <conditionalFormatting sqref="A44:A53">
    <cfRule type="containsText" dxfId="442" priority="22" operator="containsText" text="024">
      <formula>NOT(ISERROR(SEARCH("024",A44)))</formula>
    </cfRule>
    <cfRule type="containsText" dxfId="441" priority="23" operator="containsText" text="白醬">
      <formula>NOT(ISERROR(SEARCH("白醬",A44)))</formula>
    </cfRule>
    <cfRule type="containsText" dxfId="440" priority="24" operator="containsText" text="青蔥">
      <formula>NOT(ISERROR(SEARCH("青蔥",A44)))</formula>
    </cfRule>
    <cfRule type="containsText" dxfId="439" priority="25" operator="containsText" text=")川燙小青花菜">
      <formula>NOT(ISERROR(SEARCH(")川燙小青花菜",A44)))</formula>
    </cfRule>
    <cfRule type="containsText" dxfId="438" priority="26" operator="containsText" text="湯凍">
      <formula>NOT(ISERROR(SEARCH("湯凍",A44)))</formula>
    </cfRule>
    <cfRule type="containsText" dxfId="437" priority="27" operator="containsText" text="中華">
      <formula>NOT(ISERROR(SEARCH("中華",A44)))</formula>
    </cfRule>
  </conditionalFormatting>
  <conditionalFormatting sqref="A44:A53">
    <cfRule type="containsText" dxfId="436" priority="20" operator="containsText" text="綠豆芽">
      <formula>NOT(ISERROR(SEARCH("綠豆芽",A44)))</formula>
    </cfRule>
    <cfRule type="containsText" dxfId="435" priority="21" operator="containsText" text="煮白細麵生(方#12)">
      <formula>NOT(ISERROR(SEARCH("煮白細麵生(方#12)",A44)))</formula>
    </cfRule>
  </conditionalFormatting>
  <conditionalFormatting sqref="D44:D53">
    <cfRule type="cellIs" dxfId="434" priority="18" operator="greaterThan">
      <formula>0.146</formula>
    </cfRule>
  </conditionalFormatting>
  <conditionalFormatting sqref="H12:H22">
    <cfRule type="cellIs" dxfId="433" priority="17" operator="greaterThan">
      <formula>1.1</formula>
    </cfRule>
  </conditionalFormatting>
  <conditionalFormatting sqref="I5">
    <cfRule type="cellIs" dxfId="432" priority="15" operator="greaterThan">
      <formula>0.2</formula>
    </cfRule>
  </conditionalFormatting>
  <conditionalFormatting sqref="A28:A37">
    <cfRule type="containsText" dxfId="431" priority="9" operator="containsText" text="024">
      <formula>NOT(ISERROR(SEARCH("024",A28)))</formula>
    </cfRule>
    <cfRule type="containsText" dxfId="430" priority="10" operator="containsText" text="白醬">
      <formula>NOT(ISERROR(SEARCH("白醬",A28)))</formula>
    </cfRule>
    <cfRule type="containsText" dxfId="429" priority="11" operator="containsText" text="青蔥">
      <formula>NOT(ISERROR(SEARCH("青蔥",A28)))</formula>
    </cfRule>
    <cfRule type="containsText" dxfId="428" priority="12" operator="containsText" text=")川燙小青花菜">
      <formula>NOT(ISERROR(SEARCH(")川燙小青花菜",A28)))</formula>
    </cfRule>
    <cfRule type="containsText" dxfId="427" priority="13" operator="containsText" text="湯凍">
      <formula>NOT(ISERROR(SEARCH("湯凍",A28)))</formula>
    </cfRule>
    <cfRule type="containsText" dxfId="426" priority="14" operator="containsText" text="中華">
      <formula>NOT(ISERROR(SEARCH("中華",A28)))</formula>
    </cfRule>
  </conditionalFormatting>
  <conditionalFormatting sqref="A28:A37">
    <cfRule type="containsText" dxfId="425" priority="7" operator="containsText" text="綠豆芽">
      <formula>NOT(ISERROR(SEARCH("綠豆芽",A28)))</formula>
    </cfRule>
    <cfRule type="containsText" dxfId="424" priority="8" operator="containsText" text="煮白細麵生(方#12)">
      <formula>NOT(ISERROR(SEARCH("煮白細麵生(方#12)",A28)))</formula>
    </cfRule>
  </conditionalFormatting>
  <conditionalFormatting sqref="H28:H37">
    <cfRule type="cellIs" dxfId="423" priority="6" operator="greaterThan">
      <formula>1.1</formula>
    </cfRule>
  </conditionalFormatting>
  <conditionalFormatting sqref="G5">
    <cfRule type="cellIs" dxfId="422" priority="1" operator="greaterThan">
      <formula>0.0025</formula>
    </cfRule>
    <cfRule type="cellIs" dxfId="421" priority="2" operator="greaterThan">
      <formula>0.0025</formula>
    </cfRule>
    <cfRule type="cellIs" dxfId="420" priority="4" operator="greaterThan">
      <formula>0.072</formula>
    </cfRule>
    <cfRule type="cellIs" dxfId="419" priority="5" operator="greaterThan">
      <formula>7.2</formula>
    </cfRule>
  </conditionalFormatting>
  <conditionalFormatting sqref="G5">
    <cfRule type="cellIs" dxfId="41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下拉式選單!$C$2:$C$9</xm:f>
          </x14:formula1>
          <xm:sqref>P28:P37 P12:P21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3" zoomScale="55" zoomScaleNormal="55" zoomScaleSheetLayoutView="70" workbookViewId="0">
      <selection activeCell="B12" sqref="B1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811" t="s">
        <v>92</v>
      </c>
      <c r="B2" s="812"/>
      <c r="C2" s="178" t="s">
        <v>93</v>
      </c>
      <c r="D2" s="813" t="s">
        <v>94</v>
      </c>
      <c r="E2" s="813"/>
      <c r="F2" s="813" t="s">
        <v>95</v>
      </c>
      <c r="G2" s="813"/>
      <c r="H2" s="813" t="s">
        <v>94</v>
      </c>
      <c r="I2" s="813"/>
      <c r="J2" s="813" t="s">
        <v>95</v>
      </c>
      <c r="K2" s="813"/>
      <c r="L2" s="813" t="s">
        <v>94</v>
      </c>
      <c r="M2" s="814"/>
      <c r="Q2" s="54"/>
    </row>
    <row r="3" spans="1:17" s="1" customFormat="1" ht="28.5" x14ac:dyDescent="0.45">
      <c r="A3" s="808">
        <v>45880</v>
      </c>
      <c r="B3" s="809"/>
      <c r="C3" s="810">
        <v>5944516.0099999998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808"/>
      <c r="B4" s="809"/>
      <c r="C4" s="810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806" t="s">
        <v>105</v>
      </c>
      <c r="B5" s="807"/>
      <c r="C5" s="807"/>
      <c r="D5" s="179">
        <v>14564.22</v>
      </c>
      <c r="E5" s="5">
        <f>D5/C3</f>
        <v>2.4500262049088166E-3</v>
      </c>
      <c r="F5" s="179">
        <v>50823.560000000005</v>
      </c>
      <c r="G5" s="44">
        <f>F5/C3</f>
        <v>8.5496548271555596E-3</v>
      </c>
      <c r="H5" s="6">
        <f>SUM(C12:C21)</f>
        <v>5918.3200000000006</v>
      </c>
      <c r="I5" s="7">
        <f>H5/D5</f>
        <v>0.40636024448957797</v>
      </c>
      <c r="J5" s="6">
        <f>SUM(C28:C37)</f>
        <v>32770.51</v>
      </c>
      <c r="K5" s="46">
        <f>J5/F5</f>
        <v>0.64478973924691618</v>
      </c>
      <c r="L5" s="8">
        <v>5762.81</v>
      </c>
      <c r="M5" s="9">
        <f>L5/D5</f>
        <v>0.39568270734718375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545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546</v>
      </c>
      <c r="B8" s="447"/>
      <c r="C8" s="447"/>
      <c r="D8" s="447" t="s">
        <v>547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548</v>
      </c>
      <c r="P8" s="456" t="s">
        <v>549</v>
      </c>
      <c r="Q8" s="793" t="s">
        <v>131</v>
      </c>
    </row>
    <row r="9" spans="1:17" ht="20.45" customHeight="1" x14ac:dyDescent="0.25">
      <c r="A9" s="794" t="s">
        <v>550</v>
      </c>
      <c r="B9" s="461" t="s">
        <v>551</v>
      </c>
      <c r="C9" s="462"/>
      <c r="D9" s="463" t="s">
        <v>552</v>
      </c>
      <c r="E9" s="463"/>
      <c r="F9" s="463"/>
      <c r="G9" s="463"/>
      <c r="H9" s="463"/>
      <c r="I9" s="463"/>
      <c r="J9" s="464" t="s">
        <v>553</v>
      </c>
      <c r="K9" s="464"/>
      <c r="L9" s="464"/>
      <c r="M9" s="465"/>
      <c r="N9" s="465"/>
      <c r="O9" s="456"/>
      <c r="P9" s="456"/>
      <c r="Q9" s="793"/>
    </row>
    <row r="10" spans="1:17" ht="20.45" customHeight="1" x14ac:dyDescent="0.3">
      <c r="A10" s="795"/>
      <c r="B10" s="797" t="s">
        <v>554</v>
      </c>
      <c r="C10" s="799" t="s">
        <v>555</v>
      </c>
      <c r="D10" s="801" t="s">
        <v>556</v>
      </c>
      <c r="E10" s="801"/>
      <c r="F10" s="801"/>
      <c r="G10" s="801"/>
      <c r="H10" s="801"/>
      <c r="I10" s="801"/>
      <c r="J10" s="802" t="s">
        <v>138</v>
      </c>
      <c r="K10" s="804"/>
      <c r="L10" s="805" t="s">
        <v>557</v>
      </c>
      <c r="M10" s="802"/>
      <c r="N10" s="802"/>
      <c r="O10" s="456"/>
      <c r="P10" s="456"/>
      <c r="Q10" s="793"/>
    </row>
    <row r="11" spans="1:17" s="55" customFormat="1" ht="47.25" customHeight="1" x14ac:dyDescent="0.25">
      <c r="A11" s="796"/>
      <c r="B11" s="798"/>
      <c r="C11" s="800"/>
      <c r="D11" s="180" t="s">
        <v>558</v>
      </c>
      <c r="E11" s="180" t="s">
        <v>559</v>
      </c>
      <c r="F11" s="180" t="s">
        <v>560</v>
      </c>
      <c r="G11" s="180" t="s">
        <v>561</v>
      </c>
      <c r="H11" s="180" t="s">
        <v>562</v>
      </c>
      <c r="I11" s="180" t="s">
        <v>563</v>
      </c>
      <c r="J11" s="181" t="s">
        <v>564</v>
      </c>
      <c r="K11" s="181" t="s">
        <v>565</v>
      </c>
      <c r="L11" s="181" t="s">
        <v>564</v>
      </c>
      <c r="M11" s="181" t="s">
        <v>565</v>
      </c>
      <c r="N11" s="182" t="s">
        <v>566</v>
      </c>
      <c r="O11" s="456"/>
      <c r="P11" s="456"/>
      <c r="Q11" s="793"/>
    </row>
    <row r="12" spans="1:17" s="15" customFormat="1" ht="24.95" customHeight="1" x14ac:dyDescent="0.25">
      <c r="A12" s="183">
        <v>1</v>
      </c>
      <c r="B12" s="10" t="s">
        <v>46</v>
      </c>
      <c r="C12" s="33">
        <v>1012.86</v>
      </c>
      <c r="D12" s="56">
        <v>23.56</v>
      </c>
      <c r="E12" s="56">
        <v>21.09</v>
      </c>
      <c r="F12" s="56">
        <v>4.7</v>
      </c>
      <c r="G12" s="33">
        <v>1012.86</v>
      </c>
      <c r="H12" s="11">
        <f t="shared" ref="H12:H21" si="0">(E12+F12)/D12</f>
        <v>1.0946519524617997</v>
      </c>
      <c r="I12" s="33">
        <v>2258.6799999999998</v>
      </c>
      <c r="J12" s="56">
        <v>1</v>
      </c>
      <c r="K12" s="12">
        <f t="shared" ref="K12:K21" si="1">J12/D12</f>
        <v>4.2444821731748732E-2</v>
      </c>
      <c r="L12" s="184">
        <f t="shared" ref="L12:L21" si="2">((E12+F12)-D12)-J12</f>
        <v>1.2300000000000004</v>
      </c>
      <c r="M12" s="13">
        <f t="shared" ref="M12:M21" si="3">L12/D12</f>
        <v>5.2207130730050955E-2</v>
      </c>
      <c r="N12" s="185">
        <f t="shared" ref="N12:N21" si="4">L12*G12</f>
        <v>1245.8178000000005</v>
      </c>
      <c r="O12" s="66" t="s">
        <v>19</v>
      </c>
      <c r="P12" s="66" t="s">
        <v>587</v>
      </c>
      <c r="Q12" s="28" t="s">
        <v>76</v>
      </c>
    </row>
    <row r="13" spans="1:17" s="15" customFormat="1" ht="24.95" customHeight="1" x14ac:dyDescent="0.25">
      <c r="A13" s="186">
        <v>2</v>
      </c>
      <c r="B13" s="10" t="s">
        <v>36</v>
      </c>
      <c r="C13" s="33">
        <v>941.95</v>
      </c>
      <c r="D13" s="56">
        <v>226.02</v>
      </c>
      <c r="E13" s="56">
        <v>211.76999999999998</v>
      </c>
      <c r="F13" s="56">
        <v>28.3</v>
      </c>
      <c r="G13" s="33">
        <v>156.72999999999999</v>
      </c>
      <c r="H13" s="11">
        <f t="shared" si="0"/>
        <v>1.0621626404742943</v>
      </c>
      <c r="I13" s="33">
        <v>2202.06</v>
      </c>
      <c r="J13" s="56">
        <v>6.01</v>
      </c>
      <c r="K13" s="12">
        <f t="shared" si="1"/>
        <v>2.6590567206441904E-2</v>
      </c>
      <c r="L13" s="184">
        <f t="shared" si="2"/>
        <v>8.0399999999999832</v>
      </c>
      <c r="M13" s="13">
        <f t="shared" si="3"/>
        <v>3.5572073267852326E-2</v>
      </c>
      <c r="N13" s="185">
        <f t="shared" si="4"/>
        <v>1260.1091999999974</v>
      </c>
      <c r="O13" s="66" t="s">
        <v>18</v>
      </c>
      <c r="P13" s="66" t="s">
        <v>583</v>
      </c>
      <c r="Q13" s="28" t="s">
        <v>25</v>
      </c>
    </row>
    <row r="14" spans="1:17" s="57" customFormat="1" ht="24.95" customHeight="1" x14ac:dyDescent="0.25">
      <c r="A14" s="186">
        <v>3</v>
      </c>
      <c r="B14" s="10" t="s">
        <v>31</v>
      </c>
      <c r="C14" s="33">
        <v>842.04</v>
      </c>
      <c r="D14" s="56">
        <v>21.64</v>
      </c>
      <c r="E14" s="56">
        <v>23.83</v>
      </c>
      <c r="F14" s="56">
        <v>4.2</v>
      </c>
      <c r="G14" s="33">
        <v>278.82</v>
      </c>
      <c r="H14" s="11">
        <f t="shared" si="0"/>
        <v>1.2952865064695007</v>
      </c>
      <c r="I14" s="33">
        <v>1781.66</v>
      </c>
      <c r="J14" s="56">
        <v>3.02</v>
      </c>
      <c r="K14" s="12">
        <f t="shared" si="1"/>
        <v>0.13955637707948243</v>
      </c>
      <c r="L14" s="184">
        <f t="shared" si="2"/>
        <v>3.369999999999997</v>
      </c>
      <c r="M14" s="13">
        <f t="shared" si="3"/>
        <v>0.15573012939001835</v>
      </c>
      <c r="N14" s="185">
        <f t="shared" si="4"/>
        <v>939.62339999999915</v>
      </c>
      <c r="O14" s="66" t="s">
        <v>18</v>
      </c>
      <c r="P14" s="66" t="s">
        <v>583</v>
      </c>
      <c r="Q14" s="28" t="s">
        <v>25</v>
      </c>
    </row>
    <row r="15" spans="1:17" s="15" customFormat="1" ht="24.95" customHeight="1" x14ac:dyDescent="0.25">
      <c r="A15" s="183">
        <v>4</v>
      </c>
      <c r="B15" s="10" t="s">
        <v>38</v>
      </c>
      <c r="C15" s="33">
        <v>549.12</v>
      </c>
      <c r="D15" s="56">
        <v>235.31</v>
      </c>
      <c r="E15" s="56">
        <v>246.34</v>
      </c>
      <c r="F15" s="56">
        <v>10.25</v>
      </c>
      <c r="G15" s="33">
        <v>99.12</v>
      </c>
      <c r="H15" s="11">
        <f t="shared" si="0"/>
        <v>1.0904338957120396</v>
      </c>
      <c r="I15" s="33">
        <v>2109.27</v>
      </c>
      <c r="J15" s="56">
        <v>5.54</v>
      </c>
      <c r="K15" s="12">
        <f t="shared" si="1"/>
        <v>2.3543410819769666E-2</v>
      </c>
      <c r="L15" s="184">
        <f t="shared" si="2"/>
        <v>15.74000000000003</v>
      </c>
      <c r="M15" s="13">
        <f t="shared" si="3"/>
        <v>6.6890484892269897E-2</v>
      </c>
      <c r="N15" s="185">
        <f t="shared" si="4"/>
        <v>1560.1488000000031</v>
      </c>
      <c r="O15" s="66" t="s">
        <v>584</v>
      </c>
      <c r="P15" s="66" t="s">
        <v>585</v>
      </c>
      <c r="Q15" s="28" t="s">
        <v>25</v>
      </c>
    </row>
    <row r="16" spans="1:17" s="57" customFormat="1" ht="24.95" customHeight="1" x14ac:dyDescent="0.25">
      <c r="A16" s="186">
        <v>5</v>
      </c>
      <c r="B16" s="10" t="s">
        <v>512</v>
      </c>
      <c r="C16" s="33">
        <v>535.94000000000005</v>
      </c>
      <c r="D16" s="56">
        <v>53.75</v>
      </c>
      <c r="E16" s="56">
        <v>68.95</v>
      </c>
      <c r="F16" s="56">
        <v>0</v>
      </c>
      <c r="G16" s="33">
        <v>74.23</v>
      </c>
      <c r="H16" s="11">
        <f t="shared" si="0"/>
        <v>1.2827906976744186</v>
      </c>
      <c r="I16" s="33">
        <v>1128.3</v>
      </c>
      <c r="J16" s="56">
        <v>7.22</v>
      </c>
      <c r="K16" s="12">
        <f t="shared" si="1"/>
        <v>0.13432558139534884</v>
      </c>
      <c r="L16" s="184">
        <f t="shared" si="2"/>
        <v>7.9800000000000031</v>
      </c>
      <c r="M16" s="13">
        <f t="shared" si="3"/>
        <v>0.14846511627906983</v>
      </c>
      <c r="N16" s="185">
        <f t="shared" si="4"/>
        <v>592.35540000000026</v>
      </c>
      <c r="O16" s="66" t="s">
        <v>18</v>
      </c>
      <c r="P16" s="66" t="s">
        <v>590</v>
      </c>
      <c r="Q16" s="28" t="s">
        <v>74</v>
      </c>
    </row>
    <row r="17" spans="1:17" s="15" customFormat="1" ht="24.95" customHeight="1" x14ac:dyDescent="0.25">
      <c r="A17" s="183">
        <v>6</v>
      </c>
      <c r="B17" s="10" t="s">
        <v>108</v>
      </c>
      <c r="C17" s="33">
        <v>473.58</v>
      </c>
      <c r="D17" s="56">
        <v>49.32</v>
      </c>
      <c r="E17" s="56">
        <v>48.910000000000004</v>
      </c>
      <c r="F17" s="56">
        <v>8.5399999999999991</v>
      </c>
      <c r="G17" s="33">
        <v>118.99</v>
      </c>
      <c r="H17" s="11">
        <f t="shared" si="0"/>
        <v>1.1648418491484185</v>
      </c>
      <c r="I17" s="33">
        <v>967.39</v>
      </c>
      <c r="J17" s="56">
        <v>3.98</v>
      </c>
      <c r="K17" s="12">
        <f t="shared" si="1"/>
        <v>8.0697485806974861E-2</v>
      </c>
      <c r="L17" s="184">
        <f t="shared" si="2"/>
        <v>4.1500000000000021</v>
      </c>
      <c r="M17" s="13">
        <f t="shared" si="3"/>
        <v>8.4144363341443679E-2</v>
      </c>
      <c r="N17" s="185">
        <f t="shared" si="4"/>
        <v>493.80850000000021</v>
      </c>
      <c r="O17" s="66" t="s">
        <v>584</v>
      </c>
      <c r="P17" s="66" t="s">
        <v>585</v>
      </c>
      <c r="Q17" s="28" t="s">
        <v>51</v>
      </c>
    </row>
    <row r="18" spans="1:17" s="57" customFormat="1" ht="24.95" customHeight="1" x14ac:dyDescent="0.25">
      <c r="A18" s="186">
        <v>7</v>
      </c>
      <c r="B18" s="10" t="s">
        <v>567</v>
      </c>
      <c r="C18" s="33">
        <v>463.77</v>
      </c>
      <c r="D18" s="56">
        <v>140.6</v>
      </c>
      <c r="E18" s="56">
        <v>147.31</v>
      </c>
      <c r="F18" s="56">
        <v>0</v>
      </c>
      <c r="G18" s="33">
        <v>138.44</v>
      </c>
      <c r="H18" s="11">
        <f t="shared" si="0"/>
        <v>1.0477240398293031</v>
      </c>
      <c r="I18" s="33">
        <v>928.93</v>
      </c>
      <c r="J18" s="56">
        <v>3.35</v>
      </c>
      <c r="K18" s="12">
        <f t="shared" si="1"/>
        <v>2.3826458036984355E-2</v>
      </c>
      <c r="L18" s="184">
        <f t="shared" si="2"/>
        <v>3.3600000000000079</v>
      </c>
      <c r="M18" s="13">
        <f t="shared" si="3"/>
        <v>2.3897581792318691E-2</v>
      </c>
      <c r="N18" s="185">
        <f t="shared" si="4"/>
        <v>465.15840000000111</v>
      </c>
      <c r="O18" s="66" t="s">
        <v>19</v>
      </c>
      <c r="P18" s="66" t="s">
        <v>587</v>
      </c>
      <c r="Q18" s="28" t="s">
        <v>25</v>
      </c>
    </row>
    <row r="19" spans="1:17" s="15" customFormat="1" ht="24.95" customHeight="1" x14ac:dyDescent="0.25">
      <c r="A19" s="183">
        <v>8</v>
      </c>
      <c r="B19" s="10" t="s">
        <v>112</v>
      </c>
      <c r="C19" s="33">
        <v>396.75</v>
      </c>
      <c r="D19" s="56">
        <v>20.96</v>
      </c>
      <c r="E19" s="56">
        <v>26.38</v>
      </c>
      <c r="F19" s="56">
        <v>0</v>
      </c>
      <c r="G19" s="33">
        <v>148.04</v>
      </c>
      <c r="H19" s="11">
        <f t="shared" si="0"/>
        <v>1.2585877862595418</v>
      </c>
      <c r="I19" s="33">
        <v>802.38</v>
      </c>
      <c r="J19" s="56">
        <v>2.68</v>
      </c>
      <c r="K19" s="12">
        <f t="shared" si="1"/>
        <v>0.12786259541984732</v>
      </c>
      <c r="L19" s="184">
        <f t="shared" si="2"/>
        <v>2.739999999999998</v>
      </c>
      <c r="M19" s="13">
        <f t="shared" si="3"/>
        <v>0.13072519083969456</v>
      </c>
      <c r="N19" s="185">
        <f t="shared" si="4"/>
        <v>405.6295999999997</v>
      </c>
      <c r="O19" s="66" t="s">
        <v>19</v>
      </c>
      <c r="P19" s="66" t="s">
        <v>586</v>
      </c>
      <c r="Q19" s="28" t="s">
        <v>113</v>
      </c>
    </row>
    <row r="20" spans="1:17" s="15" customFormat="1" ht="24.95" customHeight="1" x14ac:dyDescent="0.25">
      <c r="A20" s="186">
        <v>9</v>
      </c>
      <c r="B20" s="10" t="s">
        <v>368</v>
      </c>
      <c r="C20" s="33">
        <v>358.6</v>
      </c>
      <c r="D20" s="56">
        <v>65.45</v>
      </c>
      <c r="E20" s="56">
        <v>73.430000000000007</v>
      </c>
      <c r="F20" s="56">
        <v>0</v>
      </c>
      <c r="G20" s="33">
        <v>90.1</v>
      </c>
      <c r="H20" s="11">
        <f t="shared" si="0"/>
        <v>1.1219251336898397</v>
      </c>
      <c r="I20" s="33">
        <v>719</v>
      </c>
      <c r="J20" s="56">
        <v>3.98</v>
      </c>
      <c r="K20" s="12">
        <f t="shared" si="1"/>
        <v>6.0809778456837278E-2</v>
      </c>
      <c r="L20" s="184">
        <f t="shared" si="2"/>
        <v>4.0000000000000036</v>
      </c>
      <c r="M20" s="13">
        <f t="shared" si="3"/>
        <v>6.1115355233002343E-2</v>
      </c>
      <c r="N20" s="185">
        <f t="shared" si="4"/>
        <v>360.40000000000032</v>
      </c>
      <c r="O20" s="66" t="s">
        <v>18</v>
      </c>
      <c r="P20" s="66" t="s">
        <v>590</v>
      </c>
      <c r="Q20" s="28" t="s">
        <v>78</v>
      </c>
    </row>
    <row r="21" spans="1:17" s="15" customFormat="1" ht="24.95" customHeight="1" thickBot="1" x14ac:dyDescent="0.3">
      <c r="A21" s="187">
        <v>10</v>
      </c>
      <c r="B21" s="16" t="s">
        <v>87</v>
      </c>
      <c r="C21" s="34">
        <v>343.71</v>
      </c>
      <c r="D21" s="58">
        <v>15.29</v>
      </c>
      <c r="E21" s="58">
        <v>19.850000000000001</v>
      </c>
      <c r="F21" s="58">
        <v>0</v>
      </c>
      <c r="G21" s="34">
        <v>160.61000000000001</v>
      </c>
      <c r="H21" s="17">
        <f t="shared" si="0"/>
        <v>1.2982341399607589</v>
      </c>
      <c r="I21" s="34">
        <v>732.38</v>
      </c>
      <c r="J21" s="58">
        <v>2.14</v>
      </c>
      <c r="K21" s="18">
        <f t="shared" si="1"/>
        <v>0.13996075866579466</v>
      </c>
      <c r="L21" s="188">
        <f t="shared" si="2"/>
        <v>2.4200000000000021</v>
      </c>
      <c r="M21" s="19">
        <f t="shared" si="3"/>
        <v>0.15827338129496418</v>
      </c>
      <c r="N21" s="189">
        <f t="shared" si="4"/>
        <v>388.67620000000039</v>
      </c>
      <c r="O21" s="64" t="s">
        <v>18</v>
      </c>
      <c r="P21" s="64" t="s">
        <v>588</v>
      </c>
      <c r="Q21" s="29" t="s">
        <v>85</v>
      </c>
    </row>
    <row r="22" spans="1:17" s="62" customFormat="1" ht="24.95" customHeight="1" thickBot="1" x14ac:dyDescent="0.3">
      <c r="A22" s="190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91"/>
      <c r="M22" s="30"/>
      <c r="N22" s="192"/>
      <c r="O22" s="61"/>
      <c r="P22" s="61"/>
      <c r="Q22" s="59"/>
    </row>
    <row r="23" spans="1:17" s="62" customFormat="1" ht="40.5" customHeight="1" x14ac:dyDescent="0.25">
      <c r="A23" s="443" t="s">
        <v>568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546</v>
      </c>
      <c r="B24" s="447"/>
      <c r="C24" s="447"/>
      <c r="D24" s="447" t="s">
        <v>547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548</v>
      </c>
      <c r="P24" s="456" t="s">
        <v>549</v>
      </c>
      <c r="Q24" s="793" t="s">
        <v>569</v>
      </c>
    </row>
    <row r="25" spans="1:17" s="62" customFormat="1" ht="24.95" customHeight="1" x14ac:dyDescent="0.25">
      <c r="A25" s="794" t="s">
        <v>550</v>
      </c>
      <c r="B25" s="461" t="s">
        <v>570</v>
      </c>
      <c r="C25" s="462"/>
      <c r="D25" s="463" t="s">
        <v>552</v>
      </c>
      <c r="E25" s="463"/>
      <c r="F25" s="463"/>
      <c r="G25" s="463"/>
      <c r="H25" s="463"/>
      <c r="I25" s="463"/>
      <c r="J25" s="464" t="s">
        <v>553</v>
      </c>
      <c r="K25" s="464"/>
      <c r="L25" s="464"/>
      <c r="M25" s="465"/>
      <c r="N25" s="465"/>
      <c r="O25" s="456"/>
      <c r="P25" s="456"/>
      <c r="Q25" s="793"/>
    </row>
    <row r="26" spans="1:17" s="62" customFormat="1" ht="24.95" customHeight="1" x14ac:dyDescent="0.3">
      <c r="A26" s="795"/>
      <c r="B26" s="797" t="s">
        <v>554</v>
      </c>
      <c r="C26" s="799" t="s">
        <v>571</v>
      </c>
      <c r="D26" s="801" t="s">
        <v>572</v>
      </c>
      <c r="E26" s="801"/>
      <c r="F26" s="801"/>
      <c r="G26" s="801"/>
      <c r="H26" s="801"/>
      <c r="I26" s="801"/>
      <c r="J26" s="802" t="s">
        <v>573</v>
      </c>
      <c r="K26" s="803"/>
      <c r="L26" s="804"/>
      <c r="M26" s="802" t="s">
        <v>557</v>
      </c>
      <c r="N26" s="804"/>
      <c r="O26" s="456"/>
      <c r="P26" s="456"/>
      <c r="Q26" s="793"/>
    </row>
    <row r="27" spans="1:17" s="62" customFormat="1" ht="50.1" customHeight="1" x14ac:dyDescent="0.25">
      <c r="A27" s="796"/>
      <c r="B27" s="798"/>
      <c r="C27" s="800"/>
      <c r="D27" s="180" t="s">
        <v>558</v>
      </c>
      <c r="E27" s="180" t="s">
        <v>559</v>
      </c>
      <c r="F27" s="180" t="s">
        <v>560</v>
      </c>
      <c r="G27" s="180" t="s">
        <v>561</v>
      </c>
      <c r="H27" s="180" t="s">
        <v>574</v>
      </c>
      <c r="I27" s="180" t="s">
        <v>563</v>
      </c>
      <c r="J27" s="181" t="s">
        <v>564</v>
      </c>
      <c r="K27" s="181" t="s">
        <v>565</v>
      </c>
      <c r="L27" s="182" t="s">
        <v>575</v>
      </c>
      <c r="M27" s="181" t="s">
        <v>576</v>
      </c>
      <c r="N27" s="181" t="s">
        <v>565</v>
      </c>
      <c r="O27" s="456"/>
      <c r="P27" s="456"/>
      <c r="Q27" s="793"/>
    </row>
    <row r="28" spans="1:17" s="62" customFormat="1" ht="24.95" customHeight="1" x14ac:dyDescent="0.25">
      <c r="A28" s="183">
        <v>1</v>
      </c>
      <c r="B28" s="10" t="s">
        <v>50</v>
      </c>
      <c r="C28" s="33">
        <v>4218.93</v>
      </c>
      <c r="D28" s="56">
        <v>338.4</v>
      </c>
      <c r="E28" s="56">
        <v>356.43</v>
      </c>
      <c r="F28" s="56">
        <v>23</v>
      </c>
      <c r="G28" s="33">
        <v>111.2</v>
      </c>
      <c r="H28" s="35">
        <f t="shared" ref="H28:H37" si="5">(E28+F28)/D28</f>
        <v>1.1212470449172578</v>
      </c>
      <c r="I28" s="33">
        <v>4562.54</v>
      </c>
      <c r="J28" s="56">
        <v>3.09</v>
      </c>
      <c r="K28" s="12">
        <f t="shared" ref="K28:K37" si="6">J28/D28</f>
        <v>9.1312056737588663E-3</v>
      </c>
      <c r="L28" s="185">
        <f t="shared" ref="L28:L37" si="7">J28*G28</f>
        <v>343.608</v>
      </c>
      <c r="M28" s="184">
        <f t="shared" ref="M28:M37" si="8">((E28+F28)-D28)-J28</f>
        <v>37.940000000000026</v>
      </c>
      <c r="N28" s="13">
        <f t="shared" ref="N28:N37" si="9">M28/D28</f>
        <v>0.1121158392434989</v>
      </c>
      <c r="O28" s="69" t="s">
        <v>22</v>
      </c>
      <c r="P28" s="14" t="s">
        <v>84</v>
      </c>
      <c r="Q28" s="28" t="s">
        <v>49</v>
      </c>
    </row>
    <row r="29" spans="1:17" s="62" customFormat="1" ht="24.75" customHeight="1" x14ac:dyDescent="0.25">
      <c r="A29" s="186">
        <v>2</v>
      </c>
      <c r="B29" s="10" t="s">
        <v>55</v>
      </c>
      <c r="C29" s="33">
        <v>4171.2700000000004</v>
      </c>
      <c r="D29" s="56">
        <v>92.57</v>
      </c>
      <c r="E29" s="56">
        <v>96.88000000000001</v>
      </c>
      <c r="F29" s="56">
        <v>9.3000000000000007</v>
      </c>
      <c r="G29" s="33">
        <v>331.58</v>
      </c>
      <c r="H29" s="35">
        <f t="shared" si="5"/>
        <v>1.1470238738252134</v>
      </c>
      <c r="I29" s="33">
        <v>4512.8</v>
      </c>
      <c r="J29" s="56">
        <v>1.03</v>
      </c>
      <c r="K29" s="12">
        <f t="shared" si="6"/>
        <v>1.1126714918440101E-2</v>
      </c>
      <c r="L29" s="185">
        <f t="shared" si="7"/>
        <v>341.5274</v>
      </c>
      <c r="M29" s="184">
        <f t="shared" si="8"/>
        <v>12.580000000000014</v>
      </c>
      <c r="N29" s="13">
        <f t="shared" si="9"/>
        <v>0.13589715890677342</v>
      </c>
      <c r="O29" s="69" t="s">
        <v>22</v>
      </c>
      <c r="P29" s="14" t="s">
        <v>67</v>
      </c>
      <c r="Q29" s="28" t="s">
        <v>74</v>
      </c>
    </row>
    <row r="30" spans="1:17" s="62" customFormat="1" ht="24.95" customHeight="1" x14ac:dyDescent="0.25">
      <c r="A30" s="186">
        <v>3</v>
      </c>
      <c r="B30" s="10" t="s">
        <v>69</v>
      </c>
      <c r="C30" s="33">
        <v>4069.5599999999995</v>
      </c>
      <c r="D30" s="56">
        <v>54.09</v>
      </c>
      <c r="E30" s="56">
        <v>60.8</v>
      </c>
      <c r="F30" s="56">
        <v>12</v>
      </c>
      <c r="G30" s="33">
        <v>235.78</v>
      </c>
      <c r="H30" s="35">
        <f t="shared" si="5"/>
        <v>1.3459049731928265</v>
      </c>
      <c r="I30" s="33">
        <v>4411.4399999999996</v>
      </c>
      <c r="J30" s="32">
        <v>1.45</v>
      </c>
      <c r="K30" s="12">
        <f t="shared" si="6"/>
        <v>2.6807173229802177E-2</v>
      </c>
      <c r="L30" s="185">
        <f t="shared" si="7"/>
        <v>341.88099999999997</v>
      </c>
      <c r="M30" s="184">
        <f t="shared" si="8"/>
        <v>17.259999999999994</v>
      </c>
      <c r="N30" s="13">
        <f t="shared" si="9"/>
        <v>0.31909779996302445</v>
      </c>
      <c r="O30" s="69" t="s">
        <v>22</v>
      </c>
      <c r="P30" s="69" t="s">
        <v>408</v>
      </c>
      <c r="Q30" s="28" t="s">
        <v>25</v>
      </c>
    </row>
    <row r="31" spans="1:17" s="62" customFormat="1" ht="24.95" customHeight="1" x14ac:dyDescent="0.25">
      <c r="A31" s="183">
        <v>4</v>
      </c>
      <c r="B31" s="10" t="s">
        <v>45</v>
      </c>
      <c r="C31" s="33">
        <v>3972.64</v>
      </c>
      <c r="D31" s="56">
        <v>79.25</v>
      </c>
      <c r="E31" s="56">
        <v>85.399999999999991</v>
      </c>
      <c r="F31" s="56">
        <v>7.4</v>
      </c>
      <c r="G31" s="33">
        <v>318.32</v>
      </c>
      <c r="H31" s="35">
        <f t="shared" si="5"/>
        <v>1.1709779179810724</v>
      </c>
      <c r="I31" s="33">
        <v>4313.24</v>
      </c>
      <c r="J31" s="56">
        <v>1.07</v>
      </c>
      <c r="K31" s="12">
        <f t="shared" si="6"/>
        <v>1.3501577287066246E-2</v>
      </c>
      <c r="L31" s="185">
        <f t="shared" si="7"/>
        <v>340.60239999999999</v>
      </c>
      <c r="M31" s="184">
        <f t="shared" si="8"/>
        <v>12.479999999999997</v>
      </c>
      <c r="N31" s="13">
        <f t="shared" si="9"/>
        <v>0.15747634069400626</v>
      </c>
      <c r="O31" s="69" t="s">
        <v>22</v>
      </c>
      <c r="P31" s="14" t="s">
        <v>67</v>
      </c>
      <c r="Q31" s="28" t="s">
        <v>76</v>
      </c>
    </row>
    <row r="32" spans="1:17" s="62" customFormat="1" ht="24.95" customHeight="1" x14ac:dyDescent="0.25">
      <c r="A32" s="186">
        <v>5</v>
      </c>
      <c r="B32" s="10" t="s">
        <v>41</v>
      </c>
      <c r="C32" s="33">
        <v>3348.07</v>
      </c>
      <c r="D32" s="56">
        <v>147.91</v>
      </c>
      <c r="E32" s="56">
        <v>158.18</v>
      </c>
      <c r="F32" s="56">
        <v>18.7</v>
      </c>
      <c r="G32" s="33">
        <v>127.4</v>
      </c>
      <c r="H32" s="35">
        <f t="shared" si="5"/>
        <v>1.1958623487255764</v>
      </c>
      <c r="I32" s="33">
        <v>3690.78</v>
      </c>
      <c r="J32" s="56">
        <v>2.69</v>
      </c>
      <c r="K32" s="12">
        <f t="shared" si="6"/>
        <v>1.8186735176796701E-2</v>
      </c>
      <c r="L32" s="185">
        <f t="shared" si="7"/>
        <v>342.70600000000002</v>
      </c>
      <c r="M32" s="184">
        <f t="shared" si="8"/>
        <v>26.279999999999998</v>
      </c>
      <c r="N32" s="13">
        <f t="shared" si="9"/>
        <v>0.17767561354877964</v>
      </c>
      <c r="O32" s="69" t="s">
        <v>22</v>
      </c>
      <c r="P32" s="14" t="s">
        <v>84</v>
      </c>
      <c r="Q32" s="28" t="s">
        <v>25</v>
      </c>
    </row>
    <row r="33" spans="1:17" s="62" customFormat="1" ht="24.95" customHeight="1" x14ac:dyDescent="0.25">
      <c r="A33" s="183">
        <v>6</v>
      </c>
      <c r="B33" s="10" t="s">
        <v>68</v>
      </c>
      <c r="C33" s="33">
        <v>3329.21</v>
      </c>
      <c r="D33" s="56">
        <v>36.06</v>
      </c>
      <c r="E33" s="56">
        <v>48.52</v>
      </c>
      <c r="F33" s="56">
        <v>0</v>
      </c>
      <c r="G33" s="33">
        <v>294.62</v>
      </c>
      <c r="H33" s="35">
        <f t="shared" si="5"/>
        <v>1.3455352190793122</v>
      </c>
      <c r="I33" s="33">
        <v>3670.97</v>
      </c>
      <c r="J33" s="56">
        <v>1.1599999999999999</v>
      </c>
      <c r="K33" s="12">
        <f t="shared" si="6"/>
        <v>3.2168607875762617E-2</v>
      </c>
      <c r="L33" s="185">
        <f t="shared" si="7"/>
        <v>341.75919999999996</v>
      </c>
      <c r="M33" s="184">
        <f t="shared" si="8"/>
        <v>11.3</v>
      </c>
      <c r="N33" s="13">
        <f t="shared" si="9"/>
        <v>0.31336661120354964</v>
      </c>
      <c r="O33" s="69" t="s">
        <v>18</v>
      </c>
      <c r="P33" s="14" t="s">
        <v>595</v>
      </c>
      <c r="Q33" s="28" t="s">
        <v>25</v>
      </c>
    </row>
    <row r="34" spans="1:17" s="62" customFormat="1" ht="24.95" customHeight="1" x14ac:dyDescent="0.25">
      <c r="A34" s="186">
        <v>7</v>
      </c>
      <c r="B34" s="10" t="s">
        <v>90</v>
      </c>
      <c r="C34" s="33">
        <v>2861.5</v>
      </c>
      <c r="D34" s="56">
        <v>144.32</v>
      </c>
      <c r="E34" s="56">
        <v>152.76</v>
      </c>
      <c r="F34" s="56">
        <v>10.8</v>
      </c>
      <c r="G34" s="33">
        <v>166.56</v>
      </c>
      <c r="H34" s="35">
        <f t="shared" si="5"/>
        <v>1.1333148558758315</v>
      </c>
      <c r="I34" s="33">
        <v>3204.61</v>
      </c>
      <c r="J34" s="56">
        <v>2.06</v>
      </c>
      <c r="K34" s="12">
        <f t="shared" si="6"/>
        <v>1.4273835920177384E-2</v>
      </c>
      <c r="L34" s="185">
        <f t="shared" si="7"/>
        <v>343.11360000000002</v>
      </c>
      <c r="M34" s="184">
        <f t="shared" si="8"/>
        <v>17.18000000000001</v>
      </c>
      <c r="N34" s="13">
        <f t="shared" si="9"/>
        <v>0.11904101995565418</v>
      </c>
      <c r="O34" s="69" t="s">
        <v>22</v>
      </c>
      <c r="P34" s="14" t="s">
        <v>84</v>
      </c>
      <c r="Q34" s="28" t="s">
        <v>89</v>
      </c>
    </row>
    <row r="35" spans="1:17" s="62" customFormat="1" ht="24.95" customHeight="1" x14ac:dyDescent="0.25">
      <c r="A35" s="183">
        <v>8</v>
      </c>
      <c r="B35" s="10" t="s">
        <v>47</v>
      </c>
      <c r="C35" s="33">
        <v>2776.28</v>
      </c>
      <c r="D35" s="56">
        <v>47.56</v>
      </c>
      <c r="E35" s="56">
        <v>53.76</v>
      </c>
      <c r="F35" s="56">
        <v>2.9</v>
      </c>
      <c r="G35" s="33">
        <v>342.75</v>
      </c>
      <c r="H35" s="35">
        <f t="shared" si="5"/>
        <v>1.191337258200168</v>
      </c>
      <c r="I35" s="33">
        <v>3119.03</v>
      </c>
      <c r="J35" s="56">
        <v>1</v>
      </c>
      <c r="K35" s="12">
        <f t="shared" si="6"/>
        <v>2.1026072329688814E-2</v>
      </c>
      <c r="L35" s="185">
        <f t="shared" si="7"/>
        <v>342.75</v>
      </c>
      <c r="M35" s="184">
        <f t="shared" si="8"/>
        <v>8.0999999999999943</v>
      </c>
      <c r="N35" s="13">
        <f t="shared" si="9"/>
        <v>0.17031118587047928</v>
      </c>
      <c r="O35" s="69" t="s">
        <v>22</v>
      </c>
      <c r="P35" s="14" t="s">
        <v>67</v>
      </c>
      <c r="Q35" s="28" t="s">
        <v>73</v>
      </c>
    </row>
    <row r="36" spans="1:17" s="62" customFormat="1" ht="24.95" customHeight="1" x14ac:dyDescent="0.25">
      <c r="A36" s="186">
        <v>9</v>
      </c>
      <c r="B36" s="10" t="s">
        <v>117</v>
      </c>
      <c r="C36" s="33">
        <v>2462.9</v>
      </c>
      <c r="D36" s="56">
        <v>120.51</v>
      </c>
      <c r="E36" s="56">
        <v>132.52000000000001</v>
      </c>
      <c r="F36" s="56">
        <v>13.5</v>
      </c>
      <c r="G36" s="33">
        <v>110</v>
      </c>
      <c r="H36" s="35">
        <f t="shared" si="5"/>
        <v>1.2116836777030953</v>
      </c>
      <c r="I36" s="33">
        <v>2806.1</v>
      </c>
      <c r="J36" s="56">
        <v>3.12</v>
      </c>
      <c r="K36" s="12">
        <f t="shared" si="6"/>
        <v>2.5889967637540454E-2</v>
      </c>
      <c r="L36" s="185">
        <f t="shared" si="7"/>
        <v>343.2</v>
      </c>
      <c r="M36" s="184">
        <f t="shared" si="8"/>
        <v>22.390000000000004</v>
      </c>
      <c r="N36" s="13">
        <f t="shared" si="9"/>
        <v>0.18579371006555476</v>
      </c>
      <c r="O36" s="69" t="s">
        <v>18</v>
      </c>
      <c r="P36" s="14" t="s">
        <v>594</v>
      </c>
      <c r="Q36" s="28" t="s">
        <v>25</v>
      </c>
    </row>
    <row r="37" spans="1:17" s="62" customFormat="1" ht="24.95" customHeight="1" thickBot="1" x14ac:dyDescent="0.3">
      <c r="A37" s="187">
        <v>10</v>
      </c>
      <c r="B37" s="16" t="s">
        <v>38</v>
      </c>
      <c r="C37" s="34">
        <v>1560.15</v>
      </c>
      <c r="D37" s="58">
        <v>235.31</v>
      </c>
      <c r="E37" s="58">
        <v>246.34</v>
      </c>
      <c r="F37" s="58">
        <v>10.25</v>
      </c>
      <c r="G37" s="34">
        <v>99.12</v>
      </c>
      <c r="H37" s="36">
        <f t="shared" si="5"/>
        <v>1.0904338957120396</v>
      </c>
      <c r="I37" s="34">
        <v>2109.27</v>
      </c>
      <c r="J37" s="58">
        <v>5.54</v>
      </c>
      <c r="K37" s="18">
        <f t="shared" si="6"/>
        <v>2.3543410819769666E-2</v>
      </c>
      <c r="L37" s="189">
        <f t="shared" si="7"/>
        <v>549.12480000000005</v>
      </c>
      <c r="M37" s="188">
        <f t="shared" si="8"/>
        <v>15.74000000000003</v>
      </c>
      <c r="N37" s="19">
        <f t="shared" si="9"/>
        <v>6.6890484892269897E-2</v>
      </c>
      <c r="O37" s="52" t="s">
        <v>22</v>
      </c>
      <c r="P37" s="20" t="s">
        <v>408</v>
      </c>
      <c r="Q37" s="65" t="s">
        <v>25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577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546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790" t="s">
        <v>578</v>
      </c>
      <c r="B41" s="450" t="s">
        <v>551</v>
      </c>
      <c r="C41" s="450"/>
      <c r="D41" s="451"/>
      <c r="E41" s="23"/>
      <c r="G41" s="21"/>
      <c r="H41" s="22"/>
    </row>
    <row r="42" spans="1:17" ht="20.45" customHeight="1" x14ac:dyDescent="0.35">
      <c r="A42" s="790"/>
      <c r="B42" s="791" t="s">
        <v>554</v>
      </c>
      <c r="C42" s="792" t="s">
        <v>579</v>
      </c>
      <c r="D42" s="793" t="s">
        <v>580</v>
      </c>
      <c r="E42" s="23"/>
      <c r="G42" s="21"/>
      <c r="H42" s="22"/>
    </row>
    <row r="43" spans="1:17" ht="20.45" customHeight="1" x14ac:dyDescent="0.35">
      <c r="A43" s="790"/>
      <c r="B43" s="791"/>
      <c r="C43" s="792"/>
      <c r="D43" s="793"/>
      <c r="E43" s="23"/>
      <c r="G43" s="21"/>
      <c r="H43" s="22"/>
    </row>
    <row r="44" spans="1:17" s="26" customFormat="1" ht="24.95" customHeight="1" x14ac:dyDescent="0.35">
      <c r="A44" s="193">
        <v>1</v>
      </c>
      <c r="B44" s="10" t="s">
        <v>36</v>
      </c>
      <c r="C44" s="33">
        <v>941.95</v>
      </c>
      <c r="D44" s="24">
        <f t="shared" ref="D44:D53" si="10">C44/$L$5</f>
        <v>0.16345324589913601</v>
      </c>
      <c r="E44" s="25"/>
      <c r="G44" s="21"/>
      <c r="H44" s="22"/>
    </row>
    <row r="45" spans="1:17" s="26" customFormat="1" ht="24.95" customHeight="1" x14ac:dyDescent="0.35">
      <c r="A45" s="194">
        <v>2</v>
      </c>
      <c r="B45" s="10" t="s">
        <v>31</v>
      </c>
      <c r="C45" s="33">
        <v>842.04</v>
      </c>
      <c r="D45" s="24">
        <f t="shared" si="10"/>
        <v>0.14611621760911775</v>
      </c>
      <c r="E45" s="25"/>
      <c r="G45" s="21"/>
      <c r="H45" s="22"/>
    </row>
    <row r="46" spans="1:17" s="26" customFormat="1" ht="24.95" customHeight="1" x14ac:dyDescent="0.35">
      <c r="A46" s="194">
        <v>3</v>
      </c>
      <c r="B46" s="10" t="s">
        <v>38</v>
      </c>
      <c r="C46" s="33">
        <v>549.12</v>
      </c>
      <c r="D46" s="24">
        <f t="shared" si="10"/>
        <v>9.5286847909266476E-2</v>
      </c>
      <c r="E46" s="25"/>
      <c r="G46" s="21"/>
      <c r="H46" s="22"/>
    </row>
    <row r="47" spans="1:17" s="26" customFormat="1" ht="24.95" customHeight="1" x14ac:dyDescent="0.35">
      <c r="A47" s="193">
        <v>4</v>
      </c>
      <c r="B47" s="10" t="s">
        <v>567</v>
      </c>
      <c r="C47" s="33">
        <v>463.77</v>
      </c>
      <c r="D47" s="24">
        <f t="shared" si="10"/>
        <v>8.0476364828963642E-2</v>
      </c>
      <c r="E47" s="25"/>
      <c r="G47" s="21"/>
      <c r="H47" s="22"/>
    </row>
    <row r="48" spans="1:17" s="26" customFormat="1" ht="24.95" customHeight="1" x14ac:dyDescent="0.35">
      <c r="A48" s="194">
        <v>5</v>
      </c>
      <c r="B48" s="10" t="s">
        <v>117</v>
      </c>
      <c r="C48" s="33">
        <v>343.2</v>
      </c>
      <c r="D48" s="24">
        <f t="shared" si="10"/>
        <v>5.9554279943291551E-2</v>
      </c>
      <c r="E48" s="25"/>
      <c r="G48" s="21"/>
      <c r="H48" s="22"/>
    </row>
    <row r="49" spans="1:5" s="26" customFormat="1" ht="24.95" customHeight="1" x14ac:dyDescent="0.25">
      <c r="A49" s="193">
        <v>6</v>
      </c>
      <c r="B49" s="10" t="s">
        <v>342</v>
      </c>
      <c r="C49" s="33">
        <v>342.89</v>
      </c>
      <c r="D49" s="24">
        <f t="shared" si="10"/>
        <v>5.9500486741711066E-2</v>
      </c>
      <c r="E49" s="25"/>
    </row>
    <row r="50" spans="1:5" s="26" customFormat="1" ht="24.95" customHeight="1" x14ac:dyDescent="0.25">
      <c r="A50" s="194">
        <v>7</v>
      </c>
      <c r="B50" s="10" t="s">
        <v>41</v>
      </c>
      <c r="C50" s="33">
        <v>342.71</v>
      </c>
      <c r="D50" s="24">
        <f t="shared" si="10"/>
        <v>5.9469251979503049E-2</v>
      </c>
      <c r="E50" s="25"/>
    </row>
    <row r="51" spans="1:5" s="26" customFormat="1" ht="24.95" customHeight="1" x14ac:dyDescent="0.25">
      <c r="A51" s="193">
        <v>8</v>
      </c>
      <c r="B51" s="10" t="s">
        <v>69</v>
      </c>
      <c r="C51" s="33">
        <v>341.88</v>
      </c>
      <c r="D51" s="24">
        <f t="shared" si="10"/>
        <v>5.9325225020432734E-2</v>
      </c>
      <c r="E51" s="25"/>
    </row>
    <row r="52" spans="1:5" s="26" customFormat="1" ht="24.95" customHeight="1" x14ac:dyDescent="0.25">
      <c r="A52" s="194">
        <v>9</v>
      </c>
      <c r="B52" s="10" t="s">
        <v>33</v>
      </c>
      <c r="C52" s="33">
        <v>341.88</v>
      </c>
      <c r="D52" s="24">
        <f t="shared" si="10"/>
        <v>5.9325225020432734E-2</v>
      </c>
      <c r="E52" s="25"/>
    </row>
    <row r="53" spans="1:5" s="26" customFormat="1" ht="24.95" customHeight="1" thickBot="1" x14ac:dyDescent="0.3">
      <c r="A53" s="195">
        <v>10</v>
      </c>
      <c r="B53" s="16" t="s">
        <v>68</v>
      </c>
      <c r="C53" s="34">
        <v>341.76</v>
      </c>
      <c r="D53" s="27">
        <f t="shared" si="10"/>
        <v>5.9304401845627387E-2</v>
      </c>
      <c r="E53" s="25"/>
    </row>
    <row r="54" spans="1:5" x14ac:dyDescent="0.25">
      <c r="A54" s="441" t="s">
        <v>581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582</v>
      </c>
      <c r="B56" s="442"/>
      <c r="C56" s="442"/>
      <c r="D56" s="442"/>
      <c r="E56" s="442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417" priority="33" operator="containsText" text="024">
      <formula>NOT(ISERROR(SEARCH("024",A12)))</formula>
    </cfRule>
    <cfRule type="containsText" dxfId="416" priority="34" operator="containsText" text="白醬">
      <formula>NOT(ISERROR(SEARCH("白醬",A12)))</formula>
    </cfRule>
    <cfRule type="containsText" dxfId="415" priority="35" operator="containsText" text="青蔥">
      <formula>NOT(ISERROR(SEARCH("青蔥",A12)))</formula>
    </cfRule>
    <cfRule type="containsText" dxfId="414" priority="36" operator="containsText" text=")川燙小青花菜">
      <formula>NOT(ISERROR(SEARCH(")川燙小青花菜",A12)))</formula>
    </cfRule>
    <cfRule type="containsText" dxfId="413" priority="37" operator="containsText" text="湯凍">
      <formula>NOT(ISERROR(SEARCH("湯凍",A12)))</formula>
    </cfRule>
    <cfRule type="containsText" dxfId="412" priority="38" operator="containsText" text="中華">
      <formula>NOT(ISERROR(SEARCH("中華",A12)))</formula>
    </cfRule>
  </conditionalFormatting>
  <conditionalFormatting sqref="A12:A22">
    <cfRule type="containsText" dxfId="411" priority="31" operator="containsText" text="綠豆芽">
      <formula>NOT(ISERROR(SEARCH("綠豆芽",A12)))</formula>
    </cfRule>
    <cfRule type="containsText" dxfId="410" priority="32" operator="containsText" text="煮白細麵生(方#12)">
      <formula>NOT(ISERROR(SEARCH("煮白細麵生(方#12)",A12)))</formula>
    </cfRule>
  </conditionalFormatting>
  <conditionalFormatting sqref="E5">
    <cfRule type="cellIs" dxfId="409" priority="16" operator="greaterThan">
      <formula>0.0025</formula>
    </cfRule>
    <cfRule type="cellIs" dxfId="408" priority="19" operator="greaterThan">
      <formula>0.0025</formula>
    </cfRule>
    <cfRule type="cellIs" dxfId="407" priority="29" operator="greaterThan">
      <formula>0.072</formula>
    </cfRule>
    <cfRule type="cellIs" dxfId="406" priority="30" operator="greaterThan">
      <formula>7.2</formula>
    </cfRule>
  </conditionalFormatting>
  <conditionalFormatting sqref="E5">
    <cfRule type="cellIs" dxfId="405" priority="28" operator="greaterThan">
      <formula>0.0025</formula>
    </cfRule>
  </conditionalFormatting>
  <conditionalFormatting sqref="A44:A53">
    <cfRule type="containsText" dxfId="404" priority="22" operator="containsText" text="024">
      <formula>NOT(ISERROR(SEARCH("024",A44)))</formula>
    </cfRule>
    <cfRule type="containsText" dxfId="403" priority="23" operator="containsText" text="白醬">
      <formula>NOT(ISERROR(SEARCH("白醬",A44)))</formula>
    </cfRule>
    <cfRule type="containsText" dxfId="402" priority="24" operator="containsText" text="青蔥">
      <formula>NOT(ISERROR(SEARCH("青蔥",A44)))</formula>
    </cfRule>
    <cfRule type="containsText" dxfId="401" priority="25" operator="containsText" text=")川燙小青花菜">
      <formula>NOT(ISERROR(SEARCH(")川燙小青花菜",A44)))</formula>
    </cfRule>
    <cfRule type="containsText" dxfId="400" priority="26" operator="containsText" text="湯凍">
      <formula>NOT(ISERROR(SEARCH("湯凍",A44)))</formula>
    </cfRule>
    <cfRule type="containsText" dxfId="399" priority="27" operator="containsText" text="中華">
      <formula>NOT(ISERROR(SEARCH("中華",A44)))</formula>
    </cfRule>
  </conditionalFormatting>
  <conditionalFormatting sqref="A44:A53">
    <cfRule type="containsText" dxfId="398" priority="20" operator="containsText" text="綠豆芽">
      <formula>NOT(ISERROR(SEARCH("綠豆芽",A44)))</formula>
    </cfRule>
    <cfRule type="containsText" dxfId="397" priority="21" operator="containsText" text="煮白細麵生(方#12)">
      <formula>NOT(ISERROR(SEARCH("煮白細麵生(方#12)",A44)))</formula>
    </cfRule>
  </conditionalFormatting>
  <conditionalFormatting sqref="D44:D53">
    <cfRule type="cellIs" dxfId="396" priority="18" operator="greaterThan">
      <formula>0.146</formula>
    </cfRule>
  </conditionalFormatting>
  <conditionalFormatting sqref="H12:H22">
    <cfRule type="cellIs" dxfId="395" priority="17" operator="greaterThan">
      <formula>1.1</formula>
    </cfRule>
  </conditionalFormatting>
  <conditionalFormatting sqref="I5">
    <cfRule type="cellIs" dxfId="394" priority="15" operator="greaterThan">
      <formula>0.2</formula>
    </cfRule>
  </conditionalFormatting>
  <conditionalFormatting sqref="A28:A37">
    <cfRule type="containsText" dxfId="393" priority="9" operator="containsText" text="024">
      <formula>NOT(ISERROR(SEARCH("024",A28)))</formula>
    </cfRule>
    <cfRule type="containsText" dxfId="392" priority="10" operator="containsText" text="白醬">
      <formula>NOT(ISERROR(SEARCH("白醬",A28)))</formula>
    </cfRule>
    <cfRule type="containsText" dxfId="391" priority="11" operator="containsText" text="青蔥">
      <formula>NOT(ISERROR(SEARCH("青蔥",A28)))</formula>
    </cfRule>
    <cfRule type="containsText" dxfId="390" priority="12" operator="containsText" text=")川燙小青花菜">
      <formula>NOT(ISERROR(SEARCH(")川燙小青花菜",A28)))</formula>
    </cfRule>
    <cfRule type="containsText" dxfId="389" priority="13" operator="containsText" text="湯凍">
      <formula>NOT(ISERROR(SEARCH("湯凍",A28)))</formula>
    </cfRule>
    <cfRule type="containsText" dxfId="388" priority="14" operator="containsText" text="中華">
      <formula>NOT(ISERROR(SEARCH("中華",A28)))</formula>
    </cfRule>
  </conditionalFormatting>
  <conditionalFormatting sqref="A28:A37">
    <cfRule type="containsText" dxfId="387" priority="7" operator="containsText" text="綠豆芽">
      <formula>NOT(ISERROR(SEARCH("綠豆芽",A28)))</formula>
    </cfRule>
    <cfRule type="containsText" dxfId="386" priority="8" operator="containsText" text="煮白細麵生(方#12)">
      <formula>NOT(ISERROR(SEARCH("煮白細麵生(方#12)",A28)))</formula>
    </cfRule>
  </conditionalFormatting>
  <conditionalFormatting sqref="H28:H37">
    <cfRule type="cellIs" dxfId="385" priority="6" operator="greaterThan">
      <formula>1.1</formula>
    </cfRule>
  </conditionalFormatting>
  <conditionalFormatting sqref="G5">
    <cfRule type="cellIs" dxfId="384" priority="1" operator="greaterThan">
      <formula>0.0025</formula>
    </cfRule>
    <cfRule type="cellIs" dxfId="383" priority="2" operator="greaterThan">
      <formula>0.0025</formula>
    </cfRule>
    <cfRule type="cellIs" dxfId="382" priority="4" operator="greaterThan">
      <formula>0.072</formula>
    </cfRule>
    <cfRule type="cellIs" dxfId="381" priority="5" operator="greaterThan">
      <formula>7.2</formula>
    </cfRule>
  </conditionalFormatting>
  <conditionalFormatting sqref="G5">
    <cfRule type="cellIs" dxfId="38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B1" zoomScale="55" zoomScaleNormal="55" zoomScaleSheetLayoutView="70" workbookViewId="0">
      <selection activeCell="O12" sqref="O12:P1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815" t="s">
        <v>92</v>
      </c>
      <c r="B2" s="816"/>
      <c r="C2" s="160" t="s">
        <v>93</v>
      </c>
      <c r="D2" s="817" t="s">
        <v>94</v>
      </c>
      <c r="E2" s="817"/>
      <c r="F2" s="817" t="s">
        <v>95</v>
      </c>
      <c r="G2" s="817"/>
      <c r="H2" s="817" t="s">
        <v>94</v>
      </c>
      <c r="I2" s="817"/>
      <c r="J2" s="817" t="s">
        <v>95</v>
      </c>
      <c r="K2" s="817"/>
      <c r="L2" s="817" t="s">
        <v>94</v>
      </c>
      <c r="M2" s="818"/>
      <c r="Q2" s="54"/>
    </row>
    <row r="3" spans="1:17" s="1" customFormat="1" ht="28.5" x14ac:dyDescent="0.45">
      <c r="A3" s="824">
        <v>45879</v>
      </c>
      <c r="B3" s="825"/>
      <c r="C3" s="826">
        <v>6020434.0999999996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824"/>
      <c r="B4" s="825"/>
      <c r="C4" s="826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819" t="s">
        <v>105</v>
      </c>
      <c r="B5" s="820"/>
      <c r="C5" s="820"/>
      <c r="D5" s="161">
        <v>14686.580000000002</v>
      </c>
      <c r="E5" s="5">
        <f>D5/C3</f>
        <v>2.4394553210041786E-3</v>
      </c>
      <c r="F5" s="161">
        <v>51535.799999999988</v>
      </c>
      <c r="G5" s="44">
        <f>F5/C3</f>
        <v>8.5601468505402279E-3</v>
      </c>
      <c r="H5" s="6">
        <f>SUM(C12:C21)</f>
        <v>5452.3399999999992</v>
      </c>
      <c r="I5" s="7">
        <f>H5/D5</f>
        <v>0.37124640317895646</v>
      </c>
      <c r="J5" s="6">
        <f>SUM(C28:C37)</f>
        <v>30066.079999999994</v>
      </c>
      <c r="K5" s="46">
        <f>J5/F5</f>
        <v>0.58340182940790675</v>
      </c>
      <c r="L5" s="8">
        <v>6411.2800000000007</v>
      </c>
      <c r="M5" s="9">
        <f>L5/D5</f>
        <v>0.43654002497518141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446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447</v>
      </c>
      <c r="B8" s="447"/>
      <c r="C8" s="447"/>
      <c r="D8" s="447" t="s">
        <v>448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449</v>
      </c>
      <c r="P8" s="456" t="s">
        <v>450</v>
      </c>
      <c r="Q8" s="793" t="s">
        <v>131</v>
      </c>
    </row>
    <row r="9" spans="1:17" ht="20.45" customHeight="1" x14ac:dyDescent="0.25">
      <c r="A9" s="821" t="s">
        <v>451</v>
      </c>
      <c r="B9" s="461" t="s">
        <v>452</v>
      </c>
      <c r="C9" s="462"/>
      <c r="D9" s="463" t="s">
        <v>453</v>
      </c>
      <c r="E9" s="463"/>
      <c r="F9" s="463"/>
      <c r="G9" s="463"/>
      <c r="H9" s="463"/>
      <c r="I9" s="463"/>
      <c r="J9" s="464" t="s">
        <v>454</v>
      </c>
      <c r="K9" s="464"/>
      <c r="L9" s="464"/>
      <c r="M9" s="465"/>
      <c r="N9" s="465"/>
      <c r="O9" s="456"/>
      <c r="P9" s="456"/>
      <c r="Q9" s="793"/>
    </row>
    <row r="10" spans="1:17" ht="20.45" customHeight="1" x14ac:dyDescent="0.3">
      <c r="A10" s="822"/>
      <c r="B10" s="827" t="s">
        <v>455</v>
      </c>
      <c r="C10" s="829" t="s">
        <v>456</v>
      </c>
      <c r="D10" s="831" t="s">
        <v>457</v>
      </c>
      <c r="E10" s="831"/>
      <c r="F10" s="831"/>
      <c r="G10" s="831"/>
      <c r="H10" s="831"/>
      <c r="I10" s="831"/>
      <c r="J10" s="832" t="s">
        <v>458</v>
      </c>
      <c r="K10" s="833"/>
      <c r="L10" s="834" t="s">
        <v>459</v>
      </c>
      <c r="M10" s="832"/>
      <c r="N10" s="832"/>
      <c r="O10" s="456"/>
      <c r="P10" s="456"/>
      <c r="Q10" s="793"/>
    </row>
    <row r="11" spans="1:17" s="55" customFormat="1" ht="47.25" customHeight="1" x14ac:dyDescent="0.25">
      <c r="A11" s="823"/>
      <c r="B11" s="828"/>
      <c r="C11" s="830"/>
      <c r="D11" s="162" t="s">
        <v>460</v>
      </c>
      <c r="E11" s="162" t="s">
        <v>461</v>
      </c>
      <c r="F11" s="162" t="s">
        <v>462</v>
      </c>
      <c r="G11" s="162" t="s">
        <v>463</v>
      </c>
      <c r="H11" s="162" t="s">
        <v>464</v>
      </c>
      <c r="I11" s="162" t="s">
        <v>465</v>
      </c>
      <c r="J11" s="163" t="s">
        <v>466</v>
      </c>
      <c r="K11" s="163" t="s">
        <v>467</v>
      </c>
      <c r="L11" s="163" t="s">
        <v>466</v>
      </c>
      <c r="M11" s="163" t="s">
        <v>467</v>
      </c>
      <c r="N11" s="164" t="s">
        <v>468</v>
      </c>
      <c r="O11" s="456"/>
      <c r="P11" s="456"/>
      <c r="Q11" s="793"/>
    </row>
    <row r="12" spans="1:17" s="15" customFormat="1" ht="24.95" customHeight="1" x14ac:dyDescent="0.25">
      <c r="A12" s="165">
        <v>1</v>
      </c>
      <c r="B12" s="10" t="s">
        <v>33</v>
      </c>
      <c r="C12" s="33">
        <v>1056.17</v>
      </c>
      <c r="D12" s="56">
        <v>106</v>
      </c>
      <c r="E12" s="56">
        <v>108.74</v>
      </c>
      <c r="F12" s="56">
        <v>8.6</v>
      </c>
      <c r="G12" s="33">
        <v>203.5</v>
      </c>
      <c r="H12" s="11">
        <f t="shared" ref="H12:H21" si="0">(E12+F12)/D12</f>
        <v>1.1069811320754717</v>
      </c>
      <c r="I12" s="33">
        <v>2307.69</v>
      </c>
      <c r="J12" s="56">
        <v>5.19</v>
      </c>
      <c r="K12" s="12">
        <f t="shared" ref="K12:K21" si="1">J12/D12</f>
        <v>4.8962264150943402E-2</v>
      </c>
      <c r="L12" s="166">
        <f t="shared" ref="L12:L21" si="2">((E12+F12)-D12)-J12</f>
        <v>6.1499999999999888</v>
      </c>
      <c r="M12" s="13">
        <f t="shared" ref="M12:M21" si="3">L12/D12</f>
        <v>5.8018867924528199E-2</v>
      </c>
      <c r="N12" s="167">
        <f t="shared" ref="N12:N21" si="4">L12*G12</f>
        <v>1251.5249999999978</v>
      </c>
      <c r="O12" s="66" t="s">
        <v>18</v>
      </c>
      <c r="P12" s="66" t="s">
        <v>583</v>
      </c>
      <c r="Q12" s="28" t="s">
        <v>25</v>
      </c>
    </row>
    <row r="13" spans="1:17" s="15" customFormat="1" ht="24.95" customHeight="1" x14ac:dyDescent="0.25">
      <c r="A13" s="168">
        <v>2</v>
      </c>
      <c r="B13" s="10" t="s">
        <v>59</v>
      </c>
      <c r="C13" s="33">
        <v>969.11</v>
      </c>
      <c r="D13" s="56">
        <v>104.81</v>
      </c>
      <c r="E13" s="56">
        <v>119.11</v>
      </c>
      <c r="F13" s="56">
        <v>0</v>
      </c>
      <c r="G13" s="33">
        <v>135.54</v>
      </c>
      <c r="H13" s="11">
        <f t="shared" si="0"/>
        <v>1.1364373628470565</v>
      </c>
      <c r="I13" s="33">
        <v>1938.22</v>
      </c>
      <c r="J13" s="56">
        <v>7.15</v>
      </c>
      <c r="K13" s="12">
        <f t="shared" si="1"/>
        <v>6.8218681423528285E-2</v>
      </c>
      <c r="L13" s="166">
        <f t="shared" si="2"/>
        <v>7.1499999999999968</v>
      </c>
      <c r="M13" s="13">
        <f t="shared" si="3"/>
        <v>6.8218681423528257E-2</v>
      </c>
      <c r="N13" s="167">
        <f t="shared" si="4"/>
        <v>969.11099999999954</v>
      </c>
      <c r="O13" s="66" t="s">
        <v>584</v>
      </c>
      <c r="P13" s="66" t="s">
        <v>585</v>
      </c>
      <c r="Q13" s="28" t="s">
        <v>25</v>
      </c>
    </row>
    <row r="14" spans="1:17" s="57" customFormat="1" ht="24.95" customHeight="1" x14ac:dyDescent="0.25">
      <c r="A14" s="168">
        <v>3</v>
      </c>
      <c r="B14" s="10" t="s">
        <v>469</v>
      </c>
      <c r="C14" s="33">
        <v>731.34</v>
      </c>
      <c r="D14" s="56">
        <v>172.24</v>
      </c>
      <c r="E14" s="56">
        <v>168.74</v>
      </c>
      <c r="F14" s="56">
        <v>23.1</v>
      </c>
      <c r="G14" s="33">
        <v>77.39</v>
      </c>
      <c r="H14" s="11">
        <f t="shared" si="0"/>
        <v>1.1137947050627031</v>
      </c>
      <c r="I14" s="33">
        <v>1516.84</v>
      </c>
      <c r="J14" s="56">
        <v>9.4499999999999993</v>
      </c>
      <c r="K14" s="12">
        <f t="shared" si="1"/>
        <v>5.4865304226660465E-2</v>
      </c>
      <c r="L14" s="166">
        <f t="shared" si="2"/>
        <v>10.149999999999995</v>
      </c>
      <c r="M14" s="13">
        <f t="shared" si="3"/>
        <v>5.89294008360427E-2</v>
      </c>
      <c r="N14" s="167">
        <f t="shared" si="4"/>
        <v>785.50849999999957</v>
      </c>
      <c r="O14" s="66" t="s">
        <v>19</v>
      </c>
      <c r="P14" s="66" t="s">
        <v>587</v>
      </c>
      <c r="Q14" s="28" t="s">
        <v>122</v>
      </c>
    </row>
    <row r="15" spans="1:17" s="15" customFormat="1" ht="24.95" customHeight="1" x14ac:dyDescent="0.25">
      <c r="A15" s="165">
        <v>4</v>
      </c>
      <c r="B15" s="10" t="s">
        <v>63</v>
      </c>
      <c r="C15" s="33">
        <v>495.92</v>
      </c>
      <c r="D15" s="56">
        <v>58.05</v>
      </c>
      <c r="E15" s="56">
        <v>62.35</v>
      </c>
      <c r="F15" s="56">
        <v>0</v>
      </c>
      <c r="G15" s="33">
        <v>230.66</v>
      </c>
      <c r="H15" s="11">
        <f t="shared" si="0"/>
        <v>1.0740740740740742</v>
      </c>
      <c r="I15" s="33">
        <v>991.84</v>
      </c>
      <c r="J15" s="56">
        <v>2.15</v>
      </c>
      <c r="K15" s="12">
        <f t="shared" si="1"/>
        <v>3.7037037037037035E-2</v>
      </c>
      <c r="L15" s="166">
        <f t="shared" si="2"/>
        <v>2.1500000000000044</v>
      </c>
      <c r="M15" s="13">
        <f t="shared" si="3"/>
        <v>3.7037037037037111E-2</v>
      </c>
      <c r="N15" s="167">
        <f t="shared" si="4"/>
        <v>495.91900000000101</v>
      </c>
      <c r="O15" s="66" t="s">
        <v>19</v>
      </c>
      <c r="P15" s="66" t="s">
        <v>587</v>
      </c>
      <c r="Q15" s="28" t="s">
        <v>25</v>
      </c>
    </row>
    <row r="16" spans="1:17" s="57" customFormat="1" ht="24.95" customHeight="1" x14ac:dyDescent="0.25">
      <c r="A16" s="168">
        <v>5</v>
      </c>
      <c r="B16" s="10" t="s">
        <v>48</v>
      </c>
      <c r="C16" s="33">
        <v>474.01</v>
      </c>
      <c r="D16" s="56">
        <v>14.34</v>
      </c>
      <c r="E16" s="56">
        <v>15.5</v>
      </c>
      <c r="F16" s="56">
        <v>0</v>
      </c>
      <c r="G16" s="33">
        <v>846.44</v>
      </c>
      <c r="H16" s="11">
        <f t="shared" si="0"/>
        <v>1.0808926080892609</v>
      </c>
      <c r="I16" s="33">
        <v>981.87</v>
      </c>
      <c r="J16" s="56">
        <v>0.56000000000000005</v>
      </c>
      <c r="K16" s="12">
        <f t="shared" si="1"/>
        <v>3.9051603905160395E-2</v>
      </c>
      <c r="L16" s="166">
        <f t="shared" si="2"/>
        <v>0.60000000000000009</v>
      </c>
      <c r="M16" s="13">
        <f t="shared" si="3"/>
        <v>4.1841004184100423E-2</v>
      </c>
      <c r="N16" s="167">
        <f t="shared" si="4"/>
        <v>507.86400000000009</v>
      </c>
      <c r="O16" s="66" t="s">
        <v>19</v>
      </c>
      <c r="P16" s="66" t="s">
        <v>587</v>
      </c>
      <c r="Q16" s="28" t="s">
        <v>73</v>
      </c>
    </row>
    <row r="17" spans="1:17" s="15" customFormat="1" ht="24.95" customHeight="1" x14ac:dyDescent="0.25">
      <c r="A17" s="165">
        <v>6</v>
      </c>
      <c r="B17" s="10" t="s">
        <v>112</v>
      </c>
      <c r="C17" s="33">
        <v>451.52</v>
      </c>
      <c r="D17" s="56">
        <v>21.57</v>
      </c>
      <c r="E17" s="56">
        <v>27.67</v>
      </c>
      <c r="F17" s="56">
        <v>0</v>
      </c>
      <c r="G17" s="33">
        <v>148.04</v>
      </c>
      <c r="H17" s="11">
        <f t="shared" si="0"/>
        <v>1.2828001854427447</v>
      </c>
      <c r="I17" s="33">
        <v>903.04</v>
      </c>
      <c r="J17" s="56">
        <v>3.05</v>
      </c>
      <c r="K17" s="12">
        <f t="shared" si="1"/>
        <v>0.14140009272137227</v>
      </c>
      <c r="L17" s="166">
        <f t="shared" si="2"/>
        <v>3.0500000000000016</v>
      </c>
      <c r="M17" s="13">
        <f t="shared" si="3"/>
        <v>0.14140009272137236</v>
      </c>
      <c r="N17" s="167">
        <f t="shared" si="4"/>
        <v>451.52200000000022</v>
      </c>
      <c r="O17" s="66" t="s">
        <v>19</v>
      </c>
      <c r="P17" s="66" t="s">
        <v>586</v>
      </c>
      <c r="Q17" s="28" t="s">
        <v>113</v>
      </c>
    </row>
    <row r="18" spans="1:17" s="57" customFormat="1" ht="24.95" customHeight="1" x14ac:dyDescent="0.25">
      <c r="A18" s="168">
        <v>7</v>
      </c>
      <c r="B18" s="10" t="s">
        <v>87</v>
      </c>
      <c r="C18" s="33">
        <v>393.49</v>
      </c>
      <c r="D18" s="56">
        <v>16.79</v>
      </c>
      <c r="E18" s="56">
        <v>21.81</v>
      </c>
      <c r="F18" s="56">
        <v>0</v>
      </c>
      <c r="G18" s="33">
        <v>160.61000000000001</v>
      </c>
      <c r="H18" s="11">
        <f t="shared" si="0"/>
        <v>1.2989874925550924</v>
      </c>
      <c r="I18" s="33">
        <v>806.26</v>
      </c>
      <c r="J18" s="56">
        <v>2.4500000000000002</v>
      </c>
      <c r="K18" s="12">
        <f t="shared" si="1"/>
        <v>0.14592019058963671</v>
      </c>
      <c r="L18" s="166">
        <f t="shared" si="2"/>
        <v>2.5699999999999994</v>
      </c>
      <c r="M18" s="13">
        <f t="shared" si="3"/>
        <v>0.15306730196545559</v>
      </c>
      <c r="N18" s="167">
        <f t="shared" si="4"/>
        <v>412.76769999999993</v>
      </c>
      <c r="O18" s="66" t="s">
        <v>18</v>
      </c>
      <c r="P18" s="66" t="s">
        <v>588</v>
      </c>
      <c r="Q18" s="28" t="s">
        <v>85</v>
      </c>
    </row>
    <row r="19" spans="1:17" s="15" customFormat="1" ht="24.95" customHeight="1" x14ac:dyDescent="0.25">
      <c r="A19" s="165">
        <v>8</v>
      </c>
      <c r="B19" s="10" t="s">
        <v>43</v>
      </c>
      <c r="C19" s="33">
        <v>316.89999999999998</v>
      </c>
      <c r="D19" s="56">
        <v>37.46</v>
      </c>
      <c r="E19" s="56">
        <v>43.06</v>
      </c>
      <c r="F19" s="56">
        <v>0</v>
      </c>
      <c r="G19" s="33">
        <v>113.18</v>
      </c>
      <c r="H19" s="11">
        <f t="shared" si="0"/>
        <v>1.1494927923117992</v>
      </c>
      <c r="I19" s="33">
        <v>633.80999999999995</v>
      </c>
      <c r="J19" s="56">
        <v>2.8</v>
      </c>
      <c r="K19" s="12">
        <f t="shared" si="1"/>
        <v>7.4746396155899619E-2</v>
      </c>
      <c r="L19" s="166">
        <f t="shared" si="2"/>
        <v>2.8000000000000016</v>
      </c>
      <c r="M19" s="13">
        <f t="shared" si="3"/>
        <v>7.4746396155899661E-2</v>
      </c>
      <c r="N19" s="167">
        <f t="shared" si="4"/>
        <v>316.90400000000022</v>
      </c>
      <c r="O19" s="66" t="s">
        <v>584</v>
      </c>
      <c r="P19" s="66" t="s">
        <v>585</v>
      </c>
      <c r="Q19" s="28" t="s">
        <v>89</v>
      </c>
    </row>
    <row r="20" spans="1:17" s="15" customFormat="1" ht="24.95" customHeight="1" x14ac:dyDescent="0.25">
      <c r="A20" s="168">
        <v>9</v>
      </c>
      <c r="B20" s="10" t="s">
        <v>31</v>
      </c>
      <c r="C20" s="33">
        <v>306.7</v>
      </c>
      <c r="D20" s="56">
        <v>22.04</v>
      </c>
      <c r="E20" s="56">
        <v>21.54</v>
      </c>
      <c r="F20" s="56">
        <v>2.7</v>
      </c>
      <c r="G20" s="33">
        <v>278.82</v>
      </c>
      <c r="H20" s="11">
        <f t="shared" si="0"/>
        <v>1.0998185117967332</v>
      </c>
      <c r="I20" s="33">
        <v>613.4</v>
      </c>
      <c r="J20" s="56">
        <v>1.1000000000000001</v>
      </c>
      <c r="K20" s="12">
        <f t="shared" si="1"/>
        <v>4.990925589836661E-2</v>
      </c>
      <c r="L20" s="166">
        <f t="shared" si="2"/>
        <v>1.0999999999999992</v>
      </c>
      <c r="M20" s="13">
        <f t="shared" si="3"/>
        <v>4.9909255898366575E-2</v>
      </c>
      <c r="N20" s="167">
        <f t="shared" si="4"/>
        <v>306.70199999999977</v>
      </c>
      <c r="O20" s="66" t="s">
        <v>18</v>
      </c>
      <c r="P20" s="66" t="s">
        <v>583</v>
      </c>
      <c r="Q20" s="28" t="s">
        <v>25</v>
      </c>
    </row>
    <row r="21" spans="1:17" s="15" customFormat="1" ht="24.95" customHeight="1" thickBot="1" x14ac:dyDescent="0.3">
      <c r="A21" s="169">
        <v>10</v>
      </c>
      <c r="B21" s="16" t="s">
        <v>470</v>
      </c>
      <c r="C21" s="34">
        <v>257.18</v>
      </c>
      <c r="D21" s="58">
        <v>21.22</v>
      </c>
      <c r="E21" s="58">
        <v>25.23</v>
      </c>
      <c r="F21" s="58">
        <v>0</v>
      </c>
      <c r="G21" s="34">
        <v>127.95</v>
      </c>
      <c r="H21" s="17">
        <f t="shared" si="0"/>
        <v>1.1889726672950047</v>
      </c>
      <c r="I21" s="34">
        <v>513.08000000000004</v>
      </c>
      <c r="J21" s="58">
        <v>2.0099999999999998</v>
      </c>
      <c r="K21" s="18">
        <f t="shared" si="1"/>
        <v>9.4721960414703099E-2</v>
      </c>
      <c r="L21" s="170">
        <f t="shared" si="2"/>
        <v>2.0000000000000018</v>
      </c>
      <c r="M21" s="19">
        <f t="shared" si="3"/>
        <v>9.4250706880301696E-2</v>
      </c>
      <c r="N21" s="171">
        <f t="shared" si="4"/>
        <v>255.90000000000023</v>
      </c>
      <c r="O21" s="64" t="s">
        <v>19</v>
      </c>
      <c r="P21" s="64" t="s">
        <v>587</v>
      </c>
      <c r="Q21" s="29" t="s">
        <v>471</v>
      </c>
    </row>
    <row r="22" spans="1:17" s="62" customFormat="1" ht="24.95" customHeight="1" thickBot="1" x14ac:dyDescent="0.3">
      <c r="A22" s="172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73"/>
      <c r="M22" s="30"/>
      <c r="N22" s="174"/>
      <c r="O22" s="61"/>
      <c r="P22" s="61"/>
      <c r="Q22" s="59"/>
    </row>
    <row r="23" spans="1:17" s="62" customFormat="1" ht="40.5" customHeight="1" x14ac:dyDescent="0.25">
      <c r="A23" s="443" t="s">
        <v>472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447</v>
      </c>
      <c r="B24" s="447"/>
      <c r="C24" s="447"/>
      <c r="D24" s="447" t="s">
        <v>473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449</v>
      </c>
      <c r="P24" s="456" t="s">
        <v>450</v>
      </c>
      <c r="Q24" s="835" t="s">
        <v>474</v>
      </c>
    </row>
    <row r="25" spans="1:17" s="62" customFormat="1" ht="24.95" customHeight="1" x14ac:dyDescent="0.25">
      <c r="A25" s="821" t="s">
        <v>451</v>
      </c>
      <c r="B25" s="461" t="s">
        <v>475</v>
      </c>
      <c r="C25" s="462"/>
      <c r="D25" s="463" t="s">
        <v>453</v>
      </c>
      <c r="E25" s="463"/>
      <c r="F25" s="463"/>
      <c r="G25" s="463"/>
      <c r="H25" s="463"/>
      <c r="I25" s="463"/>
      <c r="J25" s="464" t="s">
        <v>476</v>
      </c>
      <c r="K25" s="464"/>
      <c r="L25" s="464"/>
      <c r="M25" s="465"/>
      <c r="N25" s="465"/>
      <c r="O25" s="456"/>
      <c r="P25" s="456"/>
      <c r="Q25" s="835"/>
    </row>
    <row r="26" spans="1:17" s="62" customFormat="1" ht="24.95" customHeight="1" x14ac:dyDescent="0.3">
      <c r="A26" s="822"/>
      <c r="B26" s="827" t="s">
        <v>455</v>
      </c>
      <c r="C26" s="829" t="s">
        <v>477</v>
      </c>
      <c r="D26" s="831" t="s">
        <v>457</v>
      </c>
      <c r="E26" s="831"/>
      <c r="F26" s="831"/>
      <c r="G26" s="831"/>
      <c r="H26" s="831"/>
      <c r="I26" s="831"/>
      <c r="J26" s="832" t="s">
        <v>458</v>
      </c>
      <c r="K26" s="836"/>
      <c r="L26" s="833"/>
      <c r="M26" s="832" t="s">
        <v>459</v>
      </c>
      <c r="N26" s="833"/>
      <c r="O26" s="456"/>
      <c r="P26" s="456"/>
      <c r="Q26" s="835"/>
    </row>
    <row r="27" spans="1:17" s="62" customFormat="1" ht="50.1" customHeight="1" x14ac:dyDescent="0.25">
      <c r="A27" s="823"/>
      <c r="B27" s="828"/>
      <c r="C27" s="830"/>
      <c r="D27" s="162" t="s">
        <v>460</v>
      </c>
      <c r="E27" s="162" t="s">
        <v>461</v>
      </c>
      <c r="F27" s="162" t="s">
        <v>462</v>
      </c>
      <c r="G27" s="162" t="s">
        <v>463</v>
      </c>
      <c r="H27" s="162" t="s">
        <v>464</v>
      </c>
      <c r="I27" s="162" t="s">
        <v>465</v>
      </c>
      <c r="J27" s="163" t="s">
        <v>466</v>
      </c>
      <c r="K27" s="163" t="s">
        <v>467</v>
      </c>
      <c r="L27" s="164" t="s">
        <v>468</v>
      </c>
      <c r="M27" s="163" t="s">
        <v>466</v>
      </c>
      <c r="N27" s="163" t="s">
        <v>467</v>
      </c>
      <c r="O27" s="456"/>
      <c r="P27" s="456"/>
      <c r="Q27" s="835"/>
    </row>
    <row r="28" spans="1:17" s="62" customFormat="1" ht="24.95" customHeight="1" x14ac:dyDescent="0.25">
      <c r="A28" s="165">
        <v>1</v>
      </c>
      <c r="B28" s="10" t="s">
        <v>69</v>
      </c>
      <c r="C28" s="33">
        <v>4043.63</v>
      </c>
      <c r="D28" s="56">
        <v>54</v>
      </c>
      <c r="E28" s="56">
        <v>54.24</v>
      </c>
      <c r="F28" s="56">
        <v>18</v>
      </c>
      <c r="G28" s="33">
        <v>235.78</v>
      </c>
      <c r="H28" s="35">
        <f t="shared" ref="H28:H37" si="5">(E28+F28)/D28</f>
        <v>1.337777777777778</v>
      </c>
      <c r="I28" s="33">
        <v>4300.63</v>
      </c>
      <c r="J28" s="56">
        <v>1.0900000000000001</v>
      </c>
      <c r="K28" s="12">
        <f t="shared" ref="K28:K37" si="6">J28/D28</f>
        <v>2.0185185185185188E-2</v>
      </c>
      <c r="L28" s="167">
        <f t="shared" ref="L28:L37" si="7">J28*G28</f>
        <v>257.00020000000001</v>
      </c>
      <c r="M28" s="166">
        <f t="shared" ref="M28:M37" si="8">((E28+F28)-D28)-J28</f>
        <v>17.150000000000009</v>
      </c>
      <c r="N28" s="13">
        <f t="shared" ref="N28:N37" si="9">M28/D28</f>
        <v>0.31759259259259276</v>
      </c>
      <c r="O28" s="69" t="s">
        <v>22</v>
      </c>
      <c r="P28" s="69" t="s">
        <v>408</v>
      </c>
      <c r="Q28" s="28" t="s">
        <v>25</v>
      </c>
    </row>
    <row r="29" spans="1:17" s="62" customFormat="1" ht="24.75" customHeight="1" x14ac:dyDescent="0.25">
      <c r="A29" s="168">
        <v>2</v>
      </c>
      <c r="B29" s="10" t="s">
        <v>478</v>
      </c>
      <c r="C29" s="33">
        <v>3833.73</v>
      </c>
      <c r="D29" s="56">
        <v>599.48</v>
      </c>
      <c r="E29" s="56">
        <v>647</v>
      </c>
      <c r="F29" s="56">
        <v>19.600000000000001</v>
      </c>
      <c r="G29" s="33">
        <v>60.94</v>
      </c>
      <c r="H29" s="35">
        <f t="shared" si="5"/>
        <v>1.1119637018749584</v>
      </c>
      <c r="I29" s="33">
        <v>4090.29</v>
      </c>
      <c r="J29" s="56">
        <v>4.21</v>
      </c>
      <c r="K29" s="12">
        <f t="shared" si="6"/>
        <v>7.0227530526456262E-3</v>
      </c>
      <c r="L29" s="167">
        <f t="shared" si="7"/>
        <v>256.55739999999997</v>
      </c>
      <c r="M29" s="166">
        <f t="shared" si="8"/>
        <v>62.910000000000004</v>
      </c>
      <c r="N29" s="13">
        <f t="shared" si="9"/>
        <v>0.10494094882231267</v>
      </c>
      <c r="O29" s="69" t="s">
        <v>22</v>
      </c>
      <c r="P29" s="14" t="s">
        <v>593</v>
      </c>
      <c r="Q29" s="28" t="s">
        <v>76</v>
      </c>
    </row>
    <row r="30" spans="1:17" s="62" customFormat="1" ht="24.95" customHeight="1" x14ac:dyDescent="0.25">
      <c r="A30" s="168">
        <v>3</v>
      </c>
      <c r="B30" s="10" t="s">
        <v>55</v>
      </c>
      <c r="C30" s="33">
        <v>3750.1699999999996</v>
      </c>
      <c r="D30" s="56">
        <v>90.89</v>
      </c>
      <c r="E30" s="56">
        <v>98.77</v>
      </c>
      <c r="F30" s="56">
        <v>4.2</v>
      </c>
      <c r="G30" s="33">
        <v>331.58</v>
      </c>
      <c r="H30" s="35">
        <f t="shared" si="5"/>
        <v>1.1329079106612387</v>
      </c>
      <c r="I30" s="33">
        <v>4005.49</v>
      </c>
      <c r="J30" s="32">
        <v>0.77</v>
      </c>
      <c r="K30" s="12">
        <f t="shared" si="6"/>
        <v>8.4717790736054573E-3</v>
      </c>
      <c r="L30" s="167">
        <f t="shared" si="7"/>
        <v>255.31659999999999</v>
      </c>
      <c r="M30" s="166">
        <f t="shared" si="8"/>
        <v>11.309999999999999</v>
      </c>
      <c r="N30" s="13">
        <f t="shared" si="9"/>
        <v>0.12443613158763339</v>
      </c>
      <c r="O30" s="69" t="s">
        <v>22</v>
      </c>
      <c r="P30" s="14" t="s">
        <v>67</v>
      </c>
      <c r="Q30" s="28" t="s">
        <v>74</v>
      </c>
    </row>
    <row r="31" spans="1:17" s="62" customFormat="1" ht="24.95" customHeight="1" x14ac:dyDescent="0.25">
      <c r="A31" s="165">
        <v>4</v>
      </c>
      <c r="B31" s="10" t="s">
        <v>47</v>
      </c>
      <c r="C31" s="33">
        <v>3444.64</v>
      </c>
      <c r="D31" s="56">
        <v>46.2</v>
      </c>
      <c r="E31" s="56">
        <v>57</v>
      </c>
      <c r="F31" s="56">
        <v>0</v>
      </c>
      <c r="G31" s="33">
        <v>342.75</v>
      </c>
      <c r="H31" s="35">
        <f t="shared" si="5"/>
        <v>1.2337662337662336</v>
      </c>
      <c r="I31" s="33">
        <v>3701.7</v>
      </c>
      <c r="J31" s="56">
        <v>0.75</v>
      </c>
      <c r="K31" s="12">
        <f t="shared" si="6"/>
        <v>1.6233766233766232E-2</v>
      </c>
      <c r="L31" s="167">
        <f t="shared" si="7"/>
        <v>257.0625</v>
      </c>
      <c r="M31" s="166">
        <f t="shared" si="8"/>
        <v>10.049999999999997</v>
      </c>
      <c r="N31" s="13">
        <f t="shared" si="9"/>
        <v>0.21753246753246747</v>
      </c>
      <c r="O31" s="69" t="s">
        <v>22</v>
      </c>
      <c r="P31" s="14" t="s">
        <v>67</v>
      </c>
      <c r="Q31" s="28" t="s">
        <v>73</v>
      </c>
    </row>
    <row r="32" spans="1:17" s="62" customFormat="1" ht="24.95" customHeight="1" x14ac:dyDescent="0.25">
      <c r="A32" s="168">
        <v>5</v>
      </c>
      <c r="B32" s="10" t="s">
        <v>37</v>
      </c>
      <c r="C32" s="33">
        <v>3058</v>
      </c>
      <c r="D32" s="56">
        <v>377.98</v>
      </c>
      <c r="E32" s="56">
        <v>380.83</v>
      </c>
      <c r="F32" s="56">
        <v>18.3</v>
      </c>
      <c r="G32" s="33">
        <v>156.74</v>
      </c>
      <c r="H32" s="35">
        <f t="shared" si="5"/>
        <v>1.055955341552463</v>
      </c>
      <c r="I32" s="33">
        <v>3315.05</v>
      </c>
      <c r="J32" s="56">
        <v>1.64</v>
      </c>
      <c r="K32" s="12">
        <f t="shared" si="6"/>
        <v>4.3388539076141593E-3</v>
      </c>
      <c r="L32" s="167">
        <f t="shared" si="7"/>
        <v>257.05360000000002</v>
      </c>
      <c r="M32" s="166">
        <f t="shared" si="8"/>
        <v>19.509999999999977</v>
      </c>
      <c r="N32" s="13">
        <f t="shared" si="9"/>
        <v>5.1616487644848871E-2</v>
      </c>
      <c r="O32" s="69" t="s">
        <v>22</v>
      </c>
      <c r="P32" s="14" t="s">
        <v>67</v>
      </c>
      <c r="Q32" s="28" t="s">
        <v>25</v>
      </c>
    </row>
    <row r="33" spans="1:17" s="62" customFormat="1" ht="24.95" customHeight="1" x14ac:dyDescent="0.25">
      <c r="A33" s="165">
        <v>6</v>
      </c>
      <c r="B33" s="10" t="s">
        <v>41</v>
      </c>
      <c r="C33" s="33">
        <v>2918.74</v>
      </c>
      <c r="D33" s="56">
        <v>150.72</v>
      </c>
      <c r="E33" s="56">
        <v>153.63999999999999</v>
      </c>
      <c r="F33" s="56">
        <v>22</v>
      </c>
      <c r="G33" s="33">
        <v>127.4</v>
      </c>
      <c r="H33" s="35">
        <f t="shared" si="5"/>
        <v>1.1653397027600849</v>
      </c>
      <c r="I33" s="33">
        <v>3174.81</v>
      </c>
      <c r="J33" s="56">
        <v>2.0099999999999998</v>
      </c>
      <c r="K33" s="12">
        <f t="shared" si="6"/>
        <v>1.3335987261146496E-2</v>
      </c>
      <c r="L33" s="167">
        <f t="shared" si="7"/>
        <v>256.07400000000001</v>
      </c>
      <c r="M33" s="166">
        <f t="shared" si="8"/>
        <v>22.909999999999989</v>
      </c>
      <c r="N33" s="13">
        <f t="shared" si="9"/>
        <v>0.15200371549893835</v>
      </c>
      <c r="O33" s="69" t="s">
        <v>22</v>
      </c>
      <c r="P33" s="14" t="s">
        <v>84</v>
      </c>
      <c r="Q33" s="28" t="s">
        <v>25</v>
      </c>
    </row>
    <row r="34" spans="1:17" s="62" customFormat="1" ht="24.95" customHeight="1" x14ac:dyDescent="0.25">
      <c r="A34" s="168">
        <v>7</v>
      </c>
      <c r="B34" s="10" t="s">
        <v>45</v>
      </c>
      <c r="C34" s="33">
        <v>2524.27</v>
      </c>
      <c r="D34" s="56">
        <v>79.22</v>
      </c>
      <c r="E34" s="56">
        <v>80.55</v>
      </c>
      <c r="F34" s="56">
        <v>7.4</v>
      </c>
      <c r="G34" s="33">
        <v>318.32</v>
      </c>
      <c r="H34" s="35">
        <f t="shared" si="5"/>
        <v>1.110199444584701</v>
      </c>
      <c r="I34" s="33">
        <v>2778.93</v>
      </c>
      <c r="J34" s="56">
        <v>0.8</v>
      </c>
      <c r="K34" s="12">
        <f t="shared" si="6"/>
        <v>1.0098459984852311E-2</v>
      </c>
      <c r="L34" s="167">
        <f t="shared" si="7"/>
        <v>254.65600000000001</v>
      </c>
      <c r="M34" s="166">
        <f t="shared" si="8"/>
        <v>7.9300000000000042</v>
      </c>
      <c r="N34" s="13">
        <f t="shared" si="9"/>
        <v>0.10010098459984858</v>
      </c>
      <c r="O34" s="69" t="s">
        <v>22</v>
      </c>
      <c r="P34" s="14" t="s">
        <v>67</v>
      </c>
      <c r="Q34" s="28" t="s">
        <v>76</v>
      </c>
    </row>
    <row r="35" spans="1:17" s="62" customFormat="1" ht="24.95" customHeight="1" x14ac:dyDescent="0.25">
      <c r="A35" s="165">
        <v>8</v>
      </c>
      <c r="B35" s="10" t="s">
        <v>32</v>
      </c>
      <c r="C35" s="33">
        <v>2288.5700000000002</v>
      </c>
      <c r="D35" s="56">
        <v>118.05</v>
      </c>
      <c r="E35" s="56">
        <v>123.7</v>
      </c>
      <c r="F35" s="56">
        <v>6.3</v>
      </c>
      <c r="G35" s="33">
        <v>212.89</v>
      </c>
      <c r="H35" s="35">
        <f t="shared" si="5"/>
        <v>1.1012282930961457</v>
      </c>
      <c r="I35" s="33">
        <v>2544.04</v>
      </c>
      <c r="J35" s="56">
        <v>1.2</v>
      </c>
      <c r="K35" s="12">
        <f t="shared" si="6"/>
        <v>1.0165184243964422E-2</v>
      </c>
      <c r="L35" s="167">
        <f t="shared" si="7"/>
        <v>255.46799999999996</v>
      </c>
      <c r="M35" s="166">
        <f t="shared" si="8"/>
        <v>10.750000000000004</v>
      </c>
      <c r="N35" s="13">
        <f t="shared" si="9"/>
        <v>9.1063108852181315E-2</v>
      </c>
      <c r="O35" s="69" t="s">
        <v>22</v>
      </c>
      <c r="P35" s="14" t="s">
        <v>80</v>
      </c>
      <c r="Q35" s="28" t="s">
        <v>25</v>
      </c>
    </row>
    <row r="36" spans="1:17" s="62" customFormat="1" ht="24.95" customHeight="1" x14ac:dyDescent="0.25">
      <c r="A36" s="168">
        <v>9</v>
      </c>
      <c r="B36" s="10" t="s">
        <v>26</v>
      </c>
      <c r="C36" s="33">
        <v>2114.5300000000002</v>
      </c>
      <c r="D36" s="56">
        <v>32.61</v>
      </c>
      <c r="E36" s="56">
        <v>33.28</v>
      </c>
      <c r="F36" s="56">
        <v>9.8000000000000007</v>
      </c>
      <c r="G36" s="33">
        <v>212.73</v>
      </c>
      <c r="H36" s="35">
        <f t="shared" si="5"/>
        <v>1.3210671573137074</v>
      </c>
      <c r="I36" s="33">
        <v>2227.2800000000002</v>
      </c>
      <c r="J36" s="56">
        <v>0.53</v>
      </c>
      <c r="K36" s="12">
        <f t="shared" si="6"/>
        <v>1.6252683226004296E-2</v>
      </c>
      <c r="L36" s="167">
        <f t="shared" si="7"/>
        <v>112.7469</v>
      </c>
      <c r="M36" s="166">
        <f t="shared" si="8"/>
        <v>9.94</v>
      </c>
      <c r="N36" s="13">
        <f t="shared" si="9"/>
        <v>0.30481447408770312</v>
      </c>
      <c r="O36" s="69" t="s">
        <v>22</v>
      </c>
      <c r="P36" s="14" t="s">
        <v>84</v>
      </c>
      <c r="Q36" s="28" t="s">
        <v>27</v>
      </c>
    </row>
    <row r="37" spans="1:17" s="62" customFormat="1" ht="24.95" customHeight="1" thickBot="1" x14ac:dyDescent="0.3">
      <c r="A37" s="169">
        <v>10</v>
      </c>
      <c r="B37" s="16" t="s">
        <v>479</v>
      </c>
      <c r="C37" s="34">
        <v>2089.8000000000002</v>
      </c>
      <c r="D37" s="58">
        <v>30.09</v>
      </c>
      <c r="E37" s="58">
        <v>31.2</v>
      </c>
      <c r="F37" s="58">
        <v>9.8000000000000007</v>
      </c>
      <c r="G37" s="34">
        <v>215</v>
      </c>
      <c r="H37" s="36">
        <f t="shared" si="5"/>
        <v>1.3625789298770357</v>
      </c>
      <c r="I37" s="34">
        <v>2345.65</v>
      </c>
      <c r="J37" s="58">
        <v>1.19</v>
      </c>
      <c r="K37" s="18">
        <f t="shared" si="6"/>
        <v>3.9548022598870053E-2</v>
      </c>
      <c r="L37" s="171">
        <f t="shared" si="7"/>
        <v>255.85</v>
      </c>
      <c r="M37" s="170">
        <f t="shared" si="8"/>
        <v>9.7200000000000006</v>
      </c>
      <c r="N37" s="19">
        <f t="shared" si="9"/>
        <v>0.32303090727816552</v>
      </c>
      <c r="O37" s="52" t="s">
        <v>22</v>
      </c>
      <c r="P37" s="20" t="s">
        <v>84</v>
      </c>
      <c r="Q37" s="65" t="s">
        <v>82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480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447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837" t="s">
        <v>451</v>
      </c>
      <c r="B41" s="450" t="s">
        <v>475</v>
      </c>
      <c r="C41" s="450"/>
      <c r="D41" s="451"/>
      <c r="E41" s="23"/>
      <c r="G41" s="21"/>
      <c r="H41" s="22"/>
    </row>
    <row r="42" spans="1:17" ht="20.45" customHeight="1" x14ac:dyDescent="0.35">
      <c r="A42" s="837"/>
      <c r="B42" s="838" t="s">
        <v>455</v>
      </c>
      <c r="C42" s="839" t="s">
        <v>481</v>
      </c>
      <c r="D42" s="835" t="s">
        <v>482</v>
      </c>
      <c r="E42" s="23"/>
      <c r="G42" s="21"/>
      <c r="H42" s="22"/>
    </row>
    <row r="43" spans="1:17" ht="20.45" customHeight="1" x14ac:dyDescent="0.35">
      <c r="A43" s="837"/>
      <c r="B43" s="838"/>
      <c r="C43" s="839"/>
      <c r="D43" s="835"/>
      <c r="E43" s="23"/>
      <c r="G43" s="21"/>
      <c r="H43" s="22"/>
    </row>
    <row r="44" spans="1:17" s="26" customFormat="1" ht="24.95" customHeight="1" x14ac:dyDescent="0.35">
      <c r="A44" s="175">
        <v>1</v>
      </c>
      <c r="B44" s="10" t="s">
        <v>33</v>
      </c>
      <c r="C44" s="33">
        <v>1056.17</v>
      </c>
      <c r="D44" s="24">
        <f t="shared" ref="D44:D53" si="10">C44/$L$5</f>
        <v>0.16473621492120138</v>
      </c>
      <c r="E44" s="25"/>
      <c r="G44" s="21"/>
      <c r="H44" s="22"/>
    </row>
    <row r="45" spans="1:17" s="26" customFormat="1" ht="24.95" customHeight="1" x14ac:dyDescent="0.35">
      <c r="A45" s="176">
        <v>2</v>
      </c>
      <c r="B45" s="10" t="s">
        <v>59</v>
      </c>
      <c r="C45" s="33">
        <v>969.11</v>
      </c>
      <c r="D45" s="24">
        <f t="shared" si="10"/>
        <v>0.15115702324652799</v>
      </c>
      <c r="E45" s="25"/>
      <c r="G45" s="21"/>
      <c r="H45" s="22"/>
    </row>
    <row r="46" spans="1:17" s="26" customFormat="1" ht="24.95" customHeight="1" x14ac:dyDescent="0.35">
      <c r="A46" s="176">
        <v>3</v>
      </c>
      <c r="B46" s="10" t="s">
        <v>63</v>
      </c>
      <c r="C46" s="33">
        <v>495.92</v>
      </c>
      <c r="D46" s="24">
        <f t="shared" si="10"/>
        <v>7.7351168565403472E-2</v>
      </c>
      <c r="E46" s="25"/>
      <c r="G46" s="21"/>
      <c r="H46" s="22"/>
    </row>
    <row r="47" spans="1:17" s="26" customFormat="1" ht="24.95" customHeight="1" x14ac:dyDescent="0.35">
      <c r="A47" s="175">
        <v>4</v>
      </c>
      <c r="B47" s="10" t="s">
        <v>31</v>
      </c>
      <c r="C47" s="33">
        <v>306.7</v>
      </c>
      <c r="D47" s="24">
        <f t="shared" si="10"/>
        <v>4.7837561298211893E-2</v>
      </c>
      <c r="E47" s="25"/>
      <c r="G47" s="21"/>
      <c r="H47" s="22"/>
    </row>
    <row r="48" spans="1:17" s="26" customFormat="1" ht="24.95" customHeight="1" x14ac:dyDescent="0.35">
      <c r="A48" s="176">
        <v>5</v>
      </c>
      <c r="B48" s="10" t="s">
        <v>37</v>
      </c>
      <c r="C48" s="33">
        <v>257.05</v>
      </c>
      <c r="D48" s="24">
        <f t="shared" si="10"/>
        <v>4.0093397886225526E-2</v>
      </c>
      <c r="E48" s="25"/>
      <c r="G48" s="21"/>
      <c r="H48" s="22"/>
    </row>
    <row r="49" spans="1:5" s="26" customFormat="1" ht="24.95" customHeight="1" x14ac:dyDescent="0.25">
      <c r="A49" s="175">
        <v>6</v>
      </c>
      <c r="B49" s="10" t="s">
        <v>69</v>
      </c>
      <c r="C49" s="33">
        <v>257</v>
      </c>
      <c r="D49" s="24">
        <f t="shared" si="10"/>
        <v>4.0085599131530675E-2</v>
      </c>
      <c r="E49" s="25"/>
    </row>
    <row r="50" spans="1:5" s="26" customFormat="1" ht="24.95" customHeight="1" x14ac:dyDescent="0.25">
      <c r="A50" s="176">
        <v>7</v>
      </c>
      <c r="B50" s="10" t="s">
        <v>342</v>
      </c>
      <c r="C50" s="33">
        <v>256.67</v>
      </c>
      <c r="D50" s="24">
        <f t="shared" si="10"/>
        <v>4.0034127350544665E-2</v>
      </c>
      <c r="E50" s="25"/>
    </row>
    <row r="51" spans="1:5" s="26" customFormat="1" ht="24.95" customHeight="1" x14ac:dyDescent="0.25">
      <c r="A51" s="175">
        <v>8</v>
      </c>
      <c r="B51" s="10" t="s">
        <v>117</v>
      </c>
      <c r="C51" s="33">
        <v>256.3</v>
      </c>
      <c r="D51" s="24">
        <f t="shared" si="10"/>
        <v>3.9976416565802773E-2</v>
      </c>
      <c r="E51" s="25"/>
    </row>
    <row r="52" spans="1:5" s="26" customFormat="1" ht="24.95" customHeight="1" x14ac:dyDescent="0.25">
      <c r="A52" s="176">
        <v>9</v>
      </c>
      <c r="B52" s="10" t="s">
        <v>41</v>
      </c>
      <c r="C52" s="33">
        <v>256.07</v>
      </c>
      <c r="D52" s="24">
        <f t="shared" si="10"/>
        <v>3.9940542294206453E-2</v>
      </c>
      <c r="E52" s="25"/>
    </row>
    <row r="53" spans="1:5" s="26" customFormat="1" ht="24.95" customHeight="1" thickBot="1" x14ac:dyDescent="0.3">
      <c r="A53" s="177">
        <v>10</v>
      </c>
      <c r="B53" s="16" t="s">
        <v>32</v>
      </c>
      <c r="C53" s="34">
        <v>255.47</v>
      </c>
      <c r="D53" s="27">
        <f t="shared" si="10"/>
        <v>3.9846957237868255E-2</v>
      </c>
      <c r="E53" s="25"/>
    </row>
    <row r="54" spans="1:5" x14ac:dyDescent="0.25">
      <c r="A54" s="441" t="s">
        <v>483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484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379" priority="33" operator="containsText" text="024">
      <formula>NOT(ISERROR(SEARCH("024",A12)))</formula>
    </cfRule>
    <cfRule type="containsText" dxfId="378" priority="34" operator="containsText" text="白醬">
      <formula>NOT(ISERROR(SEARCH("白醬",A12)))</formula>
    </cfRule>
    <cfRule type="containsText" dxfId="377" priority="35" operator="containsText" text="青蔥">
      <formula>NOT(ISERROR(SEARCH("青蔥",A12)))</formula>
    </cfRule>
    <cfRule type="containsText" dxfId="376" priority="36" operator="containsText" text=")川燙小青花菜">
      <formula>NOT(ISERROR(SEARCH(")川燙小青花菜",A12)))</formula>
    </cfRule>
    <cfRule type="containsText" dxfId="375" priority="37" operator="containsText" text="湯凍">
      <formula>NOT(ISERROR(SEARCH("湯凍",A12)))</formula>
    </cfRule>
    <cfRule type="containsText" dxfId="374" priority="38" operator="containsText" text="中華">
      <formula>NOT(ISERROR(SEARCH("中華",A12)))</formula>
    </cfRule>
  </conditionalFormatting>
  <conditionalFormatting sqref="A12:A22">
    <cfRule type="containsText" dxfId="373" priority="31" operator="containsText" text="綠豆芽">
      <formula>NOT(ISERROR(SEARCH("綠豆芽",A12)))</formula>
    </cfRule>
    <cfRule type="containsText" dxfId="372" priority="32" operator="containsText" text="煮白細麵生(方#12)">
      <formula>NOT(ISERROR(SEARCH("煮白細麵生(方#12)",A12)))</formula>
    </cfRule>
  </conditionalFormatting>
  <conditionalFormatting sqref="E5">
    <cfRule type="cellIs" dxfId="371" priority="16" operator="greaterThan">
      <formula>0.0025</formula>
    </cfRule>
    <cfRule type="cellIs" dxfId="370" priority="19" operator="greaterThan">
      <formula>0.0025</formula>
    </cfRule>
    <cfRule type="cellIs" dxfId="369" priority="29" operator="greaterThan">
      <formula>0.072</formula>
    </cfRule>
    <cfRule type="cellIs" dxfId="368" priority="30" operator="greaterThan">
      <formula>7.2</formula>
    </cfRule>
  </conditionalFormatting>
  <conditionalFormatting sqref="E5">
    <cfRule type="cellIs" dxfId="367" priority="28" operator="greaterThan">
      <formula>0.0025</formula>
    </cfRule>
  </conditionalFormatting>
  <conditionalFormatting sqref="A44:A53">
    <cfRule type="containsText" dxfId="366" priority="22" operator="containsText" text="024">
      <formula>NOT(ISERROR(SEARCH("024",A44)))</formula>
    </cfRule>
    <cfRule type="containsText" dxfId="365" priority="23" operator="containsText" text="白醬">
      <formula>NOT(ISERROR(SEARCH("白醬",A44)))</formula>
    </cfRule>
    <cfRule type="containsText" dxfId="364" priority="24" operator="containsText" text="青蔥">
      <formula>NOT(ISERROR(SEARCH("青蔥",A44)))</formula>
    </cfRule>
    <cfRule type="containsText" dxfId="363" priority="25" operator="containsText" text=")川燙小青花菜">
      <formula>NOT(ISERROR(SEARCH(")川燙小青花菜",A44)))</formula>
    </cfRule>
    <cfRule type="containsText" dxfId="362" priority="26" operator="containsText" text="湯凍">
      <formula>NOT(ISERROR(SEARCH("湯凍",A44)))</formula>
    </cfRule>
    <cfRule type="containsText" dxfId="361" priority="27" operator="containsText" text="中華">
      <formula>NOT(ISERROR(SEARCH("中華",A44)))</formula>
    </cfRule>
  </conditionalFormatting>
  <conditionalFormatting sqref="A44:A53">
    <cfRule type="containsText" dxfId="360" priority="20" operator="containsText" text="綠豆芽">
      <formula>NOT(ISERROR(SEARCH("綠豆芽",A44)))</formula>
    </cfRule>
    <cfRule type="containsText" dxfId="359" priority="21" operator="containsText" text="煮白細麵生(方#12)">
      <formula>NOT(ISERROR(SEARCH("煮白細麵生(方#12)",A44)))</formula>
    </cfRule>
  </conditionalFormatting>
  <conditionalFormatting sqref="D44:D53">
    <cfRule type="cellIs" dxfId="358" priority="18" operator="greaterThan">
      <formula>0.146</formula>
    </cfRule>
  </conditionalFormatting>
  <conditionalFormatting sqref="H12:H22">
    <cfRule type="cellIs" dxfId="357" priority="17" operator="greaterThan">
      <formula>1.1</formula>
    </cfRule>
  </conditionalFormatting>
  <conditionalFormatting sqref="I5">
    <cfRule type="cellIs" dxfId="356" priority="15" operator="greaterThan">
      <formula>0.2</formula>
    </cfRule>
  </conditionalFormatting>
  <conditionalFormatting sqref="A28:A37">
    <cfRule type="containsText" dxfId="355" priority="9" operator="containsText" text="024">
      <formula>NOT(ISERROR(SEARCH("024",A28)))</formula>
    </cfRule>
    <cfRule type="containsText" dxfId="354" priority="10" operator="containsText" text="白醬">
      <formula>NOT(ISERROR(SEARCH("白醬",A28)))</formula>
    </cfRule>
    <cfRule type="containsText" dxfId="353" priority="11" operator="containsText" text="青蔥">
      <formula>NOT(ISERROR(SEARCH("青蔥",A28)))</formula>
    </cfRule>
    <cfRule type="containsText" dxfId="352" priority="12" operator="containsText" text=")川燙小青花菜">
      <formula>NOT(ISERROR(SEARCH(")川燙小青花菜",A28)))</formula>
    </cfRule>
    <cfRule type="containsText" dxfId="351" priority="13" operator="containsText" text="湯凍">
      <formula>NOT(ISERROR(SEARCH("湯凍",A28)))</formula>
    </cfRule>
    <cfRule type="containsText" dxfId="350" priority="14" operator="containsText" text="中華">
      <formula>NOT(ISERROR(SEARCH("中華",A28)))</formula>
    </cfRule>
  </conditionalFormatting>
  <conditionalFormatting sqref="A28:A37">
    <cfRule type="containsText" dxfId="349" priority="7" operator="containsText" text="綠豆芽">
      <formula>NOT(ISERROR(SEARCH("綠豆芽",A28)))</formula>
    </cfRule>
    <cfRule type="containsText" dxfId="348" priority="8" operator="containsText" text="煮白細麵生(方#12)">
      <formula>NOT(ISERROR(SEARCH("煮白細麵生(方#12)",A28)))</formula>
    </cfRule>
  </conditionalFormatting>
  <conditionalFormatting sqref="H28:H37">
    <cfRule type="cellIs" dxfId="347" priority="6" operator="greaterThan">
      <formula>1.1</formula>
    </cfRule>
  </conditionalFormatting>
  <conditionalFormatting sqref="G5">
    <cfRule type="cellIs" dxfId="346" priority="1" operator="greaterThan">
      <formula>0.0025</formula>
    </cfRule>
    <cfRule type="cellIs" dxfId="345" priority="2" operator="greaterThan">
      <formula>0.0025</formula>
    </cfRule>
    <cfRule type="cellIs" dxfId="344" priority="4" operator="greaterThan">
      <formula>0.072</formula>
    </cfRule>
    <cfRule type="cellIs" dxfId="343" priority="5" operator="greaterThan">
      <formula>7.2</formula>
    </cfRule>
  </conditionalFormatting>
  <conditionalFormatting sqref="G5">
    <cfRule type="cellIs" dxfId="34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4" zoomScale="55" zoomScaleNormal="55" zoomScaleSheetLayoutView="70" workbookViewId="0">
      <selection activeCell="O13" sqref="O13:P1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815" t="s">
        <v>92</v>
      </c>
      <c r="B2" s="816"/>
      <c r="C2" s="160" t="s">
        <v>93</v>
      </c>
      <c r="D2" s="817" t="s">
        <v>94</v>
      </c>
      <c r="E2" s="817"/>
      <c r="F2" s="817" t="s">
        <v>95</v>
      </c>
      <c r="G2" s="817"/>
      <c r="H2" s="817" t="s">
        <v>94</v>
      </c>
      <c r="I2" s="817"/>
      <c r="J2" s="817" t="s">
        <v>95</v>
      </c>
      <c r="K2" s="817"/>
      <c r="L2" s="817" t="s">
        <v>94</v>
      </c>
      <c r="M2" s="818"/>
      <c r="Q2" s="54"/>
    </row>
    <row r="3" spans="1:17" s="1" customFormat="1" ht="28.5" x14ac:dyDescent="0.45">
      <c r="A3" s="824">
        <v>45878</v>
      </c>
      <c r="B3" s="825"/>
      <c r="C3" s="826">
        <v>4698362.95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824"/>
      <c r="B4" s="825"/>
      <c r="C4" s="826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819" t="s">
        <v>105</v>
      </c>
      <c r="B5" s="820"/>
      <c r="C5" s="820"/>
      <c r="D5" s="161">
        <v>11309.070000000009</v>
      </c>
      <c r="E5" s="5">
        <f>D5/C3</f>
        <v>2.4070234931509514E-3</v>
      </c>
      <c r="F5" s="161">
        <v>40372.560000000005</v>
      </c>
      <c r="G5" s="44">
        <f>F5/C3</f>
        <v>8.5928993629579009E-3</v>
      </c>
      <c r="H5" s="6">
        <f>SUM(C12:C21)</f>
        <v>5527.1</v>
      </c>
      <c r="I5" s="7">
        <f>H5/D5</f>
        <v>0.4887316109989589</v>
      </c>
      <c r="J5" s="6">
        <f>SUM(C28:C37)</f>
        <v>25619.47</v>
      </c>
      <c r="K5" s="46">
        <f>J5/F5</f>
        <v>0.63457630628327755</v>
      </c>
      <c r="L5" s="8">
        <v>2388.0399999999995</v>
      </c>
      <c r="M5" s="9">
        <f>L5/D5</f>
        <v>0.21116148365869145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485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127</v>
      </c>
      <c r="B8" s="447"/>
      <c r="C8" s="447"/>
      <c r="D8" s="447" t="s">
        <v>486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487</v>
      </c>
      <c r="P8" s="456" t="s">
        <v>488</v>
      </c>
      <c r="Q8" s="835" t="s">
        <v>489</v>
      </c>
    </row>
    <row r="9" spans="1:17" ht="20.45" customHeight="1" x14ac:dyDescent="0.25">
      <c r="A9" s="821" t="s">
        <v>490</v>
      </c>
      <c r="B9" s="461" t="s">
        <v>491</v>
      </c>
      <c r="C9" s="462"/>
      <c r="D9" s="463" t="s">
        <v>492</v>
      </c>
      <c r="E9" s="463"/>
      <c r="F9" s="463"/>
      <c r="G9" s="463"/>
      <c r="H9" s="463"/>
      <c r="I9" s="463"/>
      <c r="J9" s="464" t="s">
        <v>493</v>
      </c>
      <c r="K9" s="464"/>
      <c r="L9" s="464"/>
      <c r="M9" s="465"/>
      <c r="N9" s="465"/>
      <c r="O9" s="456"/>
      <c r="P9" s="456"/>
      <c r="Q9" s="835"/>
    </row>
    <row r="10" spans="1:17" ht="20.45" customHeight="1" x14ac:dyDescent="0.3">
      <c r="A10" s="822"/>
      <c r="B10" s="827" t="s">
        <v>494</v>
      </c>
      <c r="C10" s="829" t="s">
        <v>495</v>
      </c>
      <c r="D10" s="831" t="s">
        <v>496</v>
      </c>
      <c r="E10" s="831"/>
      <c r="F10" s="831"/>
      <c r="G10" s="831"/>
      <c r="H10" s="831"/>
      <c r="I10" s="831"/>
      <c r="J10" s="832" t="s">
        <v>497</v>
      </c>
      <c r="K10" s="833"/>
      <c r="L10" s="834" t="s">
        <v>498</v>
      </c>
      <c r="M10" s="832"/>
      <c r="N10" s="832"/>
      <c r="O10" s="456"/>
      <c r="P10" s="456"/>
      <c r="Q10" s="835"/>
    </row>
    <row r="11" spans="1:17" s="55" customFormat="1" ht="47.25" customHeight="1" x14ac:dyDescent="0.25">
      <c r="A11" s="823"/>
      <c r="B11" s="828"/>
      <c r="C11" s="830"/>
      <c r="D11" s="162" t="s">
        <v>499</v>
      </c>
      <c r="E11" s="162" t="s">
        <v>500</v>
      </c>
      <c r="F11" s="162" t="s">
        <v>501</v>
      </c>
      <c r="G11" s="162" t="s">
        <v>502</v>
      </c>
      <c r="H11" s="162" t="s">
        <v>503</v>
      </c>
      <c r="I11" s="162" t="s">
        <v>504</v>
      </c>
      <c r="J11" s="163" t="s">
        <v>505</v>
      </c>
      <c r="K11" s="163" t="s">
        <v>506</v>
      </c>
      <c r="L11" s="163" t="s">
        <v>507</v>
      </c>
      <c r="M11" s="163" t="s">
        <v>508</v>
      </c>
      <c r="N11" s="164" t="s">
        <v>509</v>
      </c>
      <c r="O11" s="456"/>
      <c r="P11" s="456"/>
      <c r="Q11" s="835"/>
    </row>
    <row r="12" spans="1:17" s="15" customFormat="1" ht="24.95" customHeight="1" x14ac:dyDescent="0.25">
      <c r="A12" s="165">
        <v>1</v>
      </c>
      <c r="B12" s="10" t="s">
        <v>114</v>
      </c>
      <c r="C12" s="33">
        <v>1261.95</v>
      </c>
      <c r="D12" s="56">
        <v>36.270000000000003</v>
      </c>
      <c r="E12" s="56">
        <v>41.18</v>
      </c>
      <c r="F12" s="56">
        <v>0</v>
      </c>
      <c r="G12" s="33">
        <v>814.16</v>
      </c>
      <c r="H12" s="11">
        <f t="shared" ref="H12:H21" si="0">(E12+F12)/D12</f>
        <v>1.13537358698649</v>
      </c>
      <c r="I12" s="33">
        <v>3997.53</v>
      </c>
      <c r="J12" s="56">
        <v>1.55</v>
      </c>
      <c r="K12" s="12">
        <f t="shared" ref="K12:K21" si="1">J12/D12</f>
        <v>4.2735042735042736E-2</v>
      </c>
      <c r="L12" s="166">
        <f t="shared" ref="L12:L21" si="2">((E12+F12)-D12)-J12</f>
        <v>3.3599999999999968</v>
      </c>
      <c r="M12" s="13">
        <f t="shared" ref="M12:M21" si="3">L12/D12</f>
        <v>9.263854425144738E-2</v>
      </c>
      <c r="N12" s="167">
        <f t="shared" ref="N12:N21" si="4">L12*G12</f>
        <v>2735.5775999999973</v>
      </c>
      <c r="O12" s="66" t="s">
        <v>584</v>
      </c>
      <c r="P12" s="66" t="s">
        <v>589</v>
      </c>
      <c r="Q12" s="28" t="s">
        <v>113</v>
      </c>
    </row>
    <row r="13" spans="1:17" s="15" customFormat="1" ht="24.95" customHeight="1" x14ac:dyDescent="0.25">
      <c r="A13" s="168">
        <v>2</v>
      </c>
      <c r="B13" s="10" t="s">
        <v>123</v>
      </c>
      <c r="C13" s="33">
        <v>940.58</v>
      </c>
      <c r="D13" s="56">
        <v>12.03</v>
      </c>
      <c r="E13" s="56">
        <v>13.83</v>
      </c>
      <c r="F13" s="56">
        <v>0</v>
      </c>
      <c r="G13" s="33">
        <v>1567.63</v>
      </c>
      <c r="H13" s="11">
        <f t="shared" si="0"/>
        <v>1.1496259351620948</v>
      </c>
      <c r="I13" s="33">
        <v>2821.73</v>
      </c>
      <c r="J13" s="56">
        <v>0.6</v>
      </c>
      <c r="K13" s="12">
        <f t="shared" si="1"/>
        <v>4.9875311720698257E-2</v>
      </c>
      <c r="L13" s="166">
        <f t="shared" si="2"/>
        <v>1.2000000000000006</v>
      </c>
      <c r="M13" s="13">
        <f t="shared" si="3"/>
        <v>9.9750623441396569E-2</v>
      </c>
      <c r="N13" s="167">
        <f t="shared" si="4"/>
        <v>1881.1560000000011</v>
      </c>
      <c r="O13" s="66" t="s">
        <v>584</v>
      </c>
      <c r="P13" s="66" t="s">
        <v>589</v>
      </c>
      <c r="Q13" s="28" t="s">
        <v>122</v>
      </c>
    </row>
    <row r="14" spans="1:17" s="57" customFormat="1" ht="24.95" customHeight="1" x14ac:dyDescent="0.25">
      <c r="A14" s="168">
        <v>3</v>
      </c>
      <c r="B14" s="10" t="s">
        <v>368</v>
      </c>
      <c r="C14" s="33">
        <v>760.44</v>
      </c>
      <c r="D14" s="56">
        <v>57.72</v>
      </c>
      <c r="E14" s="56">
        <v>75.02</v>
      </c>
      <c r="F14" s="56">
        <v>0</v>
      </c>
      <c r="G14" s="33">
        <v>90.1</v>
      </c>
      <c r="H14" s="11">
        <f t="shared" si="0"/>
        <v>1.2997227997227996</v>
      </c>
      <c r="I14" s="33">
        <v>1558.73</v>
      </c>
      <c r="J14" s="56">
        <v>8.44</v>
      </c>
      <c r="K14" s="12">
        <f t="shared" si="1"/>
        <v>0.14622314622314622</v>
      </c>
      <c r="L14" s="166">
        <f t="shared" si="2"/>
        <v>8.8599999999999977</v>
      </c>
      <c r="M14" s="13">
        <f t="shared" si="3"/>
        <v>0.15349965349965347</v>
      </c>
      <c r="N14" s="167">
        <f t="shared" si="4"/>
        <v>798.28599999999972</v>
      </c>
      <c r="O14" s="66" t="s">
        <v>18</v>
      </c>
      <c r="P14" s="66" t="s">
        <v>590</v>
      </c>
      <c r="Q14" s="28" t="s">
        <v>78</v>
      </c>
    </row>
    <row r="15" spans="1:17" s="15" customFormat="1" ht="24.95" customHeight="1" x14ac:dyDescent="0.25">
      <c r="A15" s="165">
        <v>4</v>
      </c>
      <c r="B15" s="10" t="s">
        <v>59</v>
      </c>
      <c r="C15" s="33">
        <v>635.67999999999995</v>
      </c>
      <c r="D15" s="56">
        <v>81.2</v>
      </c>
      <c r="E15" s="56">
        <v>94.44</v>
      </c>
      <c r="F15" s="56">
        <v>0</v>
      </c>
      <c r="G15" s="33">
        <v>135.54</v>
      </c>
      <c r="H15" s="11">
        <f t="shared" si="0"/>
        <v>1.1630541871921181</v>
      </c>
      <c r="I15" s="33">
        <v>1794.55</v>
      </c>
      <c r="J15" s="56">
        <v>4.6900000000000004</v>
      </c>
      <c r="K15" s="12">
        <f t="shared" si="1"/>
        <v>5.7758620689655177E-2</v>
      </c>
      <c r="L15" s="166">
        <f t="shared" si="2"/>
        <v>8.5499999999999936</v>
      </c>
      <c r="M15" s="13">
        <f t="shared" si="3"/>
        <v>0.10529556650246297</v>
      </c>
      <c r="N15" s="167">
        <f t="shared" si="4"/>
        <v>1158.8669999999991</v>
      </c>
      <c r="O15" s="66" t="s">
        <v>584</v>
      </c>
      <c r="P15" s="66" t="s">
        <v>585</v>
      </c>
      <c r="Q15" s="28" t="s">
        <v>25</v>
      </c>
    </row>
    <row r="16" spans="1:17" s="57" customFormat="1" ht="24.95" customHeight="1" x14ac:dyDescent="0.25">
      <c r="A16" s="168">
        <v>5</v>
      </c>
      <c r="B16" s="10" t="s">
        <v>107</v>
      </c>
      <c r="C16" s="33">
        <v>384.43</v>
      </c>
      <c r="D16" s="56">
        <v>139.36000000000001</v>
      </c>
      <c r="E16" s="56">
        <v>133.68</v>
      </c>
      <c r="F16" s="56">
        <v>12</v>
      </c>
      <c r="G16" s="33">
        <v>166.42</v>
      </c>
      <c r="H16" s="11">
        <f t="shared" si="0"/>
        <v>1.0453501722158438</v>
      </c>
      <c r="I16" s="33">
        <v>1051.77</v>
      </c>
      <c r="J16" s="56">
        <v>2.31</v>
      </c>
      <c r="K16" s="12">
        <f t="shared" si="1"/>
        <v>1.6575774971297356E-2</v>
      </c>
      <c r="L16" s="166">
        <f t="shared" si="2"/>
        <v>4.0099999999999927</v>
      </c>
      <c r="M16" s="13">
        <f t="shared" si="3"/>
        <v>2.8774397244546442E-2</v>
      </c>
      <c r="N16" s="167">
        <f t="shared" si="4"/>
        <v>667.34419999999875</v>
      </c>
      <c r="O16" s="66" t="s">
        <v>19</v>
      </c>
      <c r="P16" s="66" t="s">
        <v>587</v>
      </c>
      <c r="Q16" s="28" t="s">
        <v>106</v>
      </c>
    </row>
    <row r="17" spans="1:17" s="15" customFormat="1" ht="24.95" customHeight="1" x14ac:dyDescent="0.25">
      <c r="A17" s="165">
        <v>6</v>
      </c>
      <c r="B17" s="10" t="s">
        <v>108</v>
      </c>
      <c r="C17" s="33">
        <v>378.39</v>
      </c>
      <c r="D17" s="56">
        <v>36.86</v>
      </c>
      <c r="E17" s="56">
        <v>40.049999999999997</v>
      </c>
      <c r="F17" s="56">
        <v>5</v>
      </c>
      <c r="G17" s="33">
        <v>118.99</v>
      </c>
      <c r="H17" s="11">
        <f t="shared" si="0"/>
        <v>1.2221920781334781</v>
      </c>
      <c r="I17" s="33">
        <v>974.53</v>
      </c>
      <c r="J17" s="56">
        <v>3.18</v>
      </c>
      <c r="K17" s="12">
        <f t="shared" si="1"/>
        <v>8.6272381985892571E-2</v>
      </c>
      <c r="L17" s="166">
        <f t="shared" si="2"/>
        <v>5.009999999999998</v>
      </c>
      <c r="M17" s="13">
        <f t="shared" si="3"/>
        <v>0.13591969614758539</v>
      </c>
      <c r="N17" s="167">
        <f t="shared" si="4"/>
        <v>596.13989999999978</v>
      </c>
      <c r="O17" s="66" t="s">
        <v>584</v>
      </c>
      <c r="P17" s="66" t="s">
        <v>585</v>
      </c>
      <c r="Q17" s="28" t="s">
        <v>51</v>
      </c>
    </row>
    <row r="18" spans="1:17" s="57" customFormat="1" ht="24.95" customHeight="1" x14ac:dyDescent="0.25">
      <c r="A18" s="168">
        <v>7</v>
      </c>
      <c r="B18" s="10" t="s">
        <v>510</v>
      </c>
      <c r="C18" s="33">
        <v>363.77</v>
      </c>
      <c r="D18" s="56">
        <v>60.32</v>
      </c>
      <c r="E18" s="56">
        <v>63.32</v>
      </c>
      <c r="F18" s="56">
        <v>6</v>
      </c>
      <c r="G18" s="33">
        <v>122.07</v>
      </c>
      <c r="H18" s="11">
        <f t="shared" si="0"/>
        <v>1.1492042440318302</v>
      </c>
      <c r="I18" s="33">
        <v>1098.6300000000001</v>
      </c>
      <c r="J18" s="56">
        <v>2.98</v>
      </c>
      <c r="K18" s="12">
        <f t="shared" si="1"/>
        <v>4.9403183023872678E-2</v>
      </c>
      <c r="L18" s="166">
        <f t="shared" si="2"/>
        <v>6.0199999999999925</v>
      </c>
      <c r="M18" s="13">
        <f t="shared" si="3"/>
        <v>9.9801061007957437E-2</v>
      </c>
      <c r="N18" s="167">
        <f t="shared" si="4"/>
        <v>734.86139999999909</v>
      </c>
      <c r="O18" s="66" t="s">
        <v>19</v>
      </c>
      <c r="P18" s="66" t="s">
        <v>587</v>
      </c>
      <c r="Q18" s="28" t="s">
        <v>511</v>
      </c>
    </row>
    <row r="19" spans="1:17" s="15" customFormat="1" ht="24.95" customHeight="1" x14ac:dyDescent="0.25">
      <c r="A19" s="165">
        <v>8</v>
      </c>
      <c r="B19" s="10" t="s">
        <v>87</v>
      </c>
      <c r="C19" s="33">
        <v>314.8</v>
      </c>
      <c r="D19" s="56">
        <v>13.37</v>
      </c>
      <c r="E19" s="56">
        <v>17.34</v>
      </c>
      <c r="F19" s="56">
        <v>0</v>
      </c>
      <c r="G19" s="33">
        <v>160.61000000000001</v>
      </c>
      <c r="H19" s="11">
        <f t="shared" si="0"/>
        <v>1.2969334330590876</v>
      </c>
      <c r="I19" s="33">
        <v>637.62</v>
      </c>
      <c r="J19" s="56">
        <v>1.96</v>
      </c>
      <c r="K19" s="12">
        <f t="shared" si="1"/>
        <v>0.14659685863874347</v>
      </c>
      <c r="L19" s="166">
        <f t="shared" si="2"/>
        <v>2.0100000000000007</v>
      </c>
      <c r="M19" s="13">
        <f t="shared" si="3"/>
        <v>0.15033657442034412</v>
      </c>
      <c r="N19" s="167">
        <f t="shared" si="4"/>
        <v>322.82610000000011</v>
      </c>
      <c r="O19" s="66" t="s">
        <v>18</v>
      </c>
      <c r="P19" s="66" t="s">
        <v>588</v>
      </c>
      <c r="Q19" s="28" t="s">
        <v>85</v>
      </c>
    </row>
    <row r="20" spans="1:17" s="15" customFormat="1" ht="24.95" customHeight="1" x14ac:dyDescent="0.25">
      <c r="A20" s="168">
        <v>9</v>
      </c>
      <c r="B20" s="10" t="s">
        <v>512</v>
      </c>
      <c r="C20" s="33">
        <v>244.22</v>
      </c>
      <c r="D20" s="56">
        <v>45.99</v>
      </c>
      <c r="E20" s="56">
        <v>52.7</v>
      </c>
      <c r="F20" s="56">
        <v>0</v>
      </c>
      <c r="G20" s="33">
        <v>74.23</v>
      </c>
      <c r="H20" s="11">
        <f t="shared" si="0"/>
        <v>1.1459012828875843</v>
      </c>
      <c r="I20" s="33">
        <v>498.08</v>
      </c>
      <c r="J20" s="56">
        <v>3.29</v>
      </c>
      <c r="K20" s="12">
        <f t="shared" si="1"/>
        <v>7.1537290715372903E-2</v>
      </c>
      <c r="L20" s="166">
        <f t="shared" si="2"/>
        <v>3.4200000000000008</v>
      </c>
      <c r="M20" s="13">
        <f t="shared" si="3"/>
        <v>7.436399217221136E-2</v>
      </c>
      <c r="N20" s="167">
        <f t="shared" si="4"/>
        <v>253.86660000000006</v>
      </c>
      <c r="O20" s="66" t="s">
        <v>18</v>
      </c>
      <c r="P20" s="66" t="s">
        <v>590</v>
      </c>
      <c r="Q20" s="28" t="s">
        <v>74</v>
      </c>
    </row>
    <row r="21" spans="1:17" s="15" customFormat="1" ht="24.95" customHeight="1" thickBot="1" x14ac:dyDescent="0.3">
      <c r="A21" s="169">
        <v>10</v>
      </c>
      <c r="B21" s="16" t="s">
        <v>38</v>
      </c>
      <c r="C21" s="34">
        <v>242.84</v>
      </c>
      <c r="D21" s="58">
        <v>178.19</v>
      </c>
      <c r="E21" s="58">
        <v>159.63999999999999</v>
      </c>
      <c r="F21" s="58">
        <v>25</v>
      </c>
      <c r="G21" s="34">
        <v>99.12</v>
      </c>
      <c r="H21" s="17">
        <f t="shared" si="0"/>
        <v>1.036197317470116</v>
      </c>
      <c r="I21" s="34">
        <v>639.32000000000005</v>
      </c>
      <c r="J21" s="58">
        <v>2.4500000000000002</v>
      </c>
      <c r="K21" s="18">
        <f t="shared" si="1"/>
        <v>1.3749368651439477E-2</v>
      </c>
      <c r="L21" s="170">
        <f t="shared" si="2"/>
        <v>3.9999999999999885</v>
      </c>
      <c r="M21" s="19">
        <f t="shared" si="3"/>
        <v>2.2447948818676629E-2</v>
      </c>
      <c r="N21" s="171">
        <f t="shared" si="4"/>
        <v>396.47999999999888</v>
      </c>
      <c r="O21" s="66" t="s">
        <v>584</v>
      </c>
      <c r="P21" s="66" t="s">
        <v>585</v>
      </c>
      <c r="Q21" s="29" t="s">
        <v>25</v>
      </c>
    </row>
    <row r="22" spans="1:17" s="62" customFormat="1" ht="24.95" customHeight="1" thickBot="1" x14ac:dyDescent="0.3">
      <c r="A22" s="172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73"/>
      <c r="M22" s="30"/>
      <c r="N22" s="174"/>
      <c r="O22" s="61"/>
      <c r="P22" s="61"/>
      <c r="Q22" s="59"/>
    </row>
    <row r="23" spans="1:17" s="62" customFormat="1" ht="40.5" customHeight="1" x14ac:dyDescent="0.25">
      <c r="A23" s="443" t="s">
        <v>513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514</v>
      </c>
      <c r="B24" s="447"/>
      <c r="C24" s="447"/>
      <c r="D24" s="447" t="s">
        <v>515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487</v>
      </c>
      <c r="P24" s="456" t="s">
        <v>516</v>
      </c>
      <c r="Q24" s="835" t="s">
        <v>517</v>
      </c>
    </row>
    <row r="25" spans="1:17" s="62" customFormat="1" ht="24.95" customHeight="1" x14ac:dyDescent="0.25">
      <c r="A25" s="821" t="s">
        <v>518</v>
      </c>
      <c r="B25" s="461" t="s">
        <v>491</v>
      </c>
      <c r="C25" s="462"/>
      <c r="D25" s="463" t="s">
        <v>519</v>
      </c>
      <c r="E25" s="463"/>
      <c r="F25" s="463"/>
      <c r="G25" s="463"/>
      <c r="H25" s="463"/>
      <c r="I25" s="463"/>
      <c r="J25" s="464" t="s">
        <v>520</v>
      </c>
      <c r="K25" s="464"/>
      <c r="L25" s="464"/>
      <c r="M25" s="465"/>
      <c r="N25" s="465"/>
      <c r="O25" s="456"/>
      <c r="P25" s="456"/>
      <c r="Q25" s="835"/>
    </row>
    <row r="26" spans="1:17" s="62" customFormat="1" ht="24.95" customHeight="1" x14ac:dyDescent="0.3">
      <c r="A26" s="822"/>
      <c r="B26" s="827" t="s">
        <v>521</v>
      </c>
      <c r="C26" s="829" t="s">
        <v>522</v>
      </c>
      <c r="D26" s="831" t="s">
        <v>110</v>
      </c>
      <c r="E26" s="831"/>
      <c r="F26" s="831"/>
      <c r="G26" s="831"/>
      <c r="H26" s="831"/>
      <c r="I26" s="831"/>
      <c r="J26" s="832" t="s">
        <v>138</v>
      </c>
      <c r="K26" s="836"/>
      <c r="L26" s="833"/>
      <c r="M26" s="832" t="s">
        <v>523</v>
      </c>
      <c r="N26" s="833"/>
      <c r="O26" s="456"/>
      <c r="P26" s="456"/>
      <c r="Q26" s="835"/>
    </row>
    <row r="27" spans="1:17" s="62" customFormat="1" ht="50.1" customHeight="1" x14ac:dyDescent="0.25">
      <c r="A27" s="823"/>
      <c r="B27" s="828"/>
      <c r="C27" s="830"/>
      <c r="D27" s="162" t="s">
        <v>140</v>
      </c>
      <c r="E27" s="162" t="s">
        <v>524</v>
      </c>
      <c r="F27" s="162" t="s">
        <v>525</v>
      </c>
      <c r="G27" s="162" t="s">
        <v>526</v>
      </c>
      <c r="H27" s="162" t="s">
        <v>527</v>
      </c>
      <c r="I27" s="162" t="s">
        <v>528</v>
      </c>
      <c r="J27" s="163" t="s">
        <v>529</v>
      </c>
      <c r="K27" s="163" t="s">
        <v>530</v>
      </c>
      <c r="L27" s="164" t="s">
        <v>531</v>
      </c>
      <c r="M27" s="163" t="s">
        <v>532</v>
      </c>
      <c r="N27" s="163" t="s">
        <v>533</v>
      </c>
      <c r="O27" s="456"/>
      <c r="P27" s="456"/>
      <c r="Q27" s="835"/>
    </row>
    <row r="28" spans="1:17" s="62" customFormat="1" ht="24.95" customHeight="1" x14ac:dyDescent="0.25">
      <c r="A28" s="165">
        <v>1</v>
      </c>
      <c r="B28" s="10" t="s">
        <v>37</v>
      </c>
      <c r="C28" s="33">
        <v>6192.8</v>
      </c>
      <c r="D28" s="56">
        <v>286.77999999999997</v>
      </c>
      <c r="E28" s="56">
        <v>298.27999999999997</v>
      </c>
      <c r="F28" s="56">
        <v>29.55</v>
      </c>
      <c r="G28" s="33">
        <v>156.74</v>
      </c>
      <c r="H28" s="35">
        <f t="shared" ref="H28:H37" si="5">(E28+F28)/D28</f>
        <v>1.1431410837575842</v>
      </c>
      <c r="I28" s="33">
        <v>6434.18</v>
      </c>
      <c r="J28" s="56">
        <v>1.54</v>
      </c>
      <c r="K28" s="12">
        <f t="shared" ref="K28:K37" si="6">J28/D28</f>
        <v>5.3699700118557785E-3</v>
      </c>
      <c r="L28" s="167">
        <f t="shared" ref="L28:L37" si="7">J28*G28</f>
        <v>241.37960000000001</v>
      </c>
      <c r="M28" s="166">
        <f t="shared" ref="M28:M37" si="8">((E28+F28)-D28)-J28</f>
        <v>39.510000000000012</v>
      </c>
      <c r="N28" s="13">
        <f t="shared" ref="N28:N37" si="9">M28/D28</f>
        <v>0.13777111374572848</v>
      </c>
      <c r="O28" s="69" t="s">
        <v>22</v>
      </c>
      <c r="P28" s="14" t="s">
        <v>67</v>
      </c>
      <c r="Q28" s="28" t="s">
        <v>25</v>
      </c>
    </row>
    <row r="29" spans="1:17" s="62" customFormat="1" ht="24.75" customHeight="1" x14ac:dyDescent="0.25">
      <c r="A29" s="168">
        <v>2</v>
      </c>
      <c r="B29" s="10" t="s">
        <v>55</v>
      </c>
      <c r="C29" s="33">
        <v>4267.4399999999996</v>
      </c>
      <c r="D29" s="56">
        <v>79.2</v>
      </c>
      <c r="E29" s="56">
        <v>86.6</v>
      </c>
      <c r="F29" s="56">
        <v>6.2</v>
      </c>
      <c r="G29" s="33">
        <v>331.58</v>
      </c>
      <c r="H29" s="35">
        <f t="shared" si="5"/>
        <v>1.1717171717171717</v>
      </c>
      <c r="I29" s="33">
        <v>4509.49</v>
      </c>
      <c r="J29" s="56">
        <v>0.73</v>
      </c>
      <c r="K29" s="12">
        <f t="shared" si="6"/>
        <v>9.2171717171717158E-3</v>
      </c>
      <c r="L29" s="167">
        <f t="shared" si="7"/>
        <v>242.05339999999998</v>
      </c>
      <c r="M29" s="166">
        <f t="shared" si="8"/>
        <v>12.869999999999994</v>
      </c>
      <c r="N29" s="13">
        <f t="shared" si="9"/>
        <v>0.16249999999999992</v>
      </c>
      <c r="O29" s="69" t="s">
        <v>22</v>
      </c>
      <c r="P29" s="14" t="s">
        <v>67</v>
      </c>
      <c r="Q29" s="28" t="s">
        <v>74</v>
      </c>
    </row>
    <row r="30" spans="1:17" s="62" customFormat="1" ht="24.95" customHeight="1" x14ac:dyDescent="0.25">
      <c r="A30" s="168">
        <v>3</v>
      </c>
      <c r="B30" s="10" t="s">
        <v>114</v>
      </c>
      <c r="C30" s="33">
        <v>2735.58</v>
      </c>
      <c r="D30" s="56">
        <v>36.270000000000003</v>
      </c>
      <c r="E30" s="56">
        <v>41.18</v>
      </c>
      <c r="F30" s="56">
        <v>0</v>
      </c>
      <c r="G30" s="33">
        <v>814.16</v>
      </c>
      <c r="H30" s="35">
        <f t="shared" si="5"/>
        <v>1.13537358698649</v>
      </c>
      <c r="I30" s="33">
        <v>3997.53</v>
      </c>
      <c r="J30" s="32">
        <v>1.55</v>
      </c>
      <c r="K30" s="12">
        <f t="shared" si="6"/>
        <v>4.2735042735042736E-2</v>
      </c>
      <c r="L30" s="167">
        <f t="shared" si="7"/>
        <v>1261.9480000000001</v>
      </c>
      <c r="M30" s="166">
        <f t="shared" si="8"/>
        <v>3.3599999999999968</v>
      </c>
      <c r="N30" s="13">
        <f t="shared" si="9"/>
        <v>9.263854425144738E-2</v>
      </c>
      <c r="O30" s="69" t="s">
        <v>79</v>
      </c>
      <c r="P30" s="14" t="s">
        <v>67</v>
      </c>
      <c r="Q30" s="28" t="s">
        <v>113</v>
      </c>
    </row>
    <row r="31" spans="1:17" s="62" customFormat="1" ht="24.95" customHeight="1" x14ac:dyDescent="0.25">
      <c r="A31" s="165">
        <v>4</v>
      </c>
      <c r="B31" s="10" t="s">
        <v>69</v>
      </c>
      <c r="C31" s="33">
        <v>2155.0300000000002</v>
      </c>
      <c r="D31" s="56">
        <v>41.99</v>
      </c>
      <c r="E31" s="56">
        <v>43.09</v>
      </c>
      <c r="F31" s="56">
        <v>9</v>
      </c>
      <c r="G31" s="33">
        <v>235.78</v>
      </c>
      <c r="H31" s="35">
        <f t="shared" si="5"/>
        <v>1.2405334603477018</v>
      </c>
      <c r="I31" s="33">
        <v>2381.38</v>
      </c>
      <c r="J31" s="56">
        <v>0.96</v>
      </c>
      <c r="K31" s="12">
        <f t="shared" si="6"/>
        <v>2.2862586330078587E-2</v>
      </c>
      <c r="L31" s="167">
        <f t="shared" si="7"/>
        <v>226.34879999999998</v>
      </c>
      <c r="M31" s="166">
        <f t="shared" si="8"/>
        <v>9.14</v>
      </c>
      <c r="N31" s="13">
        <f t="shared" si="9"/>
        <v>0.21767087401762325</v>
      </c>
      <c r="O31" s="69" t="s">
        <v>22</v>
      </c>
      <c r="P31" s="69" t="s">
        <v>408</v>
      </c>
      <c r="Q31" s="28" t="s">
        <v>25</v>
      </c>
    </row>
    <row r="32" spans="1:17" s="62" customFormat="1" ht="24.95" customHeight="1" x14ac:dyDescent="0.25">
      <c r="A32" s="168">
        <v>5</v>
      </c>
      <c r="B32" s="10" t="s">
        <v>50</v>
      </c>
      <c r="C32" s="33">
        <v>1986.0300000000002</v>
      </c>
      <c r="D32" s="56">
        <v>278.3</v>
      </c>
      <c r="E32" s="56">
        <v>286.74</v>
      </c>
      <c r="F32" s="56">
        <v>10</v>
      </c>
      <c r="G32" s="33">
        <v>111.2</v>
      </c>
      <c r="H32" s="35">
        <f t="shared" si="5"/>
        <v>1.0662594322673373</v>
      </c>
      <c r="I32" s="33">
        <v>2050.5300000000002</v>
      </c>
      <c r="J32" s="56">
        <v>0.57999999999999996</v>
      </c>
      <c r="K32" s="12">
        <f t="shared" si="6"/>
        <v>2.084081925979159E-3</v>
      </c>
      <c r="L32" s="167">
        <f t="shared" si="7"/>
        <v>64.495999999999995</v>
      </c>
      <c r="M32" s="166">
        <f t="shared" si="8"/>
        <v>17.86</v>
      </c>
      <c r="N32" s="13">
        <f t="shared" si="9"/>
        <v>6.4175350341358239E-2</v>
      </c>
      <c r="O32" s="69" t="s">
        <v>22</v>
      </c>
      <c r="P32" s="69" t="s">
        <v>109</v>
      </c>
      <c r="Q32" s="28" t="s">
        <v>49</v>
      </c>
    </row>
    <row r="33" spans="1:17" s="62" customFormat="1" ht="24.95" customHeight="1" x14ac:dyDescent="0.25">
      <c r="A33" s="165">
        <v>6</v>
      </c>
      <c r="B33" s="10" t="s">
        <v>591</v>
      </c>
      <c r="C33" s="33">
        <v>1881.15</v>
      </c>
      <c r="D33" s="56">
        <v>12.03</v>
      </c>
      <c r="E33" s="56">
        <v>13.83</v>
      </c>
      <c r="F33" s="56">
        <v>0</v>
      </c>
      <c r="G33" s="33">
        <v>1567.63</v>
      </c>
      <c r="H33" s="35">
        <f t="shared" si="5"/>
        <v>1.1496259351620948</v>
      </c>
      <c r="I33" s="33">
        <v>2821.73</v>
      </c>
      <c r="J33" s="56">
        <v>0.6</v>
      </c>
      <c r="K33" s="12">
        <f t="shared" si="6"/>
        <v>4.9875311720698257E-2</v>
      </c>
      <c r="L33" s="167">
        <f t="shared" si="7"/>
        <v>940.57799999999997</v>
      </c>
      <c r="M33" s="166">
        <f t="shared" si="8"/>
        <v>1.2000000000000006</v>
      </c>
      <c r="N33" s="13">
        <f t="shared" si="9"/>
        <v>9.9750623441396569E-2</v>
      </c>
      <c r="O33" s="69" t="s">
        <v>22</v>
      </c>
      <c r="P33" s="14" t="s">
        <v>592</v>
      </c>
      <c r="Q33" s="28" t="s">
        <v>122</v>
      </c>
    </row>
    <row r="34" spans="1:17" s="62" customFormat="1" ht="24.95" customHeight="1" x14ac:dyDescent="0.25">
      <c r="A34" s="168">
        <v>7</v>
      </c>
      <c r="B34" s="10" t="s">
        <v>47</v>
      </c>
      <c r="C34" s="33">
        <v>1816.5700000000002</v>
      </c>
      <c r="D34" s="56">
        <v>41.33</v>
      </c>
      <c r="E34" s="56">
        <v>47.2</v>
      </c>
      <c r="F34" s="56">
        <v>0</v>
      </c>
      <c r="G34" s="33">
        <v>342.75</v>
      </c>
      <c r="H34" s="35">
        <f t="shared" si="5"/>
        <v>1.1420275828695863</v>
      </c>
      <c r="I34" s="33">
        <v>2011.94</v>
      </c>
      <c r="J34" s="56">
        <v>0.56999999999999995</v>
      </c>
      <c r="K34" s="12">
        <f t="shared" si="6"/>
        <v>1.3791434793128478E-2</v>
      </c>
      <c r="L34" s="167">
        <f t="shared" si="7"/>
        <v>195.36749999999998</v>
      </c>
      <c r="M34" s="166">
        <f t="shared" si="8"/>
        <v>5.3000000000000043</v>
      </c>
      <c r="N34" s="13">
        <f t="shared" si="9"/>
        <v>0.12823614807645789</v>
      </c>
      <c r="O34" s="69" t="s">
        <v>22</v>
      </c>
      <c r="P34" s="14" t="s">
        <v>67</v>
      </c>
      <c r="Q34" s="28" t="s">
        <v>73</v>
      </c>
    </row>
    <row r="35" spans="1:17" s="62" customFormat="1" ht="24.95" customHeight="1" x14ac:dyDescent="0.25">
      <c r="A35" s="165">
        <v>8</v>
      </c>
      <c r="B35" s="10" t="s">
        <v>33</v>
      </c>
      <c r="C35" s="33">
        <v>1644.28</v>
      </c>
      <c r="D35" s="56">
        <v>65.09</v>
      </c>
      <c r="E35" s="56">
        <v>72.12</v>
      </c>
      <c r="F35" s="56">
        <v>1.6</v>
      </c>
      <c r="G35" s="33">
        <v>203.5</v>
      </c>
      <c r="H35" s="35">
        <f t="shared" si="5"/>
        <v>1.1325856506375787</v>
      </c>
      <c r="I35" s="33">
        <v>1756.21</v>
      </c>
      <c r="J35" s="56">
        <v>0.55000000000000004</v>
      </c>
      <c r="K35" s="12">
        <f t="shared" si="6"/>
        <v>8.4498386848978341E-3</v>
      </c>
      <c r="L35" s="167">
        <f t="shared" si="7"/>
        <v>111.92500000000001</v>
      </c>
      <c r="M35" s="166">
        <f t="shared" si="8"/>
        <v>8.0799999999999947</v>
      </c>
      <c r="N35" s="13">
        <f t="shared" si="9"/>
        <v>0.12413581195268082</v>
      </c>
      <c r="O35" s="69" t="s">
        <v>18</v>
      </c>
      <c r="P35" s="14" t="s">
        <v>65</v>
      </c>
      <c r="Q35" s="28" t="s">
        <v>25</v>
      </c>
    </row>
    <row r="36" spans="1:17" s="62" customFormat="1" ht="24.95" customHeight="1" x14ac:dyDescent="0.25">
      <c r="A36" s="168">
        <v>9</v>
      </c>
      <c r="B36" s="10" t="s">
        <v>116</v>
      </c>
      <c r="C36" s="33">
        <v>1506.51</v>
      </c>
      <c r="D36" s="56">
        <v>41.02</v>
      </c>
      <c r="E36" s="56">
        <v>45.72</v>
      </c>
      <c r="F36" s="56">
        <v>6</v>
      </c>
      <c r="G36" s="33">
        <v>149.16</v>
      </c>
      <c r="H36" s="35">
        <f t="shared" si="5"/>
        <v>1.2608483666504142</v>
      </c>
      <c r="I36" s="33">
        <v>1596.01</v>
      </c>
      <c r="J36" s="56">
        <v>0.6</v>
      </c>
      <c r="K36" s="12">
        <f t="shared" si="6"/>
        <v>1.4627011214041929E-2</v>
      </c>
      <c r="L36" s="167">
        <f t="shared" si="7"/>
        <v>89.495999999999995</v>
      </c>
      <c r="M36" s="166">
        <f t="shared" si="8"/>
        <v>10.099999999999996</v>
      </c>
      <c r="N36" s="13">
        <f t="shared" si="9"/>
        <v>0.24622135543637239</v>
      </c>
      <c r="O36" s="69" t="s">
        <v>22</v>
      </c>
      <c r="P36" s="14" t="s">
        <v>84</v>
      </c>
      <c r="Q36" s="28" t="s">
        <v>302</v>
      </c>
    </row>
    <row r="37" spans="1:17" s="62" customFormat="1" ht="24.95" customHeight="1" thickBot="1" x14ac:dyDescent="0.3">
      <c r="A37" s="169">
        <v>10</v>
      </c>
      <c r="B37" s="16" t="s">
        <v>90</v>
      </c>
      <c r="C37" s="34">
        <v>1434.08</v>
      </c>
      <c r="D37" s="58">
        <v>117.04</v>
      </c>
      <c r="E37" s="58">
        <v>118.24</v>
      </c>
      <c r="F37" s="58">
        <v>8</v>
      </c>
      <c r="G37" s="34">
        <v>166.56</v>
      </c>
      <c r="H37" s="36">
        <f t="shared" si="5"/>
        <v>1.0786056049213943</v>
      </c>
      <c r="I37" s="34">
        <v>1532.35</v>
      </c>
      <c r="J37" s="58">
        <v>0.59</v>
      </c>
      <c r="K37" s="18">
        <f t="shared" si="6"/>
        <v>5.0410116199589875E-3</v>
      </c>
      <c r="L37" s="171">
        <f t="shared" si="7"/>
        <v>98.270399999999995</v>
      </c>
      <c r="M37" s="170">
        <f t="shared" si="8"/>
        <v>8.6099999999999888</v>
      </c>
      <c r="N37" s="19">
        <f t="shared" si="9"/>
        <v>7.3564593301435305E-2</v>
      </c>
      <c r="O37" s="69" t="s">
        <v>22</v>
      </c>
      <c r="P37" s="14" t="s">
        <v>84</v>
      </c>
      <c r="Q37" s="65" t="s">
        <v>89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534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837" t="s">
        <v>490</v>
      </c>
      <c r="B41" s="450" t="s">
        <v>535</v>
      </c>
      <c r="C41" s="450"/>
      <c r="D41" s="451"/>
      <c r="E41" s="23"/>
      <c r="G41" s="21"/>
      <c r="H41" s="22"/>
    </row>
    <row r="42" spans="1:17" ht="20.45" customHeight="1" x14ac:dyDescent="0.35">
      <c r="A42" s="837"/>
      <c r="B42" s="838" t="s">
        <v>536</v>
      </c>
      <c r="C42" s="839" t="s">
        <v>537</v>
      </c>
      <c r="D42" s="835" t="s">
        <v>538</v>
      </c>
      <c r="E42" s="23"/>
      <c r="G42" s="21"/>
      <c r="H42" s="22"/>
    </row>
    <row r="43" spans="1:17" ht="20.45" customHeight="1" x14ac:dyDescent="0.35">
      <c r="A43" s="837"/>
      <c r="B43" s="838"/>
      <c r="C43" s="839"/>
      <c r="D43" s="835"/>
      <c r="E43" s="23"/>
      <c r="G43" s="21"/>
      <c r="H43" s="22"/>
    </row>
    <row r="44" spans="1:17" s="26" customFormat="1" ht="24.95" customHeight="1" x14ac:dyDescent="0.35">
      <c r="A44" s="175">
        <v>1</v>
      </c>
      <c r="B44" s="10" t="s">
        <v>59</v>
      </c>
      <c r="C44" s="33">
        <v>635.67999999999995</v>
      </c>
      <c r="D44" s="24">
        <f t="shared" ref="D44:D53" si="10">C44/$L$5</f>
        <v>0.26619319609386782</v>
      </c>
      <c r="E44" s="25"/>
      <c r="G44" s="21"/>
      <c r="H44" s="22"/>
    </row>
    <row r="45" spans="1:17" s="26" customFormat="1" ht="24.95" customHeight="1" x14ac:dyDescent="0.35">
      <c r="A45" s="176">
        <v>2</v>
      </c>
      <c r="B45" s="10" t="s">
        <v>38</v>
      </c>
      <c r="C45" s="33">
        <v>242.84</v>
      </c>
      <c r="D45" s="24">
        <f t="shared" si="10"/>
        <v>0.10169008894323381</v>
      </c>
      <c r="E45" s="25"/>
      <c r="G45" s="21"/>
      <c r="H45" s="22"/>
    </row>
    <row r="46" spans="1:17" s="26" customFormat="1" ht="24.95" customHeight="1" x14ac:dyDescent="0.35">
      <c r="A46" s="176">
        <v>3</v>
      </c>
      <c r="B46" s="10" t="s">
        <v>37</v>
      </c>
      <c r="C46" s="33">
        <v>241.38</v>
      </c>
      <c r="D46" s="24">
        <f t="shared" si="10"/>
        <v>0.10107870889934843</v>
      </c>
      <c r="E46" s="25"/>
      <c r="G46" s="21"/>
      <c r="H46" s="22"/>
    </row>
    <row r="47" spans="1:17" s="26" customFormat="1" ht="24.95" customHeight="1" x14ac:dyDescent="0.35">
      <c r="A47" s="175">
        <v>4</v>
      </c>
      <c r="B47" s="10" t="s">
        <v>69</v>
      </c>
      <c r="C47" s="33">
        <v>226.35</v>
      </c>
      <c r="D47" s="24">
        <f t="shared" si="10"/>
        <v>9.4784844474966934E-2</v>
      </c>
      <c r="E47" s="25"/>
      <c r="G47" s="21"/>
      <c r="H47" s="22"/>
    </row>
    <row r="48" spans="1:17" s="26" customFormat="1" ht="24.95" customHeight="1" x14ac:dyDescent="0.35">
      <c r="A48" s="176">
        <v>5</v>
      </c>
      <c r="B48" s="10" t="s">
        <v>63</v>
      </c>
      <c r="C48" s="33">
        <v>219.13</v>
      </c>
      <c r="D48" s="24">
        <f t="shared" si="10"/>
        <v>9.176144453191741E-2</v>
      </c>
      <c r="E48" s="25"/>
      <c r="G48" s="21"/>
      <c r="H48" s="22"/>
    </row>
    <row r="49" spans="1:5" s="26" customFormat="1" ht="24.95" customHeight="1" x14ac:dyDescent="0.25">
      <c r="A49" s="175">
        <v>6</v>
      </c>
      <c r="B49" s="10" t="s">
        <v>68</v>
      </c>
      <c r="C49" s="33">
        <v>212.13</v>
      </c>
      <c r="D49" s="24">
        <f t="shared" si="10"/>
        <v>8.8830170348905391E-2</v>
      </c>
      <c r="E49" s="25"/>
    </row>
    <row r="50" spans="1:5" s="26" customFormat="1" ht="24.95" customHeight="1" x14ac:dyDescent="0.25">
      <c r="A50" s="176">
        <v>7</v>
      </c>
      <c r="B50" s="10" t="s">
        <v>31</v>
      </c>
      <c r="C50" s="33">
        <v>167.29</v>
      </c>
      <c r="D50" s="24">
        <f t="shared" si="10"/>
        <v>7.0053265439439891E-2</v>
      </c>
      <c r="E50" s="25"/>
    </row>
    <row r="51" spans="1:5" s="26" customFormat="1" ht="24.95" customHeight="1" x14ac:dyDescent="0.25">
      <c r="A51" s="175">
        <v>8</v>
      </c>
      <c r="B51" s="10" t="s">
        <v>39</v>
      </c>
      <c r="C51" s="33">
        <v>148.87</v>
      </c>
      <c r="D51" s="24">
        <f t="shared" si="10"/>
        <v>6.2339826803571141E-2</v>
      </c>
      <c r="E51" s="25"/>
    </row>
    <row r="52" spans="1:5" s="26" customFormat="1" ht="24.95" customHeight="1" x14ac:dyDescent="0.25">
      <c r="A52" s="176">
        <v>9</v>
      </c>
      <c r="B52" s="10" t="s">
        <v>34</v>
      </c>
      <c r="C52" s="33">
        <v>137.19999999999999</v>
      </c>
      <c r="D52" s="24">
        <f t="shared" si="10"/>
        <v>5.7452973987035402E-2</v>
      </c>
      <c r="E52" s="25"/>
    </row>
    <row r="53" spans="1:5" s="26" customFormat="1" ht="24.95" customHeight="1" thickBot="1" x14ac:dyDescent="0.3">
      <c r="A53" s="177">
        <v>10</v>
      </c>
      <c r="B53" s="16" t="s">
        <v>33</v>
      </c>
      <c r="C53" s="34">
        <v>111.93</v>
      </c>
      <c r="D53" s="27">
        <f t="shared" si="10"/>
        <v>4.6871074186362049E-2</v>
      </c>
      <c r="E53" s="25"/>
    </row>
    <row r="54" spans="1:5" x14ac:dyDescent="0.25">
      <c r="A54" s="441" t="s">
        <v>539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540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341" priority="33" operator="containsText" text="024">
      <formula>NOT(ISERROR(SEARCH("024",A12)))</formula>
    </cfRule>
    <cfRule type="containsText" dxfId="340" priority="34" operator="containsText" text="白醬">
      <formula>NOT(ISERROR(SEARCH("白醬",A12)))</formula>
    </cfRule>
    <cfRule type="containsText" dxfId="339" priority="35" operator="containsText" text="青蔥">
      <formula>NOT(ISERROR(SEARCH("青蔥",A12)))</formula>
    </cfRule>
    <cfRule type="containsText" dxfId="338" priority="36" operator="containsText" text=")川燙小青花菜">
      <formula>NOT(ISERROR(SEARCH(")川燙小青花菜",A12)))</formula>
    </cfRule>
    <cfRule type="containsText" dxfId="337" priority="37" operator="containsText" text="湯凍">
      <formula>NOT(ISERROR(SEARCH("湯凍",A12)))</formula>
    </cfRule>
    <cfRule type="containsText" dxfId="336" priority="38" operator="containsText" text="中華">
      <formula>NOT(ISERROR(SEARCH("中華",A12)))</formula>
    </cfRule>
  </conditionalFormatting>
  <conditionalFormatting sqref="A12:A22">
    <cfRule type="containsText" dxfId="335" priority="31" operator="containsText" text="綠豆芽">
      <formula>NOT(ISERROR(SEARCH("綠豆芽",A12)))</formula>
    </cfRule>
    <cfRule type="containsText" dxfId="334" priority="32" operator="containsText" text="煮白細麵生(方#12)">
      <formula>NOT(ISERROR(SEARCH("煮白細麵生(方#12)",A12)))</formula>
    </cfRule>
  </conditionalFormatting>
  <conditionalFormatting sqref="E5">
    <cfRule type="cellIs" dxfId="333" priority="16" operator="greaterThan">
      <formula>0.0025</formula>
    </cfRule>
    <cfRule type="cellIs" dxfId="332" priority="19" operator="greaterThan">
      <formula>0.0025</formula>
    </cfRule>
    <cfRule type="cellIs" dxfId="331" priority="29" operator="greaterThan">
      <formula>0.072</formula>
    </cfRule>
    <cfRule type="cellIs" dxfId="330" priority="30" operator="greaterThan">
      <formula>7.2</formula>
    </cfRule>
  </conditionalFormatting>
  <conditionalFormatting sqref="E5">
    <cfRule type="cellIs" dxfId="329" priority="28" operator="greaterThan">
      <formula>0.0025</formula>
    </cfRule>
  </conditionalFormatting>
  <conditionalFormatting sqref="A44:A53">
    <cfRule type="containsText" dxfId="328" priority="22" operator="containsText" text="024">
      <formula>NOT(ISERROR(SEARCH("024",A44)))</formula>
    </cfRule>
    <cfRule type="containsText" dxfId="327" priority="23" operator="containsText" text="白醬">
      <formula>NOT(ISERROR(SEARCH("白醬",A44)))</formula>
    </cfRule>
    <cfRule type="containsText" dxfId="326" priority="24" operator="containsText" text="青蔥">
      <formula>NOT(ISERROR(SEARCH("青蔥",A44)))</formula>
    </cfRule>
    <cfRule type="containsText" dxfId="325" priority="25" operator="containsText" text=")川燙小青花菜">
      <formula>NOT(ISERROR(SEARCH(")川燙小青花菜",A44)))</formula>
    </cfRule>
    <cfRule type="containsText" dxfId="324" priority="26" operator="containsText" text="湯凍">
      <formula>NOT(ISERROR(SEARCH("湯凍",A44)))</formula>
    </cfRule>
    <cfRule type="containsText" dxfId="323" priority="27" operator="containsText" text="中華">
      <formula>NOT(ISERROR(SEARCH("中華",A44)))</formula>
    </cfRule>
  </conditionalFormatting>
  <conditionalFormatting sqref="A44:A53">
    <cfRule type="containsText" dxfId="322" priority="20" operator="containsText" text="綠豆芽">
      <formula>NOT(ISERROR(SEARCH("綠豆芽",A44)))</formula>
    </cfRule>
    <cfRule type="containsText" dxfId="321" priority="21" operator="containsText" text="煮白細麵生(方#12)">
      <formula>NOT(ISERROR(SEARCH("煮白細麵生(方#12)",A44)))</formula>
    </cfRule>
  </conditionalFormatting>
  <conditionalFormatting sqref="D44:D53">
    <cfRule type="cellIs" dxfId="320" priority="18" operator="greaterThan">
      <formula>0.146</formula>
    </cfRule>
  </conditionalFormatting>
  <conditionalFormatting sqref="H12:H22">
    <cfRule type="cellIs" dxfId="319" priority="17" operator="greaterThan">
      <formula>1.1</formula>
    </cfRule>
  </conditionalFormatting>
  <conditionalFormatting sqref="I5">
    <cfRule type="cellIs" dxfId="318" priority="15" operator="greaterThan">
      <formula>0.2</formula>
    </cfRule>
  </conditionalFormatting>
  <conditionalFormatting sqref="A28:A37">
    <cfRule type="containsText" dxfId="317" priority="9" operator="containsText" text="024">
      <formula>NOT(ISERROR(SEARCH("024",A28)))</formula>
    </cfRule>
    <cfRule type="containsText" dxfId="316" priority="10" operator="containsText" text="白醬">
      <formula>NOT(ISERROR(SEARCH("白醬",A28)))</formula>
    </cfRule>
    <cfRule type="containsText" dxfId="315" priority="11" operator="containsText" text="青蔥">
      <formula>NOT(ISERROR(SEARCH("青蔥",A28)))</formula>
    </cfRule>
    <cfRule type="containsText" dxfId="314" priority="12" operator="containsText" text=")川燙小青花菜">
      <formula>NOT(ISERROR(SEARCH(")川燙小青花菜",A28)))</formula>
    </cfRule>
    <cfRule type="containsText" dxfId="313" priority="13" operator="containsText" text="湯凍">
      <formula>NOT(ISERROR(SEARCH("湯凍",A28)))</formula>
    </cfRule>
    <cfRule type="containsText" dxfId="312" priority="14" operator="containsText" text="中華">
      <formula>NOT(ISERROR(SEARCH("中華",A28)))</formula>
    </cfRule>
  </conditionalFormatting>
  <conditionalFormatting sqref="A28:A37">
    <cfRule type="containsText" dxfId="311" priority="7" operator="containsText" text="綠豆芽">
      <formula>NOT(ISERROR(SEARCH("綠豆芽",A28)))</formula>
    </cfRule>
    <cfRule type="containsText" dxfId="310" priority="8" operator="containsText" text="煮白細麵生(方#12)">
      <formula>NOT(ISERROR(SEARCH("煮白細麵生(方#12)",A28)))</formula>
    </cfRule>
  </conditionalFormatting>
  <conditionalFormatting sqref="H28:H37">
    <cfRule type="cellIs" dxfId="309" priority="6" operator="greaterThan">
      <formula>1.1</formula>
    </cfRule>
  </conditionalFormatting>
  <conditionalFormatting sqref="G5">
    <cfRule type="cellIs" dxfId="308" priority="1" operator="greaterThan">
      <formula>0.0025</formula>
    </cfRule>
    <cfRule type="cellIs" dxfId="307" priority="2" operator="greaterThan">
      <formula>0.0025</formula>
    </cfRule>
    <cfRule type="cellIs" dxfId="306" priority="4" operator="greaterThan">
      <formula>0.072</formula>
    </cfRule>
    <cfRule type="cellIs" dxfId="305" priority="5" operator="greaterThan">
      <formula>7.2</formula>
    </cfRule>
  </conditionalFormatting>
  <conditionalFormatting sqref="G5">
    <cfRule type="cellIs" dxfId="30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view="pageBreakPreview" zoomScale="55" zoomScaleNormal="90" zoomScaleSheetLayoutView="55" workbookViewId="0">
      <selection activeCell="B17" sqref="B1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815" t="s">
        <v>92</v>
      </c>
      <c r="B2" s="816"/>
      <c r="C2" s="160" t="s">
        <v>93</v>
      </c>
      <c r="D2" s="817" t="s">
        <v>94</v>
      </c>
      <c r="E2" s="817"/>
      <c r="F2" s="817" t="s">
        <v>95</v>
      </c>
      <c r="G2" s="817"/>
      <c r="H2" s="817" t="s">
        <v>94</v>
      </c>
      <c r="I2" s="817"/>
      <c r="J2" s="817" t="s">
        <v>95</v>
      </c>
      <c r="K2" s="817"/>
      <c r="L2" s="817" t="s">
        <v>94</v>
      </c>
      <c r="M2" s="818"/>
      <c r="Q2" s="54"/>
    </row>
    <row r="3" spans="1:17" s="1" customFormat="1" ht="28.5" x14ac:dyDescent="0.45">
      <c r="A3" s="824">
        <v>45877</v>
      </c>
      <c r="B3" s="825"/>
      <c r="C3" s="826">
        <v>4540704.45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824"/>
      <c r="B4" s="825"/>
      <c r="C4" s="826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819" t="s">
        <v>105</v>
      </c>
      <c r="B5" s="820"/>
      <c r="C5" s="820"/>
      <c r="D5" s="161">
        <v>10914.96</v>
      </c>
      <c r="E5" s="5">
        <f>D5/C3</f>
        <v>2.4038032248498353E-3</v>
      </c>
      <c r="F5" s="161">
        <v>39033.469999999994</v>
      </c>
      <c r="G5" s="44">
        <f>F5/C3</f>
        <v>8.5963467628905003E-3</v>
      </c>
      <c r="H5" s="6">
        <f>SUM(C12:C21)</f>
        <v>5153.95</v>
      </c>
      <c r="I5" s="7">
        <f>H5/D5</f>
        <v>0.47219137770546116</v>
      </c>
      <c r="J5" s="6">
        <f>SUM(C28:C37)</f>
        <v>22698.010000000002</v>
      </c>
      <c r="K5" s="46">
        <f>J5/F5</f>
        <v>0.58150120909055758</v>
      </c>
      <c r="L5" s="8">
        <v>6163.6900000000005</v>
      </c>
      <c r="M5" s="9">
        <f>L5/D5</f>
        <v>0.56470110747084745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126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127</v>
      </c>
      <c r="B8" s="447"/>
      <c r="C8" s="447"/>
      <c r="D8" s="447" t="s">
        <v>128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129</v>
      </c>
      <c r="P8" s="456" t="s">
        <v>130</v>
      </c>
      <c r="Q8" s="835" t="s">
        <v>131</v>
      </c>
    </row>
    <row r="9" spans="1:17" ht="20.45" customHeight="1" x14ac:dyDescent="0.25">
      <c r="A9" s="821" t="s">
        <v>132</v>
      </c>
      <c r="B9" s="461" t="s">
        <v>133</v>
      </c>
      <c r="C9" s="462"/>
      <c r="D9" s="463" t="s">
        <v>134</v>
      </c>
      <c r="E9" s="463"/>
      <c r="F9" s="463"/>
      <c r="G9" s="463"/>
      <c r="H9" s="463"/>
      <c r="I9" s="463"/>
      <c r="J9" s="464" t="s">
        <v>135</v>
      </c>
      <c r="K9" s="464"/>
      <c r="L9" s="464"/>
      <c r="M9" s="465"/>
      <c r="N9" s="465"/>
      <c r="O9" s="456"/>
      <c r="P9" s="456"/>
      <c r="Q9" s="835"/>
    </row>
    <row r="10" spans="1:17" ht="20.45" customHeight="1" x14ac:dyDescent="0.3">
      <c r="A10" s="822"/>
      <c r="B10" s="827" t="s">
        <v>136</v>
      </c>
      <c r="C10" s="829" t="s">
        <v>137</v>
      </c>
      <c r="D10" s="831" t="s">
        <v>110</v>
      </c>
      <c r="E10" s="831"/>
      <c r="F10" s="831"/>
      <c r="G10" s="831"/>
      <c r="H10" s="831"/>
      <c r="I10" s="831"/>
      <c r="J10" s="832" t="s">
        <v>138</v>
      </c>
      <c r="K10" s="833"/>
      <c r="L10" s="834" t="s">
        <v>139</v>
      </c>
      <c r="M10" s="832"/>
      <c r="N10" s="832"/>
      <c r="O10" s="456"/>
      <c r="P10" s="456"/>
      <c r="Q10" s="835"/>
    </row>
    <row r="11" spans="1:17" s="55" customFormat="1" ht="47.25" customHeight="1" x14ac:dyDescent="0.25">
      <c r="A11" s="823"/>
      <c r="B11" s="828"/>
      <c r="C11" s="830"/>
      <c r="D11" s="162" t="s">
        <v>140</v>
      </c>
      <c r="E11" s="162" t="s">
        <v>141</v>
      </c>
      <c r="F11" s="162" t="s">
        <v>142</v>
      </c>
      <c r="G11" s="162" t="s">
        <v>143</v>
      </c>
      <c r="H11" s="162" t="s">
        <v>144</v>
      </c>
      <c r="I11" s="162" t="s">
        <v>145</v>
      </c>
      <c r="J11" s="163" t="s">
        <v>146</v>
      </c>
      <c r="K11" s="163" t="s">
        <v>148</v>
      </c>
      <c r="L11" s="163" t="s">
        <v>146</v>
      </c>
      <c r="M11" s="163" t="s">
        <v>148</v>
      </c>
      <c r="N11" s="164" t="s">
        <v>202</v>
      </c>
      <c r="O11" s="456"/>
      <c r="P11" s="456"/>
      <c r="Q11" s="835"/>
    </row>
    <row r="12" spans="1:17" s="15" customFormat="1" ht="24.95" customHeight="1" x14ac:dyDescent="0.25">
      <c r="A12" s="165">
        <v>1</v>
      </c>
      <c r="B12" s="10" t="s">
        <v>37</v>
      </c>
      <c r="C12" s="33">
        <v>2126.96</v>
      </c>
      <c r="D12" s="56">
        <v>287.10000000000002</v>
      </c>
      <c r="E12" s="56">
        <v>291.45</v>
      </c>
      <c r="F12" s="56">
        <v>30</v>
      </c>
      <c r="G12" s="33">
        <v>156.74</v>
      </c>
      <c r="H12" s="11">
        <f t="shared" ref="H12:H21" si="0">(E12+F12)/D12</f>
        <v>1.1196447230929989</v>
      </c>
      <c r="I12" s="33">
        <v>5384.02</v>
      </c>
      <c r="J12" s="56">
        <v>13.57</v>
      </c>
      <c r="K12" s="12">
        <f t="shared" ref="K12:K21" si="1">J12/D12</f>
        <v>4.7265761058864507E-2</v>
      </c>
      <c r="L12" s="166">
        <f t="shared" ref="L12:L21" si="2">((E12+F12)-D12)-J12</f>
        <v>20.779999999999966</v>
      </c>
      <c r="M12" s="13">
        <f t="shared" ref="M12:M21" si="3">L12/D12</f>
        <v>7.2378962034134325E-2</v>
      </c>
      <c r="N12" s="167">
        <f t="shared" ref="N12:N21" si="4">L12*G12</f>
        <v>3257.0571999999947</v>
      </c>
      <c r="O12" s="66" t="s">
        <v>18</v>
      </c>
      <c r="P12" s="66" t="s">
        <v>583</v>
      </c>
      <c r="Q12" s="28" t="s">
        <v>25</v>
      </c>
    </row>
    <row r="13" spans="1:17" s="15" customFormat="1" ht="24.95" customHeight="1" x14ac:dyDescent="0.25">
      <c r="A13" s="168">
        <v>2</v>
      </c>
      <c r="B13" s="10" t="s">
        <v>59</v>
      </c>
      <c r="C13" s="33">
        <v>639.75</v>
      </c>
      <c r="D13" s="56">
        <v>76.36</v>
      </c>
      <c r="E13" s="56">
        <v>86.08</v>
      </c>
      <c r="F13" s="56">
        <v>0</v>
      </c>
      <c r="G13" s="33">
        <v>135.54</v>
      </c>
      <c r="H13" s="11">
        <f t="shared" si="0"/>
        <v>1.1272917757988477</v>
      </c>
      <c r="I13" s="33">
        <v>1317.45</v>
      </c>
      <c r="J13" s="56">
        <v>4.72</v>
      </c>
      <c r="K13" s="12">
        <f t="shared" si="1"/>
        <v>6.1812467260345727E-2</v>
      </c>
      <c r="L13" s="166">
        <f t="shared" si="2"/>
        <v>4.9999999999999991</v>
      </c>
      <c r="M13" s="13">
        <f t="shared" si="3"/>
        <v>6.5479308538501826E-2</v>
      </c>
      <c r="N13" s="167">
        <f t="shared" si="4"/>
        <v>677.69999999999982</v>
      </c>
      <c r="O13" s="66" t="s">
        <v>584</v>
      </c>
      <c r="P13" s="66" t="s">
        <v>585</v>
      </c>
      <c r="Q13" s="28" t="s">
        <v>25</v>
      </c>
    </row>
    <row r="14" spans="1:17" s="57" customFormat="1" ht="24.95" customHeight="1" x14ac:dyDescent="0.25">
      <c r="A14" s="168">
        <v>3</v>
      </c>
      <c r="B14" s="10" t="s">
        <v>86</v>
      </c>
      <c r="C14" s="33">
        <v>428.38</v>
      </c>
      <c r="D14" s="56">
        <v>20.8</v>
      </c>
      <c r="E14" s="56">
        <v>25.93</v>
      </c>
      <c r="F14" s="56">
        <v>0</v>
      </c>
      <c r="G14" s="33">
        <v>169.32</v>
      </c>
      <c r="H14" s="11">
        <f t="shared" si="0"/>
        <v>1.2466346153846153</v>
      </c>
      <c r="I14" s="33">
        <v>868.61</v>
      </c>
      <c r="J14" s="56">
        <v>2.5299999999999998</v>
      </c>
      <c r="K14" s="12">
        <f t="shared" si="1"/>
        <v>0.12163461538461537</v>
      </c>
      <c r="L14" s="166">
        <f t="shared" si="2"/>
        <v>2.5999999999999992</v>
      </c>
      <c r="M14" s="13">
        <f t="shared" si="3"/>
        <v>0.12499999999999996</v>
      </c>
      <c r="N14" s="167">
        <f t="shared" si="4"/>
        <v>440.23199999999986</v>
      </c>
      <c r="O14" s="66" t="s">
        <v>19</v>
      </c>
      <c r="P14" s="66" t="s">
        <v>586</v>
      </c>
      <c r="Q14" s="28" t="s">
        <v>25</v>
      </c>
    </row>
    <row r="15" spans="1:17" s="15" customFormat="1" ht="24.95" customHeight="1" x14ac:dyDescent="0.25">
      <c r="A15" s="165">
        <v>4</v>
      </c>
      <c r="B15" s="10" t="s">
        <v>69</v>
      </c>
      <c r="C15" s="33">
        <v>367.82</v>
      </c>
      <c r="D15" s="56">
        <v>41.94</v>
      </c>
      <c r="E15" s="56">
        <v>43.28</v>
      </c>
      <c r="F15" s="56">
        <v>3.75</v>
      </c>
      <c r="G15" s="33">
        <v>235.78</v>
      </c>
      <c r="H15" s="11">
        <f t="shared" si="0"/>
        <v>1.1213638531235099</v>
      </c>
      <c r="I15" s="33">
        <v>1200.1199999999999</v>
      </c>
      <c r="J15" s="56">
        <v>1.56</v>
      </c>
      <c r="K15" s="12">
        <f t="shared" si="1"/>
        <v>3.7195994277539342E-2</v>
      </c>
      <c r="L15" s="166">
        <f t="shared" si="2"/>
        <v>3.5300000000000034</v>
      </c>
      <c r="M15" s="13">
        <f t="shared" si="3"/>
        <v>8.4167858845970514E-2</v>
      </c>
      <c r="N15" s="167">
        <f t="shared" si="4"/>
        <v>832.30340000000081</v>
      </c>
      <c r="O15" s="66" t="s">
        <v>584</v>
      </c>
      <c r="P15" s="66" t="s">
        <v>585</v>
      </c>
      <c r="Q15" s="28" t="s">
        <v>25</v>
      </c>
    </row>
    <row r="16" spans="1:17" s="57" customFormat="1" ht="24.95" customHeight="1" x14ac:dyDescent="0.25">
      <c r="A16" s="168">
        <v>5</v>
      </c>
      <c r="B16" s="10" t="s">
        <v>38</v>
      </c>
      <c r="C16" s="33">
        <v>354.85</v>
      </c>
      <c r="D16" s="56">
        <v>177.48</v>
      </c>
      <c r="E16" s="56">
        <v>165.41</v>
      </c>
      <c r="F16" s="56">
        <v>19.25</v>
      </c>
      <c r="G16" s="33">
        <v>99.12</v>
      </c>
      <c r="H16" s="11">
        <f t="shared" si="0"/>
        <v>1.040455262564796</v>
      </c>
      <c r="I16" s="33">
        <v>711.68</v>
      </c>
      <c r="J16" s="56">
        <v>3.58</v>
      </c>
      <c r="K16" s="12">
        <f t="shared" si="1"/>
        <v>2.0171286905566826E-2</v>
      </c>
      <c r="L16" s="166">
        <f t="shared" si="2"/>
        <v>3.6000000000000068</v>
      </c>
      <c r="M16" s="13">
        <f t="shared" si="3"/>
        <v>2.0283975659229247E-2</v>
      </c>
      <c r="N16" s="167">
        <f t="shared" si="4"/>
        <v>356.83200000000068</v>
      </c>
      <c r="O16" s="66" t="s">
        <v>584</v>
      </c>
      <c r="P16" s="66" t="s">
        <v>585</v>
      </c>
      <c r="Q16" s="28" t="s">
        <v>25</v>
      </c>
    </row>
    <row r="17" spans="1:17" s="15" customFormat="1" ht="24.95" customHeight="1" x14ac:dyDescent="0.25">
      <c r="A17" s="165">
        <v>6</v>
      </c>
      <c r="B17" s="10" t="s">
        <v>46</v>
      </c>
      <c r="C17" s="33">
        <v>303.86</v>
      </c>
      <c r="D17" s="56">
        <v>18.21</v>
      </c>
      <c r="E17" s="56">
        <v>16.62</v>
      </c>
      <c r="F17" s="56">
        <v>2.2000000000000002</v>
      </c>
      <c r="G17" s="33">
        <v>1012.86</v>
      </c>
      <c r="H17" s="11">
        <f t="shared" si="0"/>
        <v>1.0334980779791323</v>
      </c>
      <c r="I17" s="33">
        <v>617.84</v>
      </c>
      <c r="J17" s="56">
        <v>0.3</v>
      </c>
      <c r="K17" s="12">
        <f t="shared" si="1"/>
        <v>1.6474464579901153E-2</v>
      </c>
      <c r="L17" s="166">
        <f t="shared" si="2"/>
        <v>0.30999999999999944</v>
      </c>
      <c r="M17" s="13">
        <f t="shared" si="3"/>
        <v>1.7023613399231162E-2</v>
      </c>
      <c r="N17" s="167">
        <f t="shared" si="4"/>
        <v>313.98659999999944</v>
      </c>
      <c r="O17" s="66" t="s">
        <v>19</v>
      </c>
      <c r="P17" s="66" t="s">
        <v>587</v>
      </c>
      <c r="Q17" s="28" t="s">
        <v>76</v>
      </c>
    </row>
    <row r="18" spans="1:17" s="57" customFormat="1" ht="24.95" customHeight="1" x14ac:dyDescent="0.25">
      <c r="A18" s="168">
        <v>7</v>
      </c>
      <c r="B18" s="10" t="s">
        <v>108</v>
      </c>
      <c r="C18" s="33">
        <v>239.17</v>
      </c>
      <c r="D18" s="56">
        <v>37.340000000000003</v>
      </c>
      <c r="E18" s="56">
        <v>42.55</v>
      </c>
      <c r="F18" s="56">
        <v>0</v>
      </c>
      <c r="G18" s="33">
        <v>118.99</v>
      </c>
      <c r="H18" s="11">
        <f t="shared" si="0"/>
        <v>1.1395286555972146</v>
      </c>
      <c r="I18" s="33">
        <v>619.94000000000005</v>
      </c>
      <c r="J18" s="56">
        <v>2.0099999999999998</v>
      </c>
      <c r="K18" s="12">
        <f t="shared" si="1"/>
        <v>5.3829673272629878E-2</v>
      </c>
      <c r="L18" s="166">
        <f t="shared" si="2"/>
        <v>3.199999999999994</v>
      </c>
      <c r="M18" s="13">
        <f t="shared" si="3"/>
        <v>8.5698982324584727E-2</v>
      </c>
      <c r="N18" s="167">
        <f t="shared" si="4"/>
        <v>380.76799999999929</v>
      </c>
      <c r="O18" s="66" t="s">
        <v>584</v>
      </c>
      <c r="P18" s="66" t="s">
        <v>585</v>
      </c>
      <c r="Q18" s="28" t="s">
        <v>51</v>
      </c>
    </row>
    <row r="19" spans="1:17" s="15" customFormat="1" ht="24.95" customHeight="1" x14ac:dyDescent="0.25">
      <c r="A19" s="165">
        <v>8</v>
      </c>
      <c r="B19" s="10" t="s">
        <v>35</v>
      </c>
      <c r="C19" s="33">
        <v>237.89</v>
      </c>
      <c r="D19" s="56">
        <v>73.84</v>
      </c>
      <c r="E19" s="56">
        <v>73.930000000000007</v>
      </c>
      <c r="F19" s="56">
        <v>4</v>
      </c>
      <c r="G19" s="33">
        <v>410.16</v>
      </c>
      <c r="H19" s="11">
        <f t="shared" si="0"/>
        <v>1.0553900325027086</v>
      </c>
      <c r="I19" s="33">
        <v>1677.55</v>
      </c>
      <c r="J19" s="56">
        <v>0.57999999999999996</v>
      </c>
      <c r="K19" s="12">
        <f t="shared" si="1"/>
        <v>7.8548212351029247E-3</v>
      </c>
      <c r="L19" s="166">
        <f t="shared" si="2"/>
        <v>3.5100000000000033</v>
      </c>
      <c r="M19" s="13">
        <f t="shared" si="3"/>
        <v>4.7535211267605675E-2</v>
      </c>
      <c r="N19" s="167">
        <f t="shared" si="4"/>
        <v>1439.6616000000015</v>
      </c>
      <c r="O19" s="66" t="s">
        <v>584</v>
      </c>
      <c r="P19" s="66" t="s">
        <v>585</v>
      </c>
      <c r="Q19" s="28" t="s">
        <v>25</v>
      </c>
    </row>
    <row r="20" spans="1:17" s="15" customFormat="1" ht="24.95" customHeight="1" x14ac:dyDescent="0.25">
      <c r="A20" s="168">
        <v>9</v>
      </c>
      <c r="B20" s="10" t="s">
        <v>87</v>
      </c>
      <c r="C20" s="33">
        <v>228.07</v>
      </c>
      <c r="D20" s="56">
        <v>12.78</v>
      </c>
      <c r="E20" s="56">
        <v>15.82</v>
      </c>
      <c r="F20" s="56">
        <v>0</v>
      </c>
      <c r="G20" s="33">
        <v>160.61000000000001</v>
      </c>
      <c r="H20" s="11">
        <f t="shared" si="0"/>
        <v>1.2378716744913929</v>
      </c>
      <c r="I20" s="33">
        <v>488.25</v>
      </c>
      <c r="J20" s="56">
        <v>1.42</v>
      </c>
      <c r="K20" s="12">
        <f t="shared" si="1"/>
        <v>0.1111111111111111</v>
      </c>
      <c r="L20" s="166">
        <f t="shared" si="2"/>
        <v>1.620000000000001</v>
      </c>
      <c r="M20" s="13">
        <f t="shared" si="3"/>
        <v>0.12676056338028177</v>
      </c>
      <c r="N20" s="167">
        <f t="shared" si="4"/>
        <v>260.18820000000017</v>
      </c>
      <c r="O20" s="66" t="s">
        <v>18</v>
      </c>
      <c r="P20" s="66" t="s">
        <v>588</v>
      </c>
      <c r="Q20" s="28" t="s">
        <v>85</v>
      </c>
    </row>
    <row r="21" spans="1:17" s="15" customFormat="1" ht="24.95" customHeight="1" thickBot="1" x14ac:dyDescent="0.3">
      <c r="A21" s="169">
        <v>10</v>
      </c>
      <c r="B21" s="16" t="s">
        <v>30</v>
      </c>
      <c r="C21" s="34">
        <v>227.2</v>
      </c>
      <c r="D21" s="58">
        <v>52.58</v>
      </c>
      <c r="E21" s="58">
        <v>55.47</v>
      </c>
      <c r="F21" s="58">
        <v>0</v>
      </c>
      <c r="G21" s="34">
        <v>156.69</v>
      </c>
      <c r="H21" s="17">
        <f t="shared" si="0"/>
        <v>1.0549638645872956</v>
      </c>
      <c r="I21" s="34">
        <v>452.83</v>
      </c>
      <c r="J21" s="58">
        <v>1.45</v>
      </c>
      <c r="K21" s="18">
        <f t="shared" si="1"/>
        <v>2.7577025484975277E-2</v>
      </c>
      <c r="L21" s="170">
        <f t="shared" si="2"/>
        <v>1.4400000000000006</v>
      </c>
      <c r="M21" s="19">
        <f t="shared" si="3"/>
        <v>2.7386839102320287E-2</v>
      </c>
      <c r="N21" s="171">
        <f t="shared" si="4"/>
        <v>225.63360000000009</v>
      </c>
      <c r="O21" s="64" t="s">
        <v>584</v>
      </c>
      <c r="P21" s="64" t="s">
        <v>585</v>
      </c>
      <c r="Q21" s="29" t="s">
        <v>25</v>
      </c>
    </row>
    <row r="22" spans="1:17" s="62" customFormat="1" ht="24.95" customHeight="1" thickBot="1" x14ac:dyDescent="0.3">
      <c r="A22" s="172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73"/>
      <c r="M22" s="30"/>
      <c r="N22" s="174"/>
      <c r="O22" s="61"/>
      <c r="P22" s="61"/>
      <c r="Q22" s="59"/>
    </row>
    <row r="23" spans="1:17" s="62" customFormat="1" ht="40.5" customHeight="1" x14ac:dyDescent="0.25">
      <c r="A23" s="443" t="s">
        <v>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127</v>
      </c>
      <c r="B24" s="447"/>
      <c r="C24" s="447"/>
      <c r="D24" s="447" t="s">
        <v>128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129</v>
      </c>
      <c r="P24" s="456" t="s">
        <v>130</v>
      </c>
      <c r="Q24" s="835" t="s">
        <v>131</v>
      </c>
    </row>
    <row r="25" spans="1:17" s="62" customFormat="1" ht="24.95" customHeight="1" x14ac:dyDescent="0.25">
      <c r="A25" s="821" t="s">
        <v>132</v>
      </c>
      <c r="B25" s="461" t="s">
        <v>133</v>
      </c>
      <c r="C25" s="462"/>
      <c r="D25" s="463" t="s">
        <v>134</v>
      </c>
      <c r="E25" s="463"/>
      <c r="F25" s="463"/>
      <c r="G25" s="463"/>
      <c r="H25" s="463"/>
      <c r="I25" s="463"/>
      <c r="J25" s="464" t="s">
        <v>135</v>
      </c>
      <c r="K25" s="464"/>
      <c r="L25" s="464"/>
      <c r="M25" s="465"/>
      <c r="N25" s="465"/>
      <c r="O25" s="456"/>
      <c r="P25" s="456"/>
      <c r="Q25" s="835"/>
    </row>
    <row r="26" spans="1:17" s="62" customFormat="1" ht="24.95" customHeight="1" x14ac:dyDescent="0.3">
      <c r="A26" s="822"/>
      <c r="B26" s="827" t="s">
        <v>136</v>
      </c>
      <c r="C26" s="829" t="s">
        <v>158</v>
      </c>
      <c r="D26" s="831" t="s">
        <v>110</v>
      </c>
      <c r="E26" s="831"/>
      <c r="F26" s="831"/>
      <c r="G26" s="831"/>
      <c r="H26" s="831"/>
      <c r="I26" s="831"/>
      <c r="J26" s="832" t="s">
        <v>138</v>
      </c>
      <c r="K26" s="836"/>
      <c r="L26" s="833"/>
      <c r="M26" s="832" t="s">
        <v>139</v>
      </c>
      <c r="N26" s="833"/>
      <c r="O26" s="456"/>
      <c r="P26" s="456"/>
      <c r="Q26" s="835"/>
    </row>
    <row r="27" spans="1:17" s="62" customFormat="1" ht="50.1" customHeight="1" x14ac:dyDescent="0.25">
      <c r="A27" s="823"/>
      <c r="B27" s="828"/>
      <c r="C27" s="830"/>
      <c r="D27" s="162" t="s">
        <v>140</v>
      </c>
      <c r="E27" s="162" t="s">
        <v>141</v>
      </c>
      <c r="F27" s="162" t="s">
        <v>142</v>
      </c>
      <c r="G27" s="162" t="s">
        <v>143</v>
      </c>
      <c r="H27" s="162" t="s">
        <v>144</v>
      </c>
      <c r="I27" s="162" t="s">
        <v>145</v>
      </c>
      <c r="J27" s="163" t="s">
        <v>146</v>
      </c>
      <c r="K27" s="163" t="s">
        <v>148</v>
      </c>
      <c r="L27" s="164" t="s">
        <v>202</v>
      </c>
      <c r="M27" s="163" t="s">
        <v>146</v>
      </c>
      <c r="N27" s="163" t="s">
        <v>148</v>
      </c>
      <c r="O27" s="456"/>
      <c r="P27" s="456"/>
      <c r="Q27" s="835"/>
    </row>
    <row r="28" spans="1:17" s="62" customFormat="1" ht="24.95" customHeight="1" x14ac:dyDescent="0.25">
      <c r="A28" s="165">
        <v>1</v>
      </c>
      <c r="B28" s="10" t="s">
        <v>37</v>
      </c>
      <c r="C28" s="33">
        <v>3257.0600000000004</v>
      </c>
      <c r="D28" s="56">
        <v>287.10000000000002</v>
      </c>
      <c r="E28" s="56">
        <v>291.45</v>
      </c>
      <c r="F28" s="56">
        <v>30</v>
      </c>
      <c r="G28" s="33">
        <v>156.74</v>
      </c>
      <c r="H28" s="35">
        <f t="shared" ref="H28:H37" si="5">(E28+F28)/D28</f>
        <v>1.1196447230929989</v>
      </c>
      <c r="I28" s="33">
        <v>5384.02</v>
      </c>
      <c r="J28" s="56">
        <v>13.57</v>
      </c>
      <c r="K28" s="12">
        <f t="shared" ref="K28:K37" si="6">J28/D28</f>
        <v>4.7265761058864507E-2</v>
      </c>
      <c r="L28" s="167">
        <f t="shared" ref="L28:L37" si="7">J28*G28</f>
        <v>2126.9618</v>
      </c>
      <c r="M28" s="166">
        <f t="shared" ref="M28:M37" si="8">((E28+F28)-D28)-J28</f>
        <v>20.779999999999966</v>
      </c>
      <c r="N28" s="13">
        <f t="shared" ref="N28:N37" si="9">M28/D28</f>
        <v>7.2378962034134325E-2</v>
      </c>
      <c r="O28" s="69" t="s">
        <v>22</v>
      </c>
      <c r="P28" s="14" t="s">
        <v>67</v>
      </c>
      <c r="Q28" s="28" t="s">
        <v>25</v>
      </c>
    </row>
    <row r="29" spans="1:17" s="62" customFormat="1" ht="24.75" customHeight="1" x14ac:dyDescent="0.25">
      <c r="A29" s="168">
        <v>2</v>
      </c>
      <c r="B29" s="10" t="s">
        <v>53</v>
      </c>
      <c r="C29" s="33">
        <v>3088.57</v>
      </c>
      <c r="D29" s="56">
        <v>56.26</v>
      </c>
      <c r="E29" s="56">
        <v>58.879999999999995</v>
      </c>
      <c r="F29" s="56">
        <v>7.28</v>
      </c>
      <c r="G29" s="33">
        <v>333.9</v>
      </c>
      <c r="H29" s="35">
        <f t="shared" si="5"/>
        <v>1.1759687166725916</v>
      </c>
      <c r="I29" s="33">
        <v>3305.61</v>
      </c>
      <c r="J29" s="56">
        <v>0.65</v>
      </c>
      <c r="K29" s="12">
        <f t="shared" si="6"/>
        <v>1.1553501599715608E-2</v>
      </c>
      <c r="L29" s="167">
        <f t="shared" si="7"/>
        <v>217.035</v>
      </c>
      <c r="M29" s="166">
        <f t="shared" si="8"/>
        <v>9.2499999999999982</v>
      </c>
      <c r="N29" s="13">
        <f t="shared" si="9"/>
        <v>0.1644152150728759</v>
      </c>
      <c r="O29" s="69" t="s">
        <v>18</v>
      </c>
      <c r="P29" s="14" t="s">
        <v>541</v>
      </c>
      <c r="Q29" s="28" t="s">
        <v>78</v>
      </c>
    </row>
    <row r="30" spans="1:17" s="62" customFormat="1" ht="24.95" customHeight="1" x14ac:dyDescent="0.25">
      <c r="A30" s="168">
        <v>3</v>
      </c>
      <c r="B30" s="10" t="s">
        <v>33</v>
      </c>
      <c r="C30" s="33">
        <v>2651.6099999999997</v>
      </c>
      <c r="D30" s="56">
        <v>67.33</v>
      </c>
      <c r="E30" s="56">
        <v>69.38</v>
      </c>
      <c r="F30" s="56">
        <v>12</v>
      </c>
      <c r="G30" s="33">
        <v>203.5</v>
      </c>
      <c r="H30" s="35">
        <f t="shared" si="5"/>
        <v>1.2086736967176592</v>
      </c>
      <c r="I30" s="33">
        <v>2859.18</v>
      </c>
      <c r="J30" s="32">
        <v>1.02</v>
      </c>
      <c r="K30" s="12">
        <f t="shared" si="6"/>
        <v>1.5149264815089856E-2</v>
      </c>
      <c r="L30" s="167">
        <f t="shared" si="7"/>
        <v>207.57</v>
      </c>
      <c r="M30" s="166">
        <f t="shared" si="8"/>
        <v>13.029999999999998</v>
      </c>
      <c r="N30" s="13">
        <f t="shared" si="9"/>
        <v>0.1935244319025694</v>
      </c>
      <c r="O30" s="69" t="s">
        <v>18</v>
      </c>
      <c r="P30" s="14" t="s">
        <v>65</v>
      </c>
      <c r="Q30" s="28" t="s">
        <v>25</v>
      </c>
    </row>
    <row r="31" spans="1:17" s="62" customFormat="1" ht="24.95" customHeight="1" x14ac:dyDescent="0.25">
      <c r="A31" s="165">
        <v>4</v>
      </c>
      <c r="B31" s="10" t="s">
        <v>542</v>
      </c>
      <c r="C31" s="33">
        <v>2404.15</v>
      </c>
      <c r="D31" s="56">
        <v>129.33000000000001</v>
      </c>
      <c r="E31" s="56">
        <v>142.44</v>
      </c>
      <c r="F31" s="56">
        <v>0</v>
      </c>
      <c r="G31" s="33">
        <v>194.04</v>
      </c>
      <c r="H31" s="35">
        <f t="shared" si="5"/>
        <v>1.1013685919740199</v>
      </c>
      <c r="I31" s="33">
        <v>2543.86</v>
      </c>
      <c r="J31" s="56">
        <v>0.72</v>
      </c>
      <c r="K31" s="12">
        <f t="shared" si="6"/>
        <v>5.5671537926235207E-3</v>
      </c>
      <c r="L31" s="167">
        <f t="shared" si="7"/>
        <v>139.7088</v>
      </c>
      <c r="M31" s="166">
        <f t="shared" si="8"/>
        <v>12.389999999999985</v>
      </c>
      <c r="N31" s="13">
        <f t="shared" si="9"/>
        <v>9.5801438181396303E-2</v>
      </c>
      <c r="O31" s="69" t="s">
        <v>22</v>
      </c>
      <c r="P31" s="14" t="s">
        <v>84</v>
      </c>
      <c r="Q31" s="28" t="s">
        <v>543</v>
      </c>
    </row>
    <row r="32" spans="1:17" s="62" customFormat="1" ht="24.95" customHeight="1" x14ac:dyDescent="0.25">
      <c r="A32" s="168">
        <v>5</v>
      </c>
      <c r="B32" s="10" t="s">
        <v>32</v>
      </c>
      <c r="C32" s="33">
        <v>2352.4300000000003</v>
      </c>
      <c r="D32" s="56">
        <v>77.13</v>
      </c>
      <c r="E32" s="56">
        <v>80.02</v>
      </c>
      <c r="F32" s="56">
        <v>9</v>
      </c>
      <c r="G32" s="33">
        <v>212.89</v>
      </c>
      <c r="H32" s="35">
        <f t="shared" si="5"/>
        <v>1.1541553221833269</v>
      </c>
      <c r="I32" s="33">
        <v>2531.2600000000002</v>
      </c>
      <c r="J32" s="56">
        <v>0.84</v>
      </c>
      <c r="K32" s="12">
        <f t="shared" si="6"/>
        <v>1.0890704006223259E-2</v>
      </c>
      <c r="L32" s="167">
        <f t="shared" si="7"/>
        <v>178.82759999999999</v>
      </c>
      <c r="M32" s="166">
        <f t="shared" si="8"/>
        <v>11.05</v>
      </c>
      <c r="N32" s="13">
        <f t="shared" si="9"/>
        <v>0.14326461817710362</v>
      </c>
      <c r="O32" s="69" t="s">
        <v>79</v>
      </c>
      <c r="P32" s="14" t="s">
        <v>80</v>
      </c>
      <c r="Q32" s="28" t="s">
        <v>25</v>
      </c>
    </row>
    <row r="33" spans="1:17" s="62" customFormat="1" ht="24.95" customHeight="1" x14ac:dyDescent="0.25">
      <c r="A33" s="165">
        <v>6</v>
      </c>
      <c r="B33" s="10" t="s">
        <v>47</v>
      </c>
      <c r="C33" s="33">
        <v>2121.63</v>
      </c>
      <c r="D33" s="56">
        <v>35.35</v>
      </c>
      <c r="E33" s="56">
        <v>39.270000000000003</v>
      </c>
      <c r="F33" s="56">
        <v>2.9</v>
      </c>
      <c r="G33" s="33">
        <v>342.75</v>
      </c>
      <c r="H33" s="35">
        <f t="shared" si="5"/>
        <v>1.192927864214993</v>
      </c>
      <c r="I33" s="33">
        <v>2337.56</v>
      </c>
      <c r="J33" s="56">
        <v>0.63</v>
      </c>
      <c r="K33" s="12">
        <f t="shared" si="6"/>
        <v>1.782178217821782E-2</v>
      </c>
      <c r="L33" s="167">
        <f t="shared" si="7"/>
        <v>215.9325</v>
      </c>
      <c r="M33" s="166">
        <f t="shared" si="8"/>
        <v>6.19</v>
      </c>
      <c r="N33" s="13">
        <f t="shared" si="9"/>
        <v>0.17510608203677511</v>
      </c>
      <c r="O33" s="69" t="s">
        <v>22</v>
      </c>
      <c r="P33" s="14" t="s">
        <v>67</v>
      </c>
      <c r="Q33" s="28" t="s">
        <v>73</v>
      </c>
    </row>
    <row r="34" spans="1:17" s="62" customFormat="1" ht="24.95" customHeight="1" x14ac:dyDescent="0.25">
      <c r="A34" s="168">
        <v>7</v>
      </c>
      <c r="B34" s="10" t="s">
        <v>55</v>
      </c>
      <c r="C34" s="33">
        <v>2052.48</v>
      </c>
      <c r="D34" s="56">
        <v>73.47</v>
      </c>
      <c r="E34" s="56">
        <v>74.7</v>
      </c>
      <c r="F34" s="56">
        <v>5.58</v>
      </c>
      <c r="G34" s="33">
        <v>331.58</v>
      </c>
      <c r="H34" s="35">
        <f t="shared" si="5"/>
        <v>1.0926908942425479</v>
      </c>
      <c r="I34" s="33">
        <v>2258.06</v>
      </c>
      <c r="J34" s="56">
        <v>0.62</v>
      </c>
      <c r="K34" s="12">
        <f t="shared" si="6"/>
        <v>8.4388185654008432E-3</v>
      </c>
      <c r="L34" s="167">
        <f t="shared" si="7"/>
        <v>205.5796</v>
      </c>
      <c r="M34" s="166">
        <f t="shared" si="8"/>
        <v>6.1900000000000022</v>
      </c>
      <c r="N34" s="13">
        <f t="shared" si="9"/>
        <v>8.4252075677147167E-2</v>
      </c>
      <c r="O34" s="69" t="s">
        <v>22</v>
      </c>
      <c r="P34" s="14" t="s">
        <v>67</v>
      </c>
      <c r="Q34" s="28" t="s">
        <v>74</v>
      </c>
    </row>
    <row r="35" spans="1:17" s="62" customFormat="1" ht="24.95" customHeight="1" x14ac:dyDescent="0.25">
      <c r="A35" s="165">
        <v>8</v>
      </c>
      <c r="B35" s="10" t="s">
        <v>45</v>
      </c>
      <c r="C35" s="33">
        <v>1929.02</v>
      </c>
      <c r="D35" s="56">
        <v>61.23</v>
      </c>
      <c r="E35" s="56">
        <v>64.179999999999993</v>
      </c>
      <c r="F35" s="56">
        <v>3.7</v>
      </c>
      <c r="G35" s="33">
        <v>318.32</v>
      </c>
      <c r="H35" s="35">
        <f t="shared" si="5"/>
        <v>1.1086068920463825</v>
      </c>
      <c r="I35" s="33">
        <v>2116.83</v>
      </c>
      <c r="J35" s="56">
        <v>0.59</v>
      </c>
      <c r="K35" s="12">
        <f t="shared" si="6"/>
        <v>9.6357994447166424E-3</v>
      </c>
      <c r="L35" s="167">
        <f t="shared" si="7"/>
        <v>187.80879999999999</v>
      </c>
      <c r="M35" s="166">
        <f t="shared" si="8"/>
        <v>6.0599999999999987</v>
      </c>
      <c r="N35" s="13">
        <f t="shared" si="9"/>
        <v>9.8971092601665839E-2</v>
      </c>
      <c r="O35" s="69" t="s">
        <v>79</v>
      </c>
      <c r="P35" s="14" t="s">
        <v>67</v>
      </c>
      <c r="Q35" s="28" t="s">
        <v>76</v>
      </c>
    </row>
    <row r="36" spans="1:17" s="62" customFormat="1" ht="24.95" customHeight="1" x14ac:dyDescent="0.25">
      <c r="A36" s="168">
        <v>9</v>
      </c>
      <c r="B36" s="10" t="s">
        <v>35</v>
      </c>
      <c r="C36" s="33">
        <v>1439.6599999999999</v>
      </c>
      <c r="D36" s="56">
        <v>73.84</v>
      </c>
      <c r="E36" s="56">
        <v>73.930000000000007</v>
      </c>
      <c r="F36" s="56">
        <v>4</v>
      </c>
      <c r="G36" s="33">
        <v>410.16</v>
      </c>
      <c r="H36" s="35">
        <f t="shared" si="5"/>
        <v>1.0553900325027086</v>
      </c>
      <c r="I36" s="33">
        <v>1677.55</v>
      </c>
      <c r="J36" s="56">
        <v>0.57999999999999996</v>
      </c>
      <c r="K36" s="12">
        <f t="shared" si="6"/>
        <v>7.8548212351029247E-3</v>
      </c>
      <c r="L36" s="167">
        <f t="shared" si="7"/>
        <v>237.89279999999999</v>
      </c>
      <c r="M36" s="166">
        <f t="shared" si="8"/>
        <v>3.5100000000000033</v>
      </c>
      <c r="N36" s="13">
        <f t="shared" si="9"/>
        <v>4.7535211267605675E-2</v>
      </c>
      <c r="O36" s="69" t="s">
        <v>22</v>
      </c>
      <c r="P36" s="14" t="s">
        <v>70</v>
      </c>
      <c r="Q36" s="28" t="s">
        <v>25</v>
      </c>
    </row>
    <row r="37" spans="1:17" s="62" customFormat="1" ht="24.95" customHeight="1" thickBot="1" x14ac:dyDescent="0.3">
      <c r="A37" s="169">
        <v>10</v>
      </c>
      <c r="B37" s="16" t="s">
        <v>41</v>
      </c>
      <c r="C37" s="34">
        <v>1401.4</v>
      </c>
      <c r="D37" s="58">
        <v>111.56</v>
      </c>
      <c r="E37" s="58">
        <v>114.39</v>
      </c>
      <c r="F37" s="58">
        <v>8.8000000000000007</v>
      </c>
      <c r="G37" s="34">
        <v>127.4</v>
      </c>
      <c r="H37" s="36">
        <f t="shared" si="5"/>
        <v>1.1042488347077806</v>
      </c>
      <c r="I37" s="34">
        <v>1481.66</v>
      </c>
      <c r="J37" s="58">
        <v>0.63</v>
      </c>
      <c r="K37" s="18">
        <f t="shared" si="6"/>
        <v>5.6471853711007533E-3</v>
      </c>
      <c r="L37" s="171">
        <f t="shared" si="7"/>
        <v>80.262</v>
      </c>
      <c r="M37" s="170">
        <f t="shared" si="8"/>
        <v>10.999999999999995</v>
      </c>
      <c r="N37" s="19">
        <f t="shared" si="9"/>
        <v>9.8601649336679767E-2</v>
      </c>
      <c r="O37" s="52" t="s">
        <v>22</v>
      </c>
      <c r="P37" s="20" t="s">
        <v>84</v>
      </c>
      <c r="Q37" s="65" t="s">
        <v>25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127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837" t="s">
        <v>132</v>
      </c>
      <c r="B41" s="450" t="s">
        <v>133</v>
      </c>
      <c r="C41" s="450"/>
      <c r="D41" s="451"/>
      <c r="E41" s="23"/>
      <c r="G41" s="21"/>
      <c r="H41" s="22"/>
    </row>
    <row r="42" spans="1:17" ht="20.45" customHeight="1" x14ac:dyDescent="0.35">
      <c r="A42" s="837"/>
      <c r="B42" s="838" t="s">
        <v>136</v>
      </c>
      <c r="C42" s="839" t="s">
        <v>137</v>
      </c>
      <c r="D42" s="835" t="s">
        <v>215</v>
      </c>
      <c r="E42" s="23"/>
      <c r="G42" s="21"/>
      <c r="H42" s="22"/>
    </row>
    <row r="43" spans="1:17" ht="20.45" customHeight="1" x14ac:dyDescent="0.35">
      <c r="A43" s="837"/>
      <c r="B43" s="838"/>
      <c r="C43" s="839"/>
      <c r="D43" s="835"/>
      <c r="E43" s="23"/>
      <c r="G43" s="21"/>
      <c r="H43" s="22"/>
    </row>
    <row r="44" spans="1:17" s="26" customFormat="1" ht="24.95" customHeight="1" x14ac:dyDescent="0.35">
      <c r="A44" s="175">
        <v>1</v>
      </c>
      <c r="B44" s="10" t="s">
        <v>37</v>
      </c>
      <c r="C44" s="33">
        <v>2126.96</v>
      </c>
      <c r="D44" s="24">
        <f t="shared" ref="D44:D53" si="10">C44/$L$5</f>
        <v>0.34507900299982636</v>
      </c>
      <c r="E44" s="25"/>
      <c r="G44" s="21"/>
      <c r="H44" s="22"/>
    </row>
    <row r="45" spans="1:17" s="26" customFormat="1" ht="24.95" customHeight="1" x14ac:dyDescent="0.35">
      <c r="A45" s="176">
        <v>2</v>
      </c>
      <c r="B45" s="10" t="s">
        <v>59</v>
      </c>
      <c r="C45" s="33">
        <v>639.75</v>
      </c>
      <c r="D45" s="24">
        <f t="shared" si="10"/>
        <v>0.1037933445711903</v>
      </c>
      <c r="E45" s="25"/>
      <c r="G45" s="21"/>
      <c r="H45" s="22"/>
    </row>
    <row r="46" spans="1:17" s="26" customFormat="1" ht="24.95" customHeight="1" x14ac:dyDescent="0.35">
      <c r="A46" s="176">
        <v>3</v>
      </c>
      <c r="B46" s="10" t="s">
        <v>86</v>
      </c>
      <c r="C46" s="33">
        <v>428.38</v>
      </c>
      <c r="D46" s="24">
        <f t="shared" si="10"/>
        <v>6.9500575142487697E-2</v>
      </c>
      <c r="E46" s="25"/>
      <c r="G46" s="21"/>
      <c r="H46" s="22"/>
    </row>
    <row r="47" spans="1:17" s="26" customFormat="1" ht="24.95" customHeight="1" x14ac:dyDescent="0.35">
      <c r="A47" s="175">
        <v>4</v>
      </c>
      <c r="B47" s="10" t="s">
        <v>69</v>
      </c>
      <c r="C47" s="33">
        <v>367.82</v>
      </c>
      <c r="D47" s="24">
        <f t="shared" si="10"/>
        <v>5.9675291911176577E-2</v>
      </c>
      <c r="E47" s="25"/>
      <c r="G47" s="21"/>
      <c r="H47" s="22"/>
    </row>
    <row r="48" spans="1:17" s="26" customFormat="1" ht="24.95" customHeight="1" x14ac:dyDescent="0.35">
      <c r="A48" s="176">
        <v>5</v>
      </c>
      <c r="B48" s="10" t="s">
        <v>38</v>
      </c>
      <c r="C48" s="33">
        <v>354.85</v>
      </c>
      <c r="D48" s="24">
        <f t="shared" si="10"/>
        <v>5.7571032936439046E-2</v>
      </c>
      <c r="E48" s="25"/>
      <c r="G48" s="21"/>
      <c r="H48" s="22"/>
    </row>
    <row r="49" spans="1:5" s="26" customFormat="1" ht="24.95" customHeight="1" x14ac:dyDescent="0.25">
      <c r="A49" s="175">
        <v>6</v>
      </c>
      <c r="B49" s="10" t="s">
        <v>35</v>
      </c>
      <c r="C49" s="33">
        <v>237.89</v>
      </c>
      <c r="D49" s="24">
        <f t="shared" si="10"/>
        <v>3.8595386854303179E-2</v>
      </c>
      <c r="E49" s="25"/>
    </row>
    <row r="50" spans="1:5" s="26" customFormat="1" ht="24.95" customHeight="1" x14ac:dyDescent="0.25">
      <c r="A50" s="176">
        <v>7</v>
      </c>
      <c r="B50" s="10" t="s">
        <v>30</v>
      </c>
      <c r="C50" s="33">
        <v>227.2</v>
      </c>
      <c r="D50" s="24">
        <f t="shared" si="10"/>
        <v>3.6861036165024515E-2</v>
      </c>
      <c r="E50" s="25"/>
    </row>
    <row r="51" spans="1:5" s="26" customFormat="1" ht="24.95" customHeight="1" x14ac:dyDescent="0.25">
      <c r="A51" s="175">
        <v>8</v>
      </c>
      <c r="B51" s="10" t="s">
        <v>544</v>
      </c>
      <c r="C51" s="33">
        <v>211.9</v>
      </c>
      <c r="D51" s="24">
        <f t="shared" si="10"/>
        <v>3.4378756881024188E-2</v>
      </c>
      <c r="E51" s="25"/>
    </row>
    <row r="52" spans="1:5" s="26" customFormat="1" ht="24.95" customHeight="1" x14ac:dyDescent="0.25">
      <c r="A52" s="176">
        <v>9</v>
      </c>
      <c r="B52" s="10" t="s">
        <v>33</v>
      </c>
      <c r="C52" s="33">
        <v>207.57</v>
      </c>
      <c r="D52" s="24">
        <f t="shared" si="10"/>
        <v>3.3676255619604488E-2</v>
      </c>
      <c r="E52" s="25"/>
    </row>
    <row r="53" spans="1:5" s="26" customFormat="1" ht="24.95" customHeight="1" thickBot="1" x14ac:dyDescent="0.3">
      <c r="A53" s="177">
        <v>10</v>
      </c>
      <c r="B53" s="16" t="s">
        <v>32</v>
      </c>
      <c r="C53" s="34">
        <v>178.83</v>
      </c>
      <c r="D53" s="27">
        <f t="shared" si="10"/>
        <v>2.9013464337109749E-2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176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303" priority="33" operator="containsText" text="024">
      <formula>NOT(ISERROR(SEARCH("024",A12)))</formula>
    </cfRule>
    <cfRule type="containsText" dxfId="302" priority="34" operator="containsText" text="白醬">
      <formula>NOT(ISERROR(SEARCH("白醬",A12)))</formula>
    </cfRule>
    <cfRule type="containsText" dxfId="301" priority="35" operator="containsText" text="青蔥">
      <formula>NOT(ISERROR(SEARCH("青蔥",A12)))</formula>
    </cfRule>
    <cfRule type="containsText" dxfId="300" priority="36" operator="containsText" text=")川燙小青花菜">
      <formula>NOT(ISERROR(SEARCH(")川燙小青花菜",A12)))</formula>
    </cfRule>
    <cfRule type="containsText" dxfId="299" priority="37" operator="containsText" text="湯凍">
      <formula>NOT(ISERROR(SEARCH("湯凍",A12)))</formula>
    </cfRule>
    <cfRule type="containsText" dxfId="298" priority="38" operator="containsText" text="中華">
      <formula>NOT(ISERROR(SEARCH("中華",A12)))</formula>
    </cfRule>
  </conditionalFormatting>
  <conditionalFormatting sqref="A12:A22">
    <cfRule type="containsText" dxfId="297" priority="31" operator="containsText" text="綠豆芽">
      <formula>NOT(ISERROR(SEARCH("綠豆芽",A12)))</formula>
    </cfRule>
    <cfRule type="containsText" dxfId="296" priority="32" operator="containsText" text="煮白細麵生(方#12)">
      <formula>NOT(ISERROR(SEARCH("煮白細麵生(方#12)",A12)))</formula>
    </cfRule>
  </conditionalFormatting>
  <conditionalFormatting sqref="E5">
    <cfRule type="cellIs" dxfId="295" priority="16" operator="greaterThan">
      <formula>0.0025</formula>
    </cfRule>
    <cfRule type="cellIs" dxfId="294" priority="19" operator="greaterThan">
      <formula>0.0025</formula>
    </cfRule>
    <cfRule type="cellIs" dxfId="293" priority="29" operator="greaterThan">
      <formula>0.072</formula>
    </cfRule>
    <cfRule type="cellIs" dxfId="292" priority="30" operator="greaterThan">
      <formula>7.2</formula>
    </cfRule>
  </conditionalFormatting>
  <conditionalFormatting sqref="E5">
    <cfRule type="cellIs" dxfId="291" priority="28" operator="greaterThan">
      <formula>0.0025</formula>
    </cfRule>
  </conditionalFormatting>
  <conditionalFormatting sqref="A44:A53">
    <cfRule type="containsText" dxfId="290" priority="22" operator="containsText" text="024">
      <formula>NOT(ISERROR(SEARCH("024",A44)))</formula>
    </cfRule>
    <cfRule type="containsText" dxfId="289" priority="23" operator="containsText" text="白醬">
      <formula>NOT(ISERROR(SEARCH("白醬",A44)))</formula>
    </cfRule>
    <cfRule type="containsText" dxfId="288" priority="24" operator="containsText" text="青蔥">
      <formula>NOT(ISERROR(SEARCH("青蔥",A44)))</formula>
    </cfRule>
    <cfRule type="containsText" dxfId="287" priority="25" operator="containsText" text=")川燙小青花菜">
      <formula>NOT(ISERROR(SEARCH(")川燙小青花菜",A44)))</formula>
    </cfRule>
    <cfRule type="containsText" dxfId="286" priority="26" operator="containsText" text="湯凍">
      <formula>NOT(ISERROR(SEARCH("湯凍",A44)))</formula>
    </cfRule>
    <cfRule type="containsText" dxfId="285" priority="27" operator="containsText" text="中華">
      <formula>NOT(ISERROR(SEARCH("中華",A44)))</formula>
    </cfRule>
  </conditionalFormatting>
  <conditionalFormatting sqref="A44:A53">
    <cfRule type="containsText" dxfId="284" priority="20" operator="containsText" text="綠豆芽">
      <formula>NOT(ISERROR(SEARCH("綠豆芽",A44)))</formula>
    </cfRule>
    <cfRule type="containsText" dxfId="283" priority="21" operator="containsText" text="煮白細麵生(方#12)">
      <formula>NOT(ISERROR(SEARCH("煮白細麵生(方#12)",A44)))</formula>
    </cfRule>
  </conditionalFormatting>
  <conditionalFormatting sqref="D44:D53">
    <cfRule type="cellIs" dxfId="282" priority="18" operator="greaterThan">
      <formula>0.146</formula>
    </cfRule>
  </conditionalFormatting>
  <conditionalFormatting sqref="H12:H22">
    <cfRule type="cellIs" dxfId="281" priority="17" operator="greaterThan">
      <formula>1.1</formula>
    </cfRule>
  </conditionalFormatting>
  <conditionalFormatting sqref="I5">
    <cfRule type="cellIs" dxfId="280" priority="15" operator="greaterThan">
      <formula>0.2</formula>
    </cfRule>
  </conditionalFormatting>
  <conditionalFormatting sqref="A28:A37">
    <cfRule type="containsText" dxfId="279" priority="9" operator="containsText" text="024">
      <formula>NOT(ISERROR(SEARCH("024",A28)))</formula>
    </cfRule>
    <cfRule type="containsText" dxfId="278" priority="10" operator="containsText" text="白醬">
      <formula>NOT(ISERROR(SEARCH("白醬",A28)))</formula>
    </cfRule>
    <cfRule type="containsText" dxfId="277" priority="11" operator="containsText" text="青蔥">
      <formula>NOT(ISERROR(SEARCH("青蔥",A28)))</formula>
    </cfRule>
    <cfRule type="containsText" dxfId="276" priority="12" operator="containsText" text=")川燙小青花菜">
      <formula>NOT(ISERROR(SEARCH(")川燙小青花菜",A28)))</formula>
    </cfRule>
    <cfRule type="containsText" dxfId="275" priority="13" operator="containsText" text="湯凍">
      <formula>NOT(ISERROR(SEARCH("湯凍",A28)))</formula>
    </cfRule>
    <cfRule type="containsText" dxfId="274" priority="14" operator="containsText" text="中華">
      <formula>NOT(ISERROR(SEARCH("中華",A28)))</formula>
    </cfRule>
  </conditionalFormatting>
  <conditionalFormatting sqref="A28:A37">
    <cfRule type="containsText" dxfId="273" priority="7" operator="containsText" text="綠豆芽">
      <formula>NOT(ISERROR(SEARCH("綠豆芽",A28)))</formula>
    </cfRule>
    <cfRule type="containsText" dxfId="272" priority="8" operator="containsText" text="煮白細麵生(方#12)">
      <formula>NOT(ISERROR(SEARCH("煮白細麵生(方#12)",A28)))</formula>
    </cfRule>
  </conditionalFormatting>
  <conditionalFormatting sqref="H28:H37">
    <cfRule type="cellIs" dxfId="271" priority="6" operator="greaterThan">
      <formula>1.1</formula>
    </cfRule>
  </conditionalFormatting>
  <conditionalFormatting sqref="G5">
    <cfRule type="cellIs" dxfId="270" priority="1" operator="greaterThan">
      <formula>0.0025</formula>
    </cfRule>
    <cfRule type="cellIs" dxfId="269" priority="2" operator="greaterThan">
      <formula>0.0025</formula>
    </cfRule>
    <cfRule type="cellIs" dxfId="268" priority="4" operator="greaterThan">
      <formula>0.072</formula>
    </cfRule>
    <cfRule type="cellIs" dxfId="267" priority="5" operator="greaterThan">
      <formula>7.2</formula>
    </cfRule>
  </conditionalFormatting>
  <conditionalFormatting sqref="G5">
    <cfRule type="cellIs" dxfId="26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1" orientation="landscape" horizontalDpi="300" verticalDpi="30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view="pageBreakPreview" zoomScale="55" zoomScaleNormal="90" zoomScaleSheetLayoutView="55" workbookViewId="0">
      <selection activeCell="B16" sqref="B16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840" t="s">
        <v>92</v>
      </c>
      <c r="B2" s="841"/>
      <c r="C2" s="142" t="s">
        <v>93</v>
      </c>
      <c r="D2" s="842" t="s">
        <v>94</v>
      </c>
      <c r="E2" s="842"/>
      <c r="F2" s="842" t="s">
        <v>95</v>
      </c>
      <c r="G2" s="842"/>
      <c r="H2" s="842" t="s">
        <v>94</v>
      </c>
      <c r="I2" s="842"/>
      <c r="J2" s="842" t="s">
        <v>95</v>
      </c>
      <c r="K2" s="842"/>
      <c r="L2" s="842" t="s">
        <v>94</v>
      </c>
      <c r="M2" s="843"/>
      <c r="Q2" s="54"/>
    </row>
    <row r="3" spans="1:17" s="1" customFormat="1" ht="28.5" x14ac:dyDescent="0.45">
      <c r="A3" s="850">
        <v>45876</v>
      </c>
      <c r="B3" s="851"/>
      <c r="C3" s="852">
        <v>5578775.71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850"/>
      <c r="B4" s="851"/>
      <c r="C4" s="852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844" t="s">
        <v>105</v>
      </c>
      <c r="B5" s="845"/>
      <c r="C5" s="845"/>
      <c r="D5" s="143">
        <v>13552.550000000005</v>
      </c>
      <c r="E5" s="5">
        <f>D5/C3</f>
        <v>2.4293054075837732E-3</v>
      </c>
      <c r="F5" s="143">
        <v>47813.479999999981</v>
      </c>
      <c r="G5" s="44">
        <f>F5/C3</f>
        <v>8.570604463322291E-3</v>
      </c>
      <c r="H5" s="6">
        <f>SUM(C12:C21)</f>
        <v>6153.9400000000005</v>
      </c>
      <c r="I5" s="7">
        <f>H5/D5</f>
        <v>0.45407985950983382</v>
      </c>
      <c r="J5" s="6">
        <f>SUM(C28:C37)</f>
        <v>23508.46</v>
      </c>
      <c r="K5" s="46">
        <f>J5/F5</f>
        <v>0.49167013151939598</v>
      </c>
      <c r="L5" s="8">
        <v>5911.59</v>
      </c>
      <c r="M5" s="9">
        <f>L5/D5</f>
        <v>0.43619761594681428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345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346</v>
      </c>
      <c r="B8" s="447"/>
      <c r="C8" s="447"/>
      <c r="D8" s="447" t="s">
        <v>347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348</v>
      </c>
      <c r="P8" s="456" t="s">
        <v>349</v>
      </c>
      <c r="Q8" s="846" t="s">
        <v>350</v>
      </c>
    </row>
    <row r="9" spans="1:17" ht="20.45" customHeight="1" x14ac:dyDescent="0.25">
      <c r="A9" s="847" t="s">
        <v>351</v>
      </c>
      <c r="B9" s="461" t="s">
        <v>352</v>
      </c>
      <c r="C9" s="462"/>
      <c r="D9" s="463" t="s">
        <v>353</v>
      </c>
      <c r="E9" s="463"/>
      <c r="F9" s="463"/>
      <c r="G9" s="463"/>
      <c r="H9" s="463"/>
      <c r="I9" s="463"/>
      <c r="J9" s="464" t="s">
        <v>354</v>
      </c>
      <c r="K9" s="464"/>
      <c r="L9" s="464"/>
      <c r="M9" s="465"/>
      <c r="N9" s="465"/>
      <c r="O9" s="456"/>
      <c r="P9" s="456"/>
      <c r="Q9" s="846"/>
    </row>
    <row r="10" spans="1:17" ht="20.45" customHeight="1" x14ac:dyDescent="0.3">
      <c r="A10" s="848"/>
      <c r="B10" s="853" t="s">
        <v>355</v>
      </c>
      <c r="C10" s="855" t="s">
        <v>137</v>
      </c>
      <c r="D10" s="857" t="s">
        <v>356</v>
      </c>
      <c r="E10" s="857"/>
      <c r="F10" s="857"/>
      <c r="G10" s="857"/>
      <c r="H10" s="857"/>
      <c r="I10" s="857"/>
      <c r="J10" s="858" t="s">
        <v>357</v>
      </c>
      <c r="K10" s="859"/>
      <c r="L10" s="860" t="s">
        <v>358</v>
      </c>
      <c r="M10" s="858"/>
      <c r="N10" s="858"/>
      <c r="O10" s="456"/>
      <c r="P10" s="456"/>
      <c r="Q10" s="846"/>
    </row>
    <row r="11" spans="1:17" s="55" customFormat="1" ht="47.25" customHeight="1" x14ac:dyDescent="0.25">
      <c r="A11" s="849"/>
      <c r="B11" s="854"/>
      <c r="C11" s="856"/>
      <c r="D11" s="144" t="s">
        <v>359</v>
      </c>
      <c r="E11" s="144" t="s">
        <v>360</v>
      </c>
      <c r="F11" s="144" t="s">
        <v>361</v>
      </c>
      <c r="G11" s="144" t="s">
        <v>362</v>
      </c>
      <c r="H11" s="144" t="s">
        <v>144</v>
      </c>
      <c r="I11" s="144" t="s">
        <v>363</v>
      </c>
      <c r="J11" s="145" t="s">
        <v>364</v>
      </c>
      <c r="K11" s="145" t="s">
        <v>365</v>
      </c>
      <c r="L11" s="145" t="s">
        <v>366</v>
      </c>
      <c r="M11" s="145" t="s">
        <v>367</v>
      </c>
      <c r="N11" s="146" t="s">
        <v>149</v>
      </c>
      <c r="O11" s="456"/>
      <c r="P11" s="456"/>
      <c r="Q11" s="846"/>
    </row>
    <row r="12" spans="1:17" s="15" customFormat="1" ht="24.95" customHeight="1" x14ac:dyDescent="0.25">
      <c r="A12" s="147">
        <v>1</v>
      </c>
      <c r="B12" s="10" t="s">
        <v>59</v>
      </c>
      <c r="C12" s="33">
        <v>1237.48</v>
      </c>
      <c r="D12" s="56">
        <v>90.52</v>
      </c>
      <c r="E12" s="56">
        <v>99.94</v>
      </c>
      <c r="F12" s="56">
        <v>10</v>
      </c>
      <c r="G12" s="33">
        <v>135.54</v>
      </c>
      <c r="H12" s="11">
        <f t="shared" ref="H12:H21" si="0">(E12+F12)/D12</f>
        <v>1.2145382235969953</v>
      </c>
      <c r="I12" s="33">
        <v>2632.19</v>
      </c>
      <c r="J12" s="56">
        <v>9.1300000000000008</v>
      </c>
      <c r="K12" s="12">
        <f t="shared" ref="K12:K21" si="1">J12/D12</f>
        <v>0.10086168802474593</v>
      </c>
      <c r="L12" s="148">
        <f t="shared" ref="L12:L21" si="2">((E12+F12)-D12)-J12</f>
        <v>10.290000000000001</v>
      </c>
      <c r="M12" s="13">
        <f t="shared" ref="M12:M21" si="3">L12/D12</f>
        <v>0.11367653557224924</v>
      </c>
      <c r="N12" s="149">
        <f t="shared" ref="N12:N21" si="4">L12*G12</f>
        <v>1394.7066</v>
      </c>
      <c r="O12" s="66" t="s">
        <v>135</v>
      </c>
      <c r="P12" s="66" t="s">
        <v>416</v>
      </c>
      <c r="Q12" s="28" t="s">
        <v>25</v>
      </c>
    </row>
    <row r="13" spans="1:17" s="15" customFormat="1" ht="24.95" customHeight="1" x14ac:dyDescent="0.25">
      <c r="A13" s="150">
        <v>2</v>
      </c>
      <c r="B13" s="10" t="s">
        <v>37</v>
      </c>
      <c r="C13" s="33">
        <v>836.99</v>
      </c>
      <c r="D13" s="56">
        <v>348.78</v>
      </c>
      <c r="E13" s="56">
        <v>338.06</v>
      </c>
      <c r="F13" s="56">
        <v>35.200000000000003</v>
      </c>
      <c r="G13" s="33">
        <v>156.74</v>
      </c>
      <c r="H13" s="11">
        <f t="shared" si="0"/>
        <v>1.0701875107517633</v>
      </c>
      <c r="I13" s="33">
        <v>3837</v>
      </c>
      <c r="J13" s="56">
        <v>5.34</v>
      </c>
      <c r="K13" s="12">
        <f t="shared" si="1"/>
        <v>1.5310510923791503E-2</v>
      </c>
      <c r="L13" s="148">
        <f t="shared" si="2"/>
        <v>19.140000000000018</v>
      </c>
      <c r="M13" s="13">
        <f t="shared" si="3"/>
        <v>5.4876999827971847E-2</v>
      </c>
      <c r="N13" s="149">
        <f t="shared" si="4"/>
        <v>3000.0036000000032</v>
      </c>
      <c r="O13" s="66" t="s">
        <v>21</v>
      </c>
      <c r="P13" s="66" t="s">
        <v>417</v>
      </c>
      <c r="Q13" s="28" t="s">
        <v>25</v>
      </c>
    </row>
    <row r="14" spans="1:17" s="57" customFormat="1" ht="24.95" customHeight="1" x14ac:dyDescent="0.25">
      <c r="A14" s="150">
        <v>3</v>
      </c>
      <c r="B14" s="10" t="s">
        <v>38</v>
      </c>
      <c r="C14" s="33">
        <v>812.78</v>
      </c>
      <c r="D14" s="56">
        <v>220.85</v>
      </c>
      <c r="E14" s="56">
        <v>221.5</v>
      </c>
      <c r="F14" s="56">
        <v>25.55</v>
      </c>
      <c r="G14" s="33">
        <v>99.12</v>
      </c>
      <c r="H14" s="11">
        <f t="shared" si="0"/>
        <v>1.1186325560335071</v>
      </c>
      <c r="I14" s="33">
        <v>2596.94</v>
      </c>
      <c r="J14" s="56">
        <v>8.1999999999999993</v>
      </c>
      <c r="K14" s="12">
        <f t="shared" si="1"/>
        <v>3.712927326239529E-2</v>
      </c>
      <c r="L14" s="148">
        <f t="shared" si="2"/>
        <v>18.000000000000018</v>
      </c>
      <c r="M14" s="13">
        <f t="shared" si="3"/>
        <v>8.1503282771111699E-2</v>
      </c>
      <c r="N14" s="149">
        <f t="shared" si="4"/>
        <v>1784.1600000000019</v>
      </c>
      <c r="O14" s="66" t="s">
        <v>135</v>
      </c>
      <c r="P14" s="66" t="s">
        <v>416</v>
      </c>
      <c r="Q14" s="28" t="s">
        <v>25</v>
      </c>
    </row>
    <row r="15" spans="1:17" s="15" customFormat="1" ht="24.95" customHeight="1" x14ac:dyDescent="0.25">
      <c r="A15" s="147">
        <v>4</v>
      </c>
      <c r="B15" s="10" t="s">
        <v>368</v>
      </c>
      <c r="C15" s="33">
        <v>702.78</v>
      </c>
      <c r="D15" s="56">
        <v>60.31</v>
      </c>
      <c r="E15" s="56">
        <v>70.31</v>
      </c>
      <c r="F15" s="56">
        <v>8</v>
      </c>
      <c r="G15" s="33">
        <v>90.1</v>
      </c>
      <c r="H15" s="11">
        <f t="shared" si="0"/>
        <v>1.2984579671696237</v>
      </c>
      <c r="I15" s="33">
        <v>1621.8</v>
      </c>
      <c r="J15" s="56">
        <v>7.8</v>
      </c>
      <c r="K15" s="12">
        <f t="shared" si="1"/>
        <v>0.12933178577350354</v>
      </c>
      <c r="L15" s="148">
        <f t="shared" si="2"/>
        <v>10.199999999999999</v>
      </c>
      <c r="M15" s="13">
        <f t="shared" si="3"/>
        <v>0.16912618139612004</v>
      </c>
      <c r="N15" s="149">
        <f t="shared" si="4"/>
        <v>919.01999999999987</v>
      </c>
      <c r="O15" s="66" t="s">
        <v>21</v>
      </c>
      <c r="P15" s="66" t="s">
        <v>418</v>
      </c>
      <c r="Q15" s="28" t="s">
        <v>78</v>
      </c>
    </row>
    <row r="16" spans="1:17" s="57" customFormat="1" ht="24.95" customHeight="1" x14ac:dyDescent="0.25">
      <c r="A16" s="150">
        <v>5</v>
      </c>
      <c r="B16" s="10" t="s">
        <v>46</v>
      </c>
      <c r="C16" s="33">
        <v>597.59</v>
      </c>
      <c r="D16" s="56">
        <v>20.16</v>
      </c>
      <c r="E16" s="56">
        <v>15.45</v>
      </c>
      <c r="F16" s="56">
        <v>6.5</v>
      </c>
      <c r="G16" s="33">
        <v>1012.86</v>
      </c>
      <c r="H16" s="11">
        <f t="shared" si="0"/>
        <v>1.0887896825396826</v>
      </c>
      <c r="I16" s="33">
        <v>1813.02</v>
      </c>
      <c r="J16" s="56">
        <v>0.59000000000000008</v>
      </c>
      <c r="K16" s="12">
        <f t="shared" si="1"/>
        <v>2.9265873015873019E-2</v>
      </c>
      <c r="L16" s="148">
        <f t="shared" si="2"/>
        <v>1.1999999999999991</v>
      </c>
      <c r="M16" s="13">
        <f t="shared" si="3"/>
        <v>5.9523809523809479E-2</v>
      </c>
      <c r="N16" s="149">
        <f t="shared" si="4"/>
        <v>1215.4319999999991</v>
      </c>
      <c r="O16" s="66" t="s">
        <v>20</v>
      </c>
      <c r="P16" s="66" t="s">
        <v>419</v>
      </c>
      <c r="Q16" s="28" t="s">
        <v>76</v>
      </c>
    </row>
    <row r="17" spans="1:17" s="15" customFormat="1" ht="24.95" customHeight="1" x14ac:dyDescent="0.25">
      <c r="A17" s="147">
        <v>6</v>
      </c>
      <c r="B17" s="10" t="s">
        <v>369</v>
      </c>
      <c r="C17" s="33">
        <v>539.85</v>
      </c>
      <c r="D17" s="56">
        <v>50.26</v>
      </c>
      <c r="E17" s="56">
        <v>58.93</v>
      </c>
      <c r="F17" s="56">
        <v>0</v>
      </c>
      <c r="G17" s="33">
        <v>124.39</v>
      </c>
      <c r="H17" s="11">
        <f t="shared" si="0"/>
        <v>1.1725029844807004</v>
      </c>
      <c r="I17" s="33">
        <v>1078.46</v>
      </c>
      <c r="J17" s="56">
        <v>4.34</v>
      </c>
      <c r="K17" s="12">
        <f t="shared" si="1"/>
        <v>8.6350974930362118E-2</v>
      </c>
      <c r="L17" s="148">
        <f t="shared" si="2"/>
        <v>4.3300000000000018</v>
      </c>
      <c r="M17" s="13">
        <f t="shared" si="3"/>
        <v>8.6152009550338277E-2</v>
      </c>
      <c r="N17" s="149">
        <f t="shared" si="4"/>
        <v>538.60870000000023</v>
      </c>
      <c r="O17" s="66" t="s">
        <v>21</v>
      </c>
      <c r="P17" s="66" t="s">
        <v>418</v>
      </c>
      <c r="Q17" s="28" t="s">
        <v>78</v>
      </c>
    </row>
    <row r="18" spans="1:17" s="57" customFormat="1" ht="24.95" customHeight="1" x14ac:dyDescent="0.25">
      <c r="A18" s="150">
        <v>7</v>
      </c>
      <c r="B18" s="10" t="s">
        <v>48</v>
      </c>
      <c r="C18" s="33">
        <v>414.76</v>
      </c>
      <c r="D18" s="56">
        <v>12.11</v>
      </c>
      <c r="E18" s="56">
        <v>11.899999999999999</v>
      </c>
      <c r="F18" s="56">
        <v>1.2</v>
      </c>
      <c r="G18" s="33">
        <v>846.44</v>
      </c>
      <c r="H18" s="11">
        <f t="shared" si="0"/>
        <v>1.0817506193228736</v>
      </c>
      <c r="I18" s="33">
        <v>837.98</v>
      </c>
      <c r="J18" s="56">
        <v>0.48999999999999994</v>
      </c>
      <c r="K18" s="12">
        <f t="shared" si="1"/>
        <v>4.0462427745664734E-2</v>
      </c>
      <c r="L18" s="148">
        <f t="shared" si="2"/>
        <v>0.4999999999999985</v>
      </c>
      <c r="M18" s="13">
        <f t="shared" si="3"/>
        <v>4.1288191577208797E-2</v>
      </c>
      <c r="N18" s="149">
        <f t="shared" si="4"/>
        <v>423.21999999999878</v>
      </c>
      <c r="O18" s="66" t="s">
        <v>20</v>
      </c>
      <c r="P18" s="66" t="s">
        <v>419</v>
      </c>
      <c r="Q18" s="28" t="s">
        <v>73</v>
      </c>
    </row>
    <row r="19" spans="1:17" s="15" customFormat="1" ht="24.95" customHeight="1" x14ac:dyDescent="0.25">
      <c r="A19" s="147">
        <v>8</v>
      </c>
      <c r="B19" s="10" t="s">
        <v>30</v>
      </c>
      <c r="C19" s="33">
        <v>365.09</v>
      </c>
      <c r="D19" s="56">
        <v>69.23</v>
      </c>
      <c r="E19" s="56">
        <v>73.960000000000008</v>
      </c>
      <c r="F19" s="56">
        <v>0</v>
      </c>
      <c r="G19" s="33">
        <v>156.69</v>
      </c>
      <c r="H19" s="11">
        <f t="shared" si="0"/>
        <v>1.0683229813664596</v>
      </c>
      <c r="I19" s="33">
        <v>741.14</v>
      </c>
      <c r="J19" s="56">
        <v>2.3299999999999996</v>
      </c>
      <c r="K19" s="12">
        <f t="shared" si="1"/>
        <v>3.3655929510327885E-2</v>
      </c>
      <c r="L19" s="148">
        <f t="shared" si="2"/>
        <v>2.4000000000000044</v>
      </c>
      <c r="M19" s="13">
        <f t="shared" si="3"/>
        <v>3.4667051856131795E-2</v>
      </c>
      <c r="N19" s="149">
        <f t="shared" si="4"/>
        <v>376.05600000000067</v>
      </c>
      <c r="O19" s="66" t="s">
        <v>135</v>
      </c>
      <c r="P19" s="66" t="s">
        <v>416</v>
      </c>
      <c r="Q19" s="28" t="s">
        <v>25</v>
      </c>
    </row>
    <row r="20" spans="1:17" s="15" customFormat="1" ht="24.95" customHeight="1" x14ac:dyDescent="0.25">
      <c r="A20" s="150">
        <v>9</v>
      </c>
      <c r="B20" s="10" t="s">
        <v>87</v>
      </c>
      <c r="C20" s="33">
        <v>354.95</v>
      </c>
      <c r="D20" s="56">
        <v>15.15</v>
      </c>
      <c r="E20" s="56">
        <v>19.579999999999998</v>
      </c>
      <c r="F20" s="56">
        <v>0</v>
      </c>
      <c r="G20" s="33">
        <v>160.61000000000001</v>
      </c>
      <c r="H20" s="11">
        <f t="shared" si="0"/>
        <v>1.2924092409240924</v>
      </c>
      <c r="I20" s="33">
        <v>711.5</v>
      </c>
      <c r="J20" s="56">
        <v>2.21</v>
      </c>
      <c r="K20" s="12">
        <f t="shared" si="1"/>
        <v>0.14587458745874587</v>
      </c>
      <c r="L20" s="148">
        <f t="shared" si="2"/>
        <v>2.219999999999998</v>
      </c>
      <c r="M20" s="13">
        <f t="shared" si="3"/>
        <v>0.14653465346534639</v>
      </c>
      <c r="N20" s="149">
        <f t="shared" si="4"/>
        <v>356.5541999999997</v>
      </c>
      <c r="O20" s="66" t="s">
        <v>21</v>
      </c>
      <c r="P20" s="66" t="s">
        <v>420</v>
      </c>
      <c r="Q20" s="28" t="s">
        <v>85</v>
      </c>
    </row>
    <row r="21" spans="1:17" s="15" customFormat="1" ht="24.95" customHeight="1" thickBot="1" x14ac:dyDescent="0.3">
      <c r="A21" s="151">
        <v>10</v>
      </c>
      <c r="B21" s="16" t="s">
        <v>68</v>
      </c>
      <c r="C21" s="34">
        <v>291.67</v>
      </c>
      <c r="D21" s="58">
        <v>33.64</v>
      </c>
      <c r="E21" s="58">
        <v>35.729999999999997</v>
      </c>
      <c r="F21" s="58">
        <v>0</v>
      </c>
      <c r="G21" s="34">
        <v>294.62</v>
      </c>
      <c r="H21" s="17">
        <f t="shared" si="0"/>
        <v>1.0621284185493458</v>
      </c>
      <c r="I21" s="34">
        <v>615.76</v>
      </c>
      <c r="J21" s="58">
        <v>0.99</v>
      </c>
      <c r="K21" s="18">
        <f t="shared" si="1"/>
        <v>2.9429250891795482E-2</v>
      </c>
      <c r="L21" s="152">
        <f t="shared" si="2"/>
        <v>1.0999999999999963</v>
      </c>
      <c r="M21" s="19">
        <f t="shared" si="3"/>
        <v>3.2699167657550425E-2</v>
      </c>
      <c r="N21" s="153">
        <f t="shared" si="4"/>
        <v>324.08199999999891</v>
      </c>
      <c r="O21" s="66" t="s">
        <v>21</v>
      </c>
      <c r="P21" s="66" t="s">
        <v>421</v>
      </c>
      <c r="Q21" s="29" t="s">
        <v>25</v>
      </c>
    </row>
    <row r="22" spans="1:17" s="62" customFormat="1" ht="24.95" customHeight="1" thickBot="1" x14ac:dyDescent="0.3">
      <c r="A22" s="154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55"/>
      <c r="M22" s="30"/>
      <c r="N22" s="156"/>
      <c r="O22" s="61"/>
      <c r="P22" s="61"/>
      <c r="Q22" s="59"/>
    </row>
    <row r="23" spans="1:17" s="62" customFormat="1" ht="40.5" customHeight="1" x14ac:dyDescent="0.25">
      <c r="A23" s="443" t="s">
        <v>370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371</v>
      </c>
      <c r="B24" s="447"/>
      <c r="C24" s="447"/>
      <c r="D24" s="447" t="s">
        <v>372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373</v>
      </c>
      <c r="P24" s="456" t="s">
        <v>374</v>
      </c>
      <c r="Q24" s="846" t="s">
        <v>375</v>
      </c>
    </row>
    <row r="25" spans="1:17" s="62" customFormat="1" ht="24.95" customHeight="1" x14ac:dyDescent="0.25">
      <c r="A25" s="847" t="s">
        <v>376</v>
      </c>
      <c r="B25" s="461" t="s">
        <v>377</v>
      </c>
      <c r="C25" s="462"/>
      <c r="D25" s="463" t="s">
        <v>353</v>
      </c>
      <c r="E25" s="463"/>
      <c r="F25" s="463"/>
      <c r="G25" s="463"/>
      <c r="H25" s="463"/>
      <c r="I25" s="463"/>
      <c r="J25" s="464" t="s">
        <v>378</v>
      </c>
      <c r="K25" s="464"/>
      <c r="L25" s="464"/>
      <c r="M25" s="465"/>
      <c r="N25" s="465"/>
      <c r="O25" s="456"/>
      <c r="P25" s="456"/>
      <c r="Q25" s="846"/>
    </row>
    <row r="26" spans="1:17" s="62" customFormat="1" ht="24.95" customHeight="1" x14ac:dyDescent="0.3">
      <c r="A26" s="848"/>
      <c r="B26" s="853" t="s">
        <v>379</v>
      </c>
      <c r="C26" s="855" t="s">
        <v>380</v>
      </c>
      <c r="D26" s="857" t="s">
        <v>381</v>
      </c>
      <c r="E26" s="857"/>
      <c r="F26" s="857"/>
      <c r="G26" s="857"/>
      <c r="H26" s="857"/>
      <c r="I26" s="857"/>
      <c r="J26" s="858" t="s">
        <v>382</v>
      </c>
      <c r="K26" s="861"/>
      <c r="L26" s="859"/>
      <c r="M26" s="858" t="s">
        <v>383</v>
      </c>
      <c r="N26" s="859"/>
      <c r="O26" s="456"/>
      <c r="P26" s="456"/>
      <c r="Q26" s="846"/>
    </row>
    <row r="27" spans="1:17" s="62" customFormat="1" ht="50.1" customHeight="1" x14ac:dyDescent="0.25">
      <c r="A27" s="849"/>
      <c r="B27" s="854"/>
      <c r="C27" s="856"/>
      <c r="D27" s="144" t="s">
        <v>384</v>
      </c>
      <c r="E27" s="144" t="s">
        <v>385</v>
      </c>
      <c r="F27" s="144" t="s">
        <v>386</v>
      </c>
      <c r="G27" s="144" t="s">
        <v>387</v>
      </c>
      <c r="H27" s="144" t="s">
        <v>388</v>
      </c>
      <c r="I27" s="144" t="s">
        <v>389</v>
      </c>
      <c r="J27" s="145" t="s">
        <v>146</v>
      </c>
      <c r="K27" s="145" t="s">
        <v>367</v>
      </c>
      <c r="L27" s="146" t="s">
        <v>390</v>
      </c>
      <c r="M27" s="145" t="s">
        <v>391</v>
      </c>
      <c r="N27" s="145" t="s">
        <v>392</v>
      </c>
      <c r="O27" s="456"/>
      <c r="P27" s="456"/>
      <c r="Q27" s="846"/>
    </row>
    <row r="28" spans="1:17" s="62" customFormat="1" ht="24.95" customHeight="1" x14ac:dyDescent="0.25">
      <c r="A28" s="147">
        <v>1</v>
      </c>
      <c r="B28" s="10" t="s">
        <v>37</v>
      </c>
      <c r="C28" s="33">
        <v>3000.01</v>
      </c>
      <c r="D28" s="56">
        <v>348.78</v>
      </c>
      <c r="E28" s="56">
        <v>338.06</v>
      </c>
      <c r="F28" s="56">
        <v>35.200000000000003</v>
      </c>
      <c r="G28" s="33">
        <v>156.74</v>
      </c>
      <c r="H28" s="35">
        <f t="shared" ref="H28:H37" si="5">(E28+F28)/D28</f>
        <v>1.0701875107517633</v>
      </c>
      <c r="I28" s="33">
        <v>3837</v>
      </c>
      <c r="J28" s="56">
        <v>5.34</v>
      </c>
      <c r="K28" s="12">
        <f t="shared" ref="K28:K37" si="6">J28/D28</f>
        <v>1.5310510923791503E-2</v>
      </c>
      <c r="L28" s="149">
        <f t="shared" ref="L28:L37" si="7">J28*G28</f>
        <v>836.99160000000006</v>
      </c>
      <c r="M28" s="148">
        <f t="shared" ref="M28:M37" si="8">((E28+F28)-D28)-J28</f>
        <v>19.140000000000018</v>
      </c>
      <c r="N28" s="13">
        <f t="shared" ref="N28:N37" si="9">M28/D28</f>
        <v>5.4876999827971847E-2</v>
      </c>
      <c r="O28" s="69" t="s">
        <v>403</v>
      </c>
      <c r="P28" s="14" t="s">
        <v>67</v>
      </c>
      <c r="Q28" s="28" t="s">
        <v>25</v>
      </c>
    </row>
    <row r="29" spans="1:17" s="62" customFormat="1" ht="24.75" customHeight="1" x14ac:dyDescent="0.25">
      <c r="A29" s="150">
        <v>2</v>
      </c>
      <c r="B29" s="10" t="s">
        <v>32</v>
      </c>
      <c r="C29" s="33">
        <v>2748.41</v>
      </c>
      <c r="D29" s="56">
        <v>106.24</v>
      </c>
      <c r="E29" s="56">
        <v>106.84</v>
      </c>
      <c r="F29" s="56">
        <v>13.5</v>
      </c>
      <c r="G29" s="33">
        <v>212.89</v>
      </c>
      <c r="H29" s="35">
        <f t="shared" si="5"/>
        <v>1.1327183734939761</v>
      </c>
      <c r="I29" s="33">
        <v>3001.75</v>
      </c>
      <c r="J29" s="56">
        <v>1.19</v>
      </c>
      <c r="K29" s="12">
        <f t="shared" si="6"/>
        <v>1.120105421686747E-2</v>
      </c>
      <c r="L29" s="149">
        <f t="shared" si="7"/>
        <v>253.33909999999997</v>
      </c>
      <c r="M29" s="148">
        <f t="shared" si="8"/>
        <v>12.910000000000009</v>
      </c>
      <c r="N29" s="13">
        <f t="shared" si="9"/>
        <v>0.12151731927710853</v>
      </c>
      <c r="O29" s="69" t="s">
        <v>415</v>
      </c>
      <c r="P29" s="69" t="s">
        <v>80</v>
      </c>
      <c r="Q29" s="28" t="s">
        <v>25</v>
      </c>
    </row>
    <row r="30" spans="1:17" s="62" customFormat="1" ht="24.95" customHeight="1" x14ac:dyDescent="0.25">
      <c r="A30" s="150">
        <v>3</v>
      </c>
      <c r="B30" s="10" t="s">
        <v>50</v>
      </c>
      <c r="C30" s="33">
        <v>2603.19</v>
      </c>
      <c r="D30" s="56">
        <v>327.2</v>
      </c>
      <c r="E30" s="56">
        <v>332.74</v>
      </c>
      <c r="F30" s="56">
        <v>20</v>
      </c>
      <c r="G30" s="33">
        <v>111.2</v>
      </c>
      <c r="H30" s="35">
        <f t="shared" si="5"/>
        <v>1.0780562347188265</v>
      </c>
      <c r="I30" s="33">
        <v>2840.05</v>
      </c>
      <c r="J30" s="32">
        <v>2.13</v>
      </c>
      <c r="K30" s="12">
        <f t="shared" si="6"/>
        <v>6.5097799511002448E-3</v>
      </c>
      <c r="L30" s="149">
        <f t="shared" si="7"/>
        <v>236.85599999999999</v>
      </c>
      <c r="M30" s="148">
        <f t="shared" si="8"/>
        <v>23.410000000000021</v>
      </c>
      <c r="N30" s="13">
        <f t="shared" si="9"/>
        <v>7.1546454767726225E-2</v>
      </c>
      <c r="O30" s="69" t="s">
        <v>22</v>
      </c>
      <c r="P30" s="69" t="s">
        <v>109</v>
      </c>
      <c r="Q30" s="28" t="s">
        <v>49</v>
      </c>
    </row>
    <row r="31" spans="1:17" s="62" customFormat="1" ht="24.95" customHeight="1" x14ac:dyDescent="0.25">
      <c r="A31" s="147">
        <v>4</v>
      </c>
      <c r="B31" s="10" t="s">
        <v>69</v>
      </c>
      <c r="C31" s="33">
        <v>2503.9899999999998</v>
      </c>
      <c r="D31" s="56">
        <v>50.46</v>
      </c>
      <c r="E31" s="56">
        <v>54.8</v>
      </c>
      <c r="F31" s="56">
        <v>7.5</v>
      </c>
      <c r="G31" s="33">
        <v>235.78</v>
      </c>
      <c r="H31" s="35">
        <f t="shared" si="5"/>
        <v>1.2346413000396352</v>
      </c>
      <c r="I31" s="33">
        <v>2791.64</v>
      </c>
      <c r="J31" s="56">
        <v>1.22</v>
      </c>
      <c r="K31" s="12">
        <f t="shared" si="6"/>
        <v>2.4177566389219182E-2</v>
      </c>
      <c r="L31" s="149">
        <f t="shared" si="7"/>
        <v>287.65159999999997</v>
      </c>
      <c r="M31" s="148">
        <f t="shared" si="8"/>
        <v>10.619999999999996</v>
      </c>
      <c r="N31" s="13">
        <f t="shared" si="9"/>
        <v>0.21046373365041607</v>
      </c>
      <c r="O31" s="69" t="s">
        <v>22</v>
      </c>
      <c r="P31" s="69" t="s">
        <v>408</v>
      </c>
      <c r="Q31" s="28" t="s">
        <v>25</v>
      </c>
    </row>
    <row r="32" spans="1:17" s="62" customFormat="1" ht="24.95" customHeight="1" x14ac:dyDescent="0.25">
      <c r="A32" s="150">
        <v>5</v>
      </c>
      <c r="B32" s="10" t="s">
        <v>41</v>
      </c>
      <c r="C32" s="33">
        <v>2382.38</v>
      </c>
      <c r="D32" s="56">
        <v>138.82</v>
      </c>
      <c r="E32" s="56">
        <v>148.71</v>
      </c>
      <c r="F32" s="56">
        <v>10.84</v>
      </c>
      <c r="G32" s="33">
        <v>127.4</v>
      </c>
      <c r="H32" s="35">
        <f t="shared" si="5"/>
        <v>1.149330067713586</v>
      </c>
      <c r="I32" s="33">
        <v>2641</v>
      </c>
      <c r="J32" s="56">
        <v>2.0299999999999998</v>
      </c>
      <c r="K32" s="12">
        <f t="shared" si="6"/>
        <v>1.4623253133554242E-2</v>
      </c>
      <c r="L32" s="149">
        <f t="shared" si="7"/>
        <v>258.62200000000001</v>
      </c>
      <c r="M32" s="148">
        <f t="shared" si="8"/>
        <v>18.700000000000017</v>
      </c>
      <c r="N32" s="13">
        <f t="shared" si="9"/>
        <v>0.13470681458003184</v>
      </c>
      <c r="O32" s="69" t="s">
        <v>22</v>
      </c>
      <c r="P32" s="69" t="s">
        <v>109</v>
      </c>
      <c r="Q32" s="28" t="s">
        <v>25</v>
      </c>
    </row>
    <row r="33" spans="1:17" s="62" customFormat="1" ht="24.95" customHeight="1" x14ac:dyDescent="0.25">
      <c r="A33" s="147">
        <v>6</v>
      </c>
      <c r="B33" s="10" t="s">
        <v>35</v>
      </c>
      <c r="C33" s="33">
        <v>2378.9299999999998</v>
      </c>
      <c r="D33" s="56">
        <v>88.24</v>
      </c>
      <c r="E33" s="56">
        <v>90.59</v>
      </c>
      <c r="F33" s="56">
        <v>4</v>
      </c>
      <c r="G33" s="33">
        <v>410.16</v>
      </c>
      <c r="H33" s="35">
        <f t="shared" si="5"/>
        <v>1.0719628286491387</v>
      </c>
      <c r="I33" s="33">
        <v>2604.52</v>
      </c>
      <c r="J33" s="56">
        <v>0.55000000000000004</v>
      </c>
      <c r="K33" s="12">
        <f t="shared" si="6"/>
        <v>6.233000906618315E-3</v>
      </c>
      <c r="L33" s="149">
        <f t="shared" si="7"/>
        <v>225.58800000000002</v>
      </c>
      <c r="M33" s="148">
        <f t="shared" si="8"/>
        <v>5.8000000000000087</v>
      </c>
      <c r="N33" s="13">
        <f t="shared" si="9"/>
        <v>6.5729827742520508E-2</v>
      </c>
      <c r="O33" s="69" t="s">
        <v>403</v>
      </c>
      <c r="P33" s="14" t="s">
        <v>67</v>
      </c>
      <c r="Q33" s="28" t="s">
        <v>25</v>
      </c>
    </row>
    <row r="34" spans="1:17" s="62" customFormat="1" ht="24.95" customHeight="1" x14ac:dyDescent="0.25">
      <c r="A34" s="150">
        <v>7</v>
      </c>
      <c r="B34" s="10" t="s">
        <v>55</v>
      </c>
      <c r="C34" s="33">
        <v>2138.6899999999996</v>
      </c>
      <c r="D34" s="56">
        <v>85.53</v>
      </c>
      <c r="E34" s="56">
        <v>87.12</v>
      </c>
      <c r="F34" s="56">
        <v>5.58</v>
      </c>
      <c r="G34" s="33">
        <v>331.58</v>
      </c>
      <c r="H34" s="35">
        <f t="shared" si="5"/>
        <v>1.0838302350052613</v>
      </c>
      <c r="I34" s="33">
        <v>2377.4299999999998</v>
      </c>
      <c r="J34" s="56">
        <v>0.72</v>
      </c>
      <c r="K34" s="12">
        <f t="shared" si="6"/>
        <v>8.4180989126622242E-3</v>
      </c>
      <c r="L34" s="149">
        <f t="shared" si="7"/>
        <v>238.73759999999999</v>
      </c>
      <c r="M34" s="148">
        <f t="shared" si="8"/>
        <v>6.450000000000002</v>
      </c>
      <c r="N34" s="13">
        <f t="shared" si="9"/>
        <v>7.5412136092599114E-2</v>
      </c>
      <c r="O34" s="69" t="s">
        <v>403</v>
      </c>
      <c r="P34" s="14" t="s">
        <v>67</v>
      </c>
      <c r="Q34" s="28" t="s">
        <v>74</v>
      </c>
    </row>
    <row r="35" spans="1:17" s="62" customFormat="1" ht="24.95" customHeight="1" x14ac:dyDescent="0.25">
      <c r="A35" s="147">
        <v>8</v>
      </c>
      <c r="B35" s="10" t="s">
        <v>53</v>
      </c>
      <c r="C35" s="33">
        <v>2020.09</v>
      </c>
      <c r="D35" s="56">
        <v>65.34</v>
      </c>
      <c r="E35" s="56">
        <v>66.900000000000006</v>
      </c>
      <c r="F35" s="56">
        <v>5.2</v>
      </c>
      <c r="G35" s="33">
        <v>333.9</v>
      </c>
      <c r="H35" s="35">
        <f t="shared" si="5"/>
        <v>1.103458830731558</v>
      </c>
      <c r="I35" s="33">
        <v>2257.16</v>
      </c>
      <c r="J35" s="56">
        <v>0.71</v>
      </c>
      <c r="K35" s="12">
        <f t="shared" si="6"/>
        <v>1.0866238138965411E-2</v>
      </c>
      <c r="L35" s="149">
        <f t="shared" si="7"/>
        <v>237.06899999999996</v>
      </c>
      <c r="M35" s="148">
        <f t="shared" si="8"/>
        <v>6.0500000000000052</v>
      </c>
      <c r="N35" s="13">
        <f t="shared" si="9"/>
        <v>9.2592592592592671E-2</v>
      </c>
      <c r="O35" s="69" t="s">
        <v>403</v>
      </c>
      <c r="P35" s="14" t="s">
        <v>67</v>
      </c>
      <c r="Q35" s="28" t="s">
        <v>78</v>
      </c>
    </row>
    <row r="36" spans="1:17" s="62" customFormat="1" ht="24.95" customHeight="1" x14ac:dyDescent="0.25">
      <c r="A36" s="150">
        <v>9</v>
      </c>
      <c r="B36" s="10" t="s">
        <v>26</v>
      </c>
      <c r="C36" s="33">
        <v>1948.6100000000001</v>
      </c>
      <c r="D36" s="56">
        <v>29.29</v>
      </c>
      <c r="E36" s="56">
        <v>35.51</v>
      </c>
      <c r="F36" s="56">
        <v>4.2</v>
      </c>
      <c r="G36" s="33">
        <v>212.73</v>
      </c>
      <c r="H36" s="35">
        <f t="shared" si="5"/>
        <v>1.3557528166609765</v>
      </c>
      <c r="I36" s="33">
        <v>2216.65</v>
      </c>
      <c r="J36" s="56">
        <v>1.26</v>
      </c>
      <c r="K36" s="12">
        <f t="shared" si="6"/>
        <v>4.3018094912939571E-2</v>
      </c>
      <c r="L36" s="149">
        <f t="shared" si="7"/>
        <v>268.03980000000001</v>
      </c>
      <c r="M36" s="148">
        <f t="shared" si="8"/>
        <v>9.1600000000000019</v>
      </c>
      <c r="N36" s="13">
        <f t="shared" si="9"/>
        <v>0.31273472174803696</v>
      </c>
      <c r="O36" s="69" t="s">
        <v>22</v>
      </c>
      <c r="P36" s="69" t="s">
        <v>109</v>
      </c>
      <c r="Q36" s="28" t="s">
        <v>27</v>
      </c>
    </row>
    <row r="37" spans="1:17" s="62" customFormat="1" ht="24.95" customHeight="1" thickBot="1" x14ac:dyDescent="0.3">
      <c r="A37" s="151">
        <v>10</v>
      </c>
      <c r="B37" s="16" t="s">
        <v>38</v>
      </c>
      <c r="C37" s="34">
        <v>1784.16</v>
      </c>
      <c r="D37" s="58">
        <v>220.85</v>
      </c>
      <c r="E37" s="58">
        <v>221.5</v>
      </c>
      <c r="F37" s="58">
        <v>25.55</v>
      </c>
      <c r="G37" s="34">
        <v>99.12</v>
      </c>
      <c r="H37" s="36">
        <f t="shared" si="5"/>
        <v>1.1186325560335071</v>
      </c>
      <c r="I37" s="34">
        <v>2596.94</v>
      </c>
      <c r="J37" s="58">
        <v>8.1999999999999993</v>
      </c>
      <c r="K37" s="18">
        <f t="shared" si="6"/>
        <v>3.712927326239529E-2</v>
      </c>
      <c r="L37" s="153">
        <f t="shared" si="7"/>
        <v>812.78399999999999</v>
      </c>
      <c r="M37" s="152">
        <f t="shared" si="8"/>
        <v>18.000000000000018</v>
      </c>
      <c r="N37" s="19">
        <f t="shared" si="9"/>
        <v>8.1503282771111699E-2</v>
      </c>
      <c r="O37" s="52" t="s">
        <v>22</v>
      </c>
      <c r="P37" s="20" t="s">
        <v>408</v>
      </c>
      <c r="Q37" s="65" t="s">
        <v>25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393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394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862" t="s">
        <v>395</v>
      </c>
      <c r="B41" s="450" t="s">
        <v>396</v>
      </c>
      <c r="C41" s="450"/>
      <c r="D41" s="451"/>
      <c r="E41" s="23"/>
      <c r="G41" s="21"/>
      <c r="H41" s="22"/>
    </row>
    <row r="42" spans="1:17" ht="20.45" customHeight="1" x14ac:dyDescent="0.35">
      <c r="A42" s="862"/>
      <c r="B42" s="863" t="s">
        <v>397</v>
      </c>
      <c r="C42" s="864" t="s">
        <v>398</v>
      </c>
      <c r="D42" s="846" t="s">
        <v>399</v>
      </c>
      <c r="E42" s="23"/>
      <c r="G42" s="21"/>
      <c r="H42" s="22"/>
    </row>
    <row r="43" spans="1:17" ht="20.45" customHeight="1" x14ac:dyDescent="0.35">
      <c r="A43" s="862"/>
      <c r="B43" s="863"/>
      <c r="C43" s="864"/>
      <c r="D43" s="846"/>
      <c r="E43" s="23"/>
      <c r="G43" s="21"/>
      <c r="H43" s="22"/>
    </row>
    <row r="44" spans="1:17" s="26" customFormat="1" ht="24.95" customHeight="1" x14ac:dyDescent="0.35">
      <c r="A44" s="157">
        <v>1</v>
      </c>
      <c r="B44" s="10" t="s">
        <v>59</v>
      </c>
      <c r="C44" s="33">
        <v>1237.48</v>
      </c>
      <c r="D44" s="24">
        <f t="shared" ref="D44:D53" si="10">C44/$L$5</f>
        <v>0.20933116132884722</v>
      </c>
      <c r="E44" s="25"/>
      <c r="G44" s="21"/>
      <c r="H44" s="22"/>
    </row>
    <row r="45" spans="1:17" s="26" customFormat="1" ht="24.95" customHeight="1" x14ac:dyDescent="0.35">
      <c r="A45" s="158">
        <v>2</v>
      </c>
      <c r="B45" s="10" t="s">
        <v>37</v>
      </c>
      <c r="C45" s="33">
        <v>836.99</v>
      </c>
      <c r="D45" s="24">
        <f t="shared" si="10"/>
        <v>0.14158458215133324</v>
      </c>
      <c r="E45" s="25"/>
      <c r="G45" s="21"/>
      <c r="H45" s="22"/>
    </row>
    <row r="46" spans="1:17" s="26" customFormat="1" ht="24.95" customHeight="1" x14ac:dyDescent="0.35">
      <c r="A46" s="158">
        <v>3</v>
      </c>
      <c r="B46" s="10" t="s">
        <v>38</v>
      </c>
      <c r="C46" s="33">
        <v>812.78</v>
      </c>
      <c r="D46" s="24">
        <f t="shared" si="10"/>
        <v>0.13748923724412551</v>
      </c>
      <c r="E46" s="25"/>
      <c r="G46" s="21"/>
      <c r="H46" s="22"/>
    </row>
    <row r="47" spans="1:17" s="26" customFormat="1" ht="24.95" customHeight="1" x14ac:dyDescent="0.35">
      <c r="A47" s="157">
        <v>4</v>
      </c>
      <c r="B47" s="10" t="s">
        <v>30</v>
      </c>
      <c r="C47" s="33">
        <v>365.09</v>
      </c>
      <c r="D47" s="24">
        <f t="shared" si="10"/>
        <v>6.1758342510221442E-2</v>
      </c>
      <c r="E47" s="25"/>
      <c r="G47" s="21"/>
      <c r="H47" s="22"/>
    </row>
    <row r="48" spans="1:17" s="26" customFormat="1" ht="24.95" customHeight="1" x14ac:dyDescent="0.35">
      <c r="A48" s="158">
        <v>5</v>
      </c>
      <c r="B48" s="10" t="s">
        <v>68</v>
      </c>
      <c r="C48" s="33">
        <v>291.67</v>
      </c>
      <c r="D48" s="24">
        <f t="shared" si="10"/>
        <v>4.9338671998565529E-2</v>
      </c>
      <c r="E48" s="25"/>
      <c r="G48" s="21"/>
      <c r="H48" s="22"/>
    </row>
    <row r="49" spans="1:5" s="26" customFormat="1" ht="24.95" customHeight="1" x14ac:dyDescent="0.25">
      <c r="A49" s="157">
        <v>6</v>
      </c>
      <c r="B49" s="10" t="s">
        <v>69</v>
      </c>
      <c r="C49" s="33">
        <v>287.64999999999998</v>
      </c>
      <c r="D49" s="24">
        <f t="shared" si="10"/>
        <v>4.8658651902449251E-2</v>
      </c>
      <c r="E49" s="25"/>
    </row>
    <row r="50" spans="1:5" s="26" customFormat="1" ht="24.95" customHeight="1" x14ac:dyDescent="0.25">
      <c r="A50" s="158">
        <v>7</v>
      </c>
      <c r="B50" s="10" t="s">
        <v>41</v>
      </c>
      <c r="C50" s="33">
        <v>258.62</v>
      </c>
      <c r="D50" s="24">
        <f t="shared" si="10"/>
        <v>4.3747959516813581E-2</v>
      </c>
      <c r="E50" s="25"/>
    </row>
    <row r="51" spans="1:5" s="26" customFormat="1" ht="24.95" customHeight="1" x14ac:dyDescent="0.25">
      <c r="A51" s="157">
        <v>8</v>
      </c>
      <c r="B51" s="10" t="s">
        <v>32</v>
      </c>
      <c r="C51" s="33">
        <v>253.34</v>
      </c>
      <c r="D51" s="24">
        <f t="shared" si="10"/>
        <v>4.2854798793556387E-2</v>
      </c>
      <c r="E51" s="25"/>
    </row>
    <row r="52" spans="1:5" s="26" customFormat="1" ht="24.95" customHeight="1" x14ac:dyDescent="0.25">
      <c r="A52" s="158">
        <v>9</v>
      </c>
      <c r="B52" s="10" t="s">
        <v>31</v>
      </c>
      <c r="C52" s="33">
        <v>234.21</v>
      </c>
      <c r="D52" s="24">
        <f t="shared" si="10"/>
        <v>3.961878276402795E-2</v>
      </c>
      <c r="E52" s="25"/>
    </row>
    <row r="53" spans="1:5" s="26" customFormat="1" ht="24.95" customHeight="1" thickBot="1" x14ac:dyDescent="0.3">
      <c r="A53" s="159">
        <v>10</v>
      </c>
      <c r="B53" s="16" t="s">
        <v>35</v>
      </c>
      <c r="C53" s="34">
        <v>225.59</v>
      </c>
      <c r="D53" s="27">
        <f t="shared" si="10"/>
        <v>3.8160630219619428E-2</v>
      </c>
      <c r="E53" s="25"/>
    </row>
    <row r="54" spans="1:5" x14ac:dyDescent="0.25">
      <c r="A54" s="441" t="s">
        <v>400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401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265" priority="33" operator="containsText" text="024">
      <formula>NOT(ISERROR(SEARCH("024",A12)))</formula>
    </cfRule>
    <cfRule type="containsText" dxfId="264" priority="34" operator="containsText" text="白醬">
      <formula>NOT(ISERROR(SEARCH("白醬",A12)))</formula>
    </cfRule>
    <cfRule type="containsText" dxfId="263" priority="35" operator="containsText" text="青蔥">
      <formula>NOT(ISERROR(SEARCH("青蔥",A12)))</formula>
    </cfRule>
    <cfRule type="containsText" dxfId="262" priority="36" operator="containsText" text=")川燙小青花菜">
      <formula>NOT(ISERROR(SEARCH(")川燙小青花菜",A12)))</formula>
    </cfRule>
    <cfRule type="containsText" dxfId="261" priority="37" operator="containsText" text="湯凍">
      <formula>NOT(ISERROR(SEARCH("湯凍",A12)))</formula>
    </cfRule>
    <cfRule type="containsText" dxfId="260" priority="38" operator="containsText" text="中華">
      <formula>NOT(ISERROR(SEARCH("中華",A12)))</formula>
    </cfRule>
  </conditionalFormatting>
  <conditionalFormatting sqref="A12:A22">
    <cfRule type="containsText" dxfId="259" priority="31" operator="containsText" text="綠豆芽">
      <formula>NOT(ISERROR(SEARCH("綠豆芽",A12)))</formula>
    </cfRule>
    <cfRule type="containsText" dxfId="258" priority="32" operator="containsText" text="煮白細麵生(方#12)">
      <formula>NOT(ISERROR(SEARCH("煮白細麵生(方#12)",A12)))</formula>
    </cfRule>
  </conditionalFormatting>
  <conditionalFormatting sqref="E5">
    <cfRule type="cellIs" dxfId="257" priority="16" operator="greaterThan">
      <formula>0.0025</formula>
    </cfRule>
    <cfRule type="cellIs" dxfId="256" priority="19" operator="greaterThan">
      <formula>0.0025</formula>
    </cfRule>
    <cfRule type="cellIs" dxfId="255" priority="29" operator="greaterThan">
      <formula>0.072</formula>
    </cfRule>
    <cfRule type="cellIs" dxfId="254" priority="30" operator="greaterThan">
      <formula>7.2</formula>
    </cfRule>
  </conditionalFormatting>
  <conditionalFormatting sqref="E5">
    <cfRule type="cellIs" dxfId="253" priority="28" operator="greaterThan">
      <formula>0.0025</formula>
    </cfRule>
  </conditionalFormatting>
  <conditionalFormatting sqref="A44:A53">
    <cfRule type="containsText" dxfId="252" priority="22" operator="containsText" text="024">
      <formula>NOT(ISERROR(SEARCH("024",A44)))</formula>
    </cfRule>
    <cfRule type="containsText" dxfId="251" priority="23" operator="containsText" text="白醬">
      <formula>NOT(ISERROR(SEARCH("白醬",A44)))</formula>
    </cfRule>
    <cfRule type="containsText" dxfId="250" priority="24" operator="containsText" text="青蔥">
      <formula>NOT(ISERROR(SEARCH("青蔥",A44)))</formula>
    </cfRule>
    <cfRule type="containsText" dxfId="249" priority="25" operator="containsText" text=")川燙小青花菜">
      <formula>NOT(ISERROR(SEARCH(")川燙小青花菜",A44)))</formula>
    </cfRule>
    <cfRule type="containsText" dxfId="248" priority="26" operator="containsText" text="湯凍">
      <formula>NOT(ISERROR(SEARCH("湯凍",A44)))</formula>
    </cfRule>
    <cfRule type="containsText" dxfId="247" priority="27" operator="containsText" text="中華">
      <formula>NOT(ISERROR(SEARCH("中華",A44)))</formula>
    </cfRule>
  </conditionalFormatting>
  <conditionalFormatting sqref="A44:A53">
    <cfRule type="containsText" dxfId="246" priority="20" operator="containsText" text="綠豆芽">
      <formula>NOT(ISERROR(SEARCH("綠豆芽",A44)))</formula>
    </cfRule>
    <cfRule type="containsText" dxfId="245" priority="21" operator="containsText" text="煮白細麵生(方#12)">
      <formula>NOT(ISERROR(SEARCH("煮白細麵生(方#12)",A44)))</formula>
    </cfRule>
  </conditionalFormatting>
  <conditionalFormatting sqref="D44:D53">
    <cfRule type="cellIs" dxfId="244" priority="18" operator="greaterThan">
      <formula>0.146</formula>
    </cfRule>
  </conditionalFormatting>
  <conditionalFormatting sqref="H12:H22">
    <cfRule type="cellIs" dxfId="243" priority="17" operator="greaterThan">
      <formula>1.1</formula>
    </cfRule>
  </conditionalFormatting>
  <conditionalFormatting sqref="I5">
    <cfRule type="cellIs" dxfId="242" priority="15" operator="greaterThan">
      <formula>0.2</formula>
    </cfRule>
  </conditionalFormatting>
  <conditionalFormatting sqref="A28:A37">
    <cfRule type="containsText" dxfId="241" priority="9" operator="containsText" text="024">
      <formula>NOT(ISERROR(SEARCH("024",A28)))</formula>
    </cfRule>
    <cfRule type="containsText" dxfId="240" priority="10" operator="containsText" text="白醬">
      <formula>NOT(ISERROR(SEARCH("白醬",A28)))</formula>
    </cfRule>
    <cfRule type="containsText" dxfId="239" priority="11" operator="containsText" text="青蔥">
      <formula>NOT(ISERROR(SEARCH("青蔥",A28)))</formula>
    </cfRule>
    <cfRule type="containsText" dxfId="238" priority="12" operator="containsText" text=")川燙小青花菜">
      <formula>NOT(ISERROR(SEARCH(")川燙小青花菜",A28)))</formula>
    </cfRule>
    <cfRule type="containsText" dxfId="237" priority="13" operator="containsText" text="湯凍">
      <formula>NOT(ISERROR(SEARCH("湯凍",A28)))</formula>
    </cfRule>
    <cfRule type="containsText" dxfId="236" priority="14" operator="containsText" text="中華">
      <formula>NOT(ISERROR(SEARCH("中華",A28)))</formula>
    </cfRule>
  </conditionalFormatting>
  <conditionalFormatting sqref="A28:A37">
    <cfRule type="containsText" dxfId="235" priority="7" operator="containsText" text="綠豆芽">
      <formula>NOT(ISERROR(SEARCH("綠豆芽",A28)))</formula>
    </cfRule>
    <cfRule type="containsText" dxfId="234" priority="8" operator="containsText" text="煮白細麵生(方#12)">
      <formula>NOT(ISERROR(SEARCH("煮白細麵生(方#12)",A28)))</formula>
    </cfRule>
  </conditionalFormatting>
  <conditionalFormatting sqref="H28:H37">
    <cfRule type="cellIs" dxfId="233" priority="6" operator="greaterThan">
      <formula>1.1</formula>
    </cfRule>
  </conditionalFormatting>
  <conditionalFormatting sqref="G5">
    <cfRule type="cellIs" dxfId="232" priority="1" operator="greaterThan">
      <formula>0.0025</formula>
    </cfRule>
    <cfRule type="cellIs" dxfId="231" priority="2" operator="greaterThan">
      <formula>0.0025</formula>
    </cfRule>
    <cfRule type="cellIs" dxfId="230" priority="4" operator="greaterThan">
      <formula>0.072</formula>
    </cfRule>
    <cfRule type="cellIs" dxfId="229" priority="5" operator="greaterThan">
      <formula>7.2</formula>
    </cfRule>
  </conditionalFormatting>
  <conditionalFormatting sqref="G5">
    <cfRule type="cellIs" dxfId="22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1" orientation="landscape" horizontalDpi="300" verticalDpi="30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A6" zoomScale="55" zoomScaleNormal="55" workbookViewId="0">
      <selection activeCell="Q28" sqref="Q28:Q37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886" t="s">
        <v>92</v>
      </c>
      <c r="B2" s="887"/>
      <c r="C2" s="124" t="s">
        <v>93</v>
      </c>
      <c r="D2" s="888" t="s">
        <v>94</v>
      </c>
      <c r="E2" s="888"/>
      <c r="F2" s="888" t="s">
        <v>95</v>
      </c>
      <c r="G2" s="888"/>
      <c r="H2" s="888" t="s">
        <v>94</v>
      </c>
      <c r="I2" s="888"/>
      <c r="J2" s="888" t="s">
        <v>95</v>
      </c>
      <c r="K2" s="888"/>
      <c r="L2" s="888" t="s">
        <v>94</v>
      </c>
      <c r="M2" s="889"/>
      <c r="Q2" s="54"/>
    </row>
    <row r="3" spans="1:17" s="1" customFormat="1" ht="28.5" x14ac:dyDescent="0.45">
      <c r="A3" s="883">
        <v>45875</v>
      </c>
      <c r="B3" s="884"/>
      <c r="C3" s="885">
        <v>6008483.6100000003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883"/>
      <c r="B4" s="884"/>
      <c r="C4" s="885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881" t="s">
        <v>105</v>
      </c>
      <c r="B5" s="882"/>
      <c r="C5" s="882"/>
      <c r="D5" s="125">
        <v>14657.259999999998</v>
      </c>
      <c r="E5" s="5">
        <f>D5/C3</f>
        <v>2.4394274747801129E-3</v>
      </c>
      <c r="F5" s="125">
        <v>51434.520000000004</v>
      </c>
      <c r="G5" s="44">
        <f>F5/C3</f>
        <v>8.5603162692158858E-3</v>
      </c>
      <c r="H5" s="6">
        <f>SUM(C12:C21)</f>
        <v>5758.7100000000009</v>
      </c>
      <c r="I5" s="7">
        <f>H5/D5</f>
        <v>0.39289130437748948</v>
      </c>
      <c r="J5" s="6">
        <f>SUM(C28:C37)</f>
        <v>34249.94</v>
      </c>
      <c r="K5" s="46">
        <f>J5/F5</f>
        <v>0.66589403381231127</v>
      </c>
      <c r="L5" s="8">
        <v>6660.99</v>
      </c>
      <c r="M5" s="9">
        <f>L5/D5</f>
        <v>0.45444987671638493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307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308</v>
      </c>
      <c r="B8" s="447"/>
      <c r="C8" s="447"/>
      <c r="D8" s="447" t="s">
        <v>309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310</v>
      </c>
      <c r="P8" s="456" t="s">
        <v>311</v>
      </c>
      <c r="Q8" s="868" t="s">
        <v>312</v>
      </c>
    </row>
    <row r="9" spans="1:17" ht="20.45" customHeight="1" x14ac:dyDescent="0.25">
      <c r="A9" s="869" t="s">
        <v>313</v>
      </c>
      <c r="B9" s="461" t="s">
        <v>314</v>
      </c>
      <c r="C9" s="462"/>
      <c r="D9" s="463" t="s">
        <v>315</v>
      </c>
      <c r="E9" s="463"/>
      <c r="F9" s="463"/>
      <c r="G9" s="463"/>
      <c r="H9" s="463"/>
      <c r="I9" s="463"/>
      <c r="J9" s="464" t="s">
        <v>316</v>
      </c>
      <c r="K9" s="464"/>
      <c r="L9" s="464"/>
      <c r="M9" s="465"/>
      <c r="N9" s="465"/>
      <c r="O9" s="456"/>
      <c r="P9" s="456"/>
      <c r="Q9" s="868"/>
    </row>
    <row r="10" spans="1:17" ht="20.45" customHeight="1" x14ac:dyDescent="0.3">
      <c r="A10" s="870"/>
      <c r="B10" s="872" t="s">
        <v>317</v>
      </c>
      <c r="C10" s="874" t="s">
        <v>318</v>
      </c>
      <c r="D10" s="876" t="s">
        <v>319</v>
      </c>
      <c r="E10" s="876"/>
      <c r="F10" s="876"/>
      <c r="G10" s="876"/>
      <c r="H10" s="876"/>
      <c r="I10" s="876"/>
      <c r="J10" s="877" t="s">
        <v>320</v>
      </c>
      <c r="K10" s="879"/>
      <c r="L10" s="880" t="s">
        <v>321</v>
      </c>
      <c r="M10" s="877"/>
      <c r="N10" s="877"/>
      <c r="O10" s="456"/>
      <c r="P10" s="456"/>
      <c r="Q10" s="868"/>
    </row>
    <row r="11" spans="1:17" s="55" customFormat="1" ht="47.25" customHeight="1" x14ac:dyDescent="0.25">
      <c r="A11" s="871"/>
      <c r="B11" s="873"/>
      <c r="C11" s="875"/>
      <c r="D11" s="126" t="s">
        <v>322</v>
      </c>
      <c r="E11" s="126" t="s">
        <v>323</v>
      </c>
      <c r="F11" s="126" t="s">
        <v>324</v>
      </c>
      <c r="G11" s="126" t="s">
        <v>325</v>
      </c>
      <c r="H11" s="126" t="s">
        <v>326</v>
      </c>
      <c r="I11" s="126" t="s">
        <v>327</v>
      </c>
      <c r="J11" s="127" t="s">
        <v>328</v>
      </c>
      <c r="K11" s="127" t="s">
        <v>329</v>
      </c>
      <c r="L11" s="127" t="s">
        <v>328</v>
      </c>
      <c r="M11" s="127" t="s">
        <v>329</v>
      </c>
      <c r="N11" s="128" t="s">
        <v>330</v>
      </c>
      <c r="O11" s="456"/>
      <c r="P11" s="456"/>
      <c r="Q11" s="868"/>
    </row>
    <row r="12" spans="1:17" s="15" customFormat="1" ht="24.95" customHeight="1" x14ac:dyDescent="0.25">
      <c r="A12" s="129">
        <v>1</v>
      </c>
      <c r="B12" s="10" t="s">
        <v>69</v>
      </c>
      <c r="C12" s="33">
        <v>1801.36</v>
      </c>
      <c r="D12" s="56">
        <v>51.78</v>
      </c>
      <c r="E12" s="56">
        <v>50.73</v>
      </c>
      <c r="F12" s="56">
        <v>16.5</v>
      </c>
      <c r="G12" s="33">
        <v>235.78</v>
      </c>
      <c r="H12" s="11">
        <f t="shared" ref="H12:H21" si="0">(E12+F12)/D12</f>
        <v>1.2983777520278097</v>
      </c>
      <c r="I12" s="33">
        <v>3642.8</v>
      </c>
      <c r="J12" s="56">
        <v>7.64</v>
      </c>
      <c r="K12" s="12">
        <f t="shared" ref="K12:K21" si="1">J12/D12</f>
        <v>0.14754731556585554</v>
      </c>
      <c r="L12" s="130">
        <f t="shared" ref="L12:L21" si="2">((E12+F12)-D12)-J12</f>
        <v>7.809999999999989</v>
      </c>
      <c r="M12" s="13">
        <f t="shared" ref="M12:M21" si="3">L12/D12</f>
        <v>0.15083043646195421</v>
      </c>
      <c r="N12" s="131">
        <f t="shared" ref="N12:N21" si="4">L12*G12</f>
        <v>1841.4417999999973</v>
      </c>
      <c r="O12" s="66" t="s">
        <v>135</v>
      </c>
      <c r="P12" s="66" t="s">
        <v>416</v>
      </c>
      <c r="Q12" s="28" t="s">
        <v>25</v>
      </c>
    </row>
    <row r="13" spans="1:17" s="15" customFormat="1" ht="24.95" customHeight="1" x14ac:dyDescent="0.25">
      <c r="A13" s="132">
        <v>2</v>
      </c>
      <c r="B13" s="10" t="s">
        <v>59</v>
      </c>
      <c r="C13" s="33">
        <v>920.32</v>
      </c>
      <c r="D13" s="56">
        <v>95.97</v>
      </c>
      <c r="E13" s="56">
        <v>109.96</v>
      </c>
      <c r="F13" s="56">
        <v>0</v>
      </c>
      <c r="G13" s="33">
        <v>135.54</v>
      </c>
      <c r="H13" s="11">
        <f t="shared" si="0"/>
        <v>1.1457747212670626</v>
      </c>
      <c r="I13" s="33">
        <v>1896.2</v>
      </c>
      <c r="J13" s="56">
        <v>6.79</v>
      </c>
      <c r="K13" s="12">
        <f t="shared" si="1"/>
        <v>7.0751276440554345E-2</v>
      </c>
      <c r="L13" s="130">
        <f t="shared" si="2"/>
        <v>7.1999999999999948</v>
      </c>
      <c r="M13" s="13">
        <f t="shared" si="3"/>
        <v>7.5023444826508232E-2</v>
      </c>
      <c r="N13" s="131">
        <f t="shared" si="4"/>
        <v>975.88799999999924</v>
      </c>
      <c r="O13" s="66" t="s">
        <v>422</v>
      </c>
      <c r="P13" s="66" t="s">
        <v>423</v>
      </c>
      <c r="Q13" s="28" t="s">
        <v>25</v>
      </c>
    </row>
    <row r="14" spans="1:17" s="57" customFormat="1" ht="24.95" customHeight="1" x14ac:dyDescent="0.25">
      <c r="A14" s="132">
        <v>3</v>
      </c>
      <c r="B14" s="10" t="s">
        <v>108</v>
      </c>
      <c r="C14" s="33">
        <v>468.82</v>
      </c>
      <c r="D14" s="56">
        <v>48.48</v>
      </c>
      <c r="E14" s="56">
        <v>56.37</v>
      </c>
      <c r="F14" s="56">
        <v>0</v>
      </c>
      <c r="G14" s="33">
        <v>118.99</v>
      </c>
      <c r="H14" s="11">
        <f t="shared" si="0"/>
        <v>1.1627475247524752</v>
      </c>
      <c r="I14" s="33">
        <v>938.83</v>
      </c>
      <c r="J14" s="56">
        <v>3.94</v>
      </c>
      <c r="K14" s="12">
        <f t="shared" si="1"/>
        <v>8.1270627062706269E-2</v>
      </c>
      <c r="L14" s="130">
        <f t="shared" si="2"/>
        <v>3.9500000000000006</v>
      </c>
      <c r="M14" s="13">
        <f t="shared" si="3"/>
        <v>8.1476897689768998E-2</v>
      </c>
      <c r="N14" s="131">
        <f t="shared" si="4"/>
        <v>470.01050000000004</v>
      </c>
      <c r="O14" s="66" t="s">
        <v>135</v>
      </c>
      <c r="P14" s="66" t="s">
        <v>416</v>
      </c>
      <c r="Q14" s="28" t="s">
        <v>51</v>
      </c>
    </row>
    <row r="15" spans="1:17" s="15" customFormat="1" ht="24.95" customHeight="1" x14ac:dyDescent="0.25">
      <c r="A15" s="129">
        <v>4</v>
      </c>
      <c r="B15" s="10" t="s">
        <v>48</v>
      </c>
      <c r="C15" s="33">
        <v>423.22</v>
      </c>
      <c r="D15" s="56">
        <v>14.09</v>
      </c>
      <c r="E15" s="56">
        <v>13.75</v>
      </c>
      <c r="F15" s="56">
        <v>1.35</v>
      </c>
      <c r="G15" s="33">
        <v>846.44</v>
      </c>
      <c r="H15" s="11">
        <f t="shared" si="0"/>
        <v>1.071682044002839</v>
      </c>
      <c r="I15" s="33">
        <v>854.9</v>
      </c>
      <c r="J15" s="56">
        <v>0.5</v>
      </c>
      <c r="K15" s="12">
        <f t="shared" si="1"/>
        <v>3.5486160397444996E-2</v>
      </c>
      <c r="L15" s="130">
        <f t="shared" si="2"/>
        <v>0.50999999999999979</v>
      </c>
      <c r="M15" s="13">
        <f t="shared" si="3"/>
        <v>3.6195883605393879E-2</v>
      </c>
      <c r="N15" s="131">
        <f t="shared" si="4"/>
        <v>431.68439999999987</v>
      </c>
      <c r="O15" s="66" t="s">
        <v>424</v>
      </c>
      <c r="P15" s="66" t="s">
        <v>425</v>
      </c>
      <c r="Q15" s="28" t="s">
        <v>73</v>
      </c>
    </row>
    <row r="16" spans="1:17" s="57" customFormat="1" ht="24.95" customHeight="1" x14ac:dyDescent="0.25">
      <c r="A16" s="132">
        <v>5</v>
      </c>
      <c r="B16" s="10" t="s">
        <v>86</v>
      </c>
      <c r="C16" s="33">
        <v>397.9</v>
      </c>
      <c r="D16" s="56">
        <v>26.74</v>
      </c>
      <c r="E16" s="56">
        <v>31.5</v>
      </c>
      <c r="F16" s="56">
        <v>0</v>
      </c>
      <c r="G16" s="33">
        <v>169.32</v>
      </c>
      <c r="H16" s="11">
        <f t="shared" si="0"/>
        <v>1.1780104712041886</v>
      </c>
      <c r="I16" s="33">
        <v>805.96</v>
      </c>
      <c r="J16" s="56">
        <v>2.35</v>
      </c>
      <c r="K16" s="12">
        <f t="shared" si="1"/>
        <v>8.7883320867614065E-2</v>
      </c>
      <c r="L16" s="130">
        <f t="shared" si="2"/>
        <v>2.4100000000000015</v>
      </c>
      <c r="M16" s="13">
        <f t="shared" si="3"/>
        <v>9.012715033657448E-2</v>
      </c>
      <c r="N16" s="131">
        <f t="shared" si="4"/>
        <v>408.06120000000021</v>
      </c>
      <c r="O16" s="66" t="s">
        <v>20</v>
      </c>
      <c r="P16" s="66" t="s">
        <v>426</v>
      </c>
      <c r="Q16" s="28" t="s">
        <v>25</v>
      </c>
    </row>
    <row r="17" spans="1:17" s="15" customFormat="1" ht="24.95" customHeight="1" x14ac:dyDescent="0.25">
      <c r="A17" s="129">
        <v>6</v>
      </c>
      <c r="B17" s="10" t="s">
        <v>38</v>
      </c>
      <c r="C17" s="33">
        <v>397.47</v>
      </c>
      <c r="D17" s="56">
        <v>226.17</v>
      </c>
      <c r="E17" s="56">
        <v>206.3</v>
      </c>
      <c r="F17" s="56">
        <v>28</v>
      </c>
      <c r="G17" s="33">
        <v>99.12</v>
      </c>
      <c r="H17" s="11">
        <f t="shared" si="0"/>
        <v>1.0359464119909803</v>
      </c>
      <c r="I17" s="33">
        <v>805.85</v>
      </c>
      <c r="J17" s="56">
        <v>4.01</v>
      </c>
      <c r="K17" s="12">
        <f t="shared" si="1"/>
        <v>1.7730026086572048E-2</v>
      </c>
      <c r="L17" s="130">
        <f t="shared" si="2"/>
        <v>4.1200000000000241</v>
      </c>
      <c r="M17" s="13">
        <f t="shared" si="3"/>
        <v>1.8216385904408296E-2</v>
      </c>
      <c r="N17" s="131">
        <f t="shared" si="4"/>
        <v>408.37440000000242</v>
      </c>
      <c r="O17" s="66" t="s">
        <v>427</v>
      </c>
      <c r="P17" s="66" t="s">
        <v>416</v>
      </c>
      <c r="Q17" s="28" t="s">
        <v>25</v>
      </c>
    </row>
    <row r="18" spans="1:17" s="57" customFormat="1" ht="24.95" customHeight="1" x14ac:dyDescent="0.25">
      <c r="A18" s="132">
        <v>7</v>
      </c>
      <c r="B18" s="10" t="s">
        <v>123</v>
      </c>
      <c r="C18" s="33">
        <v>391.91</v>
      </c>
      <c r="D18" s="56">
        <v>12.4</v>
      </c>
      <c r="E18" s="56">
        <v>12.93</v>
      </c>
      <c r="F18" s="56">
        <v>0</v>
      </c>
      <c r="G18" s="33">
        <v>1567.63</v>
      </c>
      <c r="H18" s="11">
        <f t="shared" si="0"/>
        <v>1.042741935483871</v>
      </c>
      <c r="I18" s="33">
        <v>830.84</v>
      </c>
      <c r="J18" s="56">
        <v>0.25</v>
      </c>
      <c r="K18" s="12">
        <f t="shared" si="1"/>
        <v>2.0161290322580645E-2</v>
      </c>
      <c r="L18" s="130">
        <f t="shared" si="2"/>
        <v>0.27999999999999936</v>
      </c>
      <c r="M18" s="13">
        <f t="shared" si="3"/>
        <v>2.2580645161290269E-2</v>
      </c>
      <c r="N18" s="131">
        <f t="shared" si="4"/>
        <v>438.93639999999903</v>
      </c>
      <c r="O18" s="66" t="s">
        <v>135</v>
      </c>
      <c r="P18" s="66" t="s">
        <v>429</v>
      </c>
      <c r="Q18" s="28" t="s">
        <v>122</v>
      </c>
    </row>
    <row r="19" spans="1:17" s="15" customFormat="1" ht="24.95" customHeight="1" x14ac:dyDescent="0.25">
      <c r="A19" s="129">
        <v>8</v>
      </c>
      <c r="B19" s="10" t="s">
        <v>36</v>
      </c>
      <c r="C19" s="33">
        <v>352.64</v>
      </c>
      <c r="D19" s="56">
        <v>218.9</v>
      </c>
      <c r="E19" s="56">
        <v>204.77</v>
      </c>
      <c r="F19" s="56">
        <v>19.2</v>
      </c>
      <c r="G19" s="33">
        <v>156.72999999999999</v>
      </c>
      <c r="H19" s="11">
        <f t="shared" si="0"/>
        <v>1.0231612608497029</v>
      </c>
      <c r="I19" s="33">
        <v>794.62</v>
      </c>
      <c r="J19" s="56">
        <v>2.25</v>
      </c>
      <c r="K19" s="12">
        <f t="shared" si="1"/>
        <v>1.027866605756053E-2</v>
      </c>
      <c r="L19" s="130">
        <f t="shared" si="2"/>
        <v>2.8199999999999932</v>
      </c>
      <c r="M19" s="13">
        <f t="shared" si="3"/>
        <v>1.28825947921425E-2</v>
      </c>
      <c r="N19" s="131">
        <f t="shared" si="4"/>
        <v>441.97859999999889</v>
      </c>
      <c r="O19" s="66" t="s">
        <v>430</v>
      </c>
      <c r="P19" s="66" t="s">
        <v>417</v>
      </c>
      <c r="Q19" s="28" t="s">
        <v>25</v>
      </c>
    </row>
    <row r="20" spans="1:17" s="15" customFormat="1" ht="24.95" customHeight="1" x14ac:dyDescent="0.25">
      <c r="A20" s="132">
        <v>9</v>
      </c>
      <c r="B20" s="10" t="s">
        <v>107</v>
      </c>
      <c r="C20" s="33">
        <v>304.55</v>
      </c>
      <c r="D20" s="56">
        <v>198.2</v>
      </c>
      <c r="E20" s="56">
        <v>202.89</v>
      </c>
      <c r="F20" s="56">
        <v>0</v>
      </c>
      <c r="G20" s="33">
        <v>166.42</v>
      </c>
      <c r="H20" s="11">
        <f t="shared" si="0"/>
        <v>1.0236629667003028</v>
      </c>
      <c r="I20" s="33">
        <v>780.51</v>
      </c>
      <c r="J20" s="56">
        <v>1.83</v>
      </c>
      <c r="K20" s="12">
        <f t="shared" si="1"/>
        <v>9.2330978809283554E-3</v>
      </c>
      <c r="L20" s="130">
        <f t="shared" si="2"/>
        <v>2.8599999999999977</v>
      </c>
      <c r="M20" s="13">
        <f t="shared" si="3"/>
        <v>1.4429868819374359E-2</v>
      </c>
      <c r="N20" s="131">
        <f t="shared" si="4"/>
        <v>475.96119999999956</v>
      </c>
      <c r="O20" s="66" t="s">
        <v>20</v>
      </c>
      <c r="P20" s="66" t="s">
        <v>425</v>
      </c>
      <c r="Q20" s="28" t="s">
        <v>106</v>
      </c>
    </row>
    <row r="21" spans="1:17" s="15" customFormat="1" ht="24.95" customHeight="1" thickBot="1" x14ac:dyDescent="0.3">
      <c r="A21" s="133">
        <v>10</v>
      </c>
      <c r="B21" s="16" t="s">
        <v>112</v>
      </c>
      <c r="C21" s="34">
        <v>300.52</v>
      </c>
      <c r="D21" s="58">
        <v>21.26</v>
      </c>
      <c r="E21" s="58">
        <v>25.32</v>
      </c>
      <c r="F21" s="58">
        <v>0</v>
      </c>
      <c r="G21" s="34">
        <v>148.04</v>
      </c>
      <c r="H21" s="17">
        <f t="shared" si="0"/>
        <v>1.1909689557855125</v>
      </c>
      <c r="I21" s="34">
        <v>601.04</v>
      </c>
      <c r="J21" s="58">
        <v>2.0299999999999998</v>
      </c>
      <c r="K21" s="18">
        <f t="shared" si="1"/>
        <v>9.5484477892756339E-2</v>
      </c>
      <c r="L21" s="134">
        <f t="shared" si="2"/>
        <v>2.0299999999999989</v>
      </c>
      <c r="M21" s="19">
        <f t="shared" si="3"/>
        <v>9.5484477892756298E-2</v>
      </c>
      <c r="N21" s="135">
        <f t="shared" si="4"/>
        <v>300.52119999999985</v>
      </c>
      <c r="O21" s="66" t="s">
        <v>20</v>
      </c>
      <c r="P21" s="66" t="s">
        <v>426</v>
      </c>
      <c r="Q21" s="29" t="s">
        <v>113</v>
      </c>
    </row>
    <row r="22" spans="1:17" s="62" customFormat="1" ht="24.95" customHeight="1" thickBot="1" x14ac:dyDescent="0.3">
      <c r="A22" s="136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37"/>
      <c r="M22" s="30"/>
      <c r="N22" s="138"/>
      <c r="O22" s="61"/>
      <c r="P22" s="61"/>
      <c r="Q22" s="59"/>
    </row>
    <row r="23" spans="1:17" s="62" customFormat="1" ht="40.5" customHeight="1" x14ac:dyDescent="0.25">
      <c r="A23" s="443" t="s">
        <v>331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308</v>
      </c>
      <c r="B24" s="447"/>
      <c r="C24" s="447"/>
      <c r="D24" s="447" t="s">
        <v>309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332</v>
      </c>
      <c r="P24" s="456" t="s">
        <v>311</v>
      </c>
      <c r="Q24" s="868" t="s">
        <v>333</v>
      </c>
    </row>
    <row r="25" spans="1:17" s="62" customFormat="1" ht="24.95" customHeight="1" x14ac:dyDescent="0.25">
      <c r="A25" s="869" t="s">
        <v>313</v>
      </c>
      <c r="B25" s="461" t="s">
        <v>314</v>
      </c>
      <c r="C25" s="462"/>
      <c r="D25" s="463" t="s">
        <v>315</v>
      </c>
      <c r="E25" s="463"/>
      <c r="F25" s="463"/>
      <c r="G25" s="463"/>
      <c r="H25" s="463"/>
      <c r="I25" s="463"/>
      <c r="J25" s="464" t="s">
        <v>316</v>
      </c>
      <c r="K25" s="464"/>
      <c r="L25" s="464"/>
      <c r="M25" s="465"/>
      <c r="N25" s="465"/>
      <c r="O25" s="456"/>
      <c r="P25" s="456"/>
      <c r="Q25" s="868"/>
    </row>
    <row r="26" spans="1:17" s="62" customFormat="1" ht="24.95" customHeight="1" x14ac:dyDescent="0.3">
      <c r="A26" s="870"/>
      <c r="B26" s="872" t="s">
        <v>334</v>
      </c>
      <c r="C26" s="874" t="s">
        <v>335</v>
      </c>
      <c r="D26" s="876" t="s">
        <v>319</v>
      </c>
      <c r="E26" s="876"/>
      <c r="F26" s="876"/>
      <c r="G26" s="876"/>
      <c r="H26" s="876"/>
      <c r="I26" s="876"/>
      <c r="J26" s="877" t="s">
        <v>320</v>
      </c>
      <c r="K26" s="878"/>
      <c r="L26" s="879"/>
      <c r="M26" s="877" t="s">
        <v>336</v>
      </c>
      <c r="N26" s="879"/>
      <c r="O26" s="456"/>
      <c r="P26" s="456"/>
      <c r="Q26" s="868"/>
    </row>
    <row r="27" spans="1:17" s="62" customFormat="1" ht="50.1" customHeight="1" x14ac:dyDescent="0.25">
      <c r="A27" s="871"/>
      <c r="B27" s="873"/>
      <c r="C27" s="875"/>
      <c r="D27" s="126" t="s">
        <v>322</v>
      </c>
      <c r="E27" s="126" t="s">
        <v>323</v>
      </c>
      <c r="F27" s="126" t="s">
        <v>324</v>
      </c>
      <c r="G27" s="126" t="s">
        <v>325</v>
      </c>
      <c r="H27" s="126" t="s">
        <v>337</v>
      </c>
      <c r="I27" s="126" t="s">
        <v>338</v>
      </c>
      <c r="J27" s="127" t="s">
        <v>339</v>
      </c>
      <c r="K27" s="127" t="s">
        <v>329</v>
      </c>
      <c r="L27" s="128" t="s">
        <v>330</v>
      </c>
      <c r="M27" s="127" t="s">
        <v>339</v>
      </c>
      <c r="N27" s="127" t="s">
        <v>329</v>
      </c>
      <c r="O27" s="456"/>
      <c r="P27" s="456"/>
      <c r="Q27" s="868"/>
    </row>
    <row r="28" spans="1:17" s="62" customFormat="1" ht="24.95" customHeight="1" x14ac:dyDescent="0.25">
      <c r="A28" s="129">
        <v>1</v>
      </c>
      <c r="B28" s="10" t="s">
        <v>53</v>
      </c>
      <c r="C28" s="33">
        <v>4437.53</v>
      </c>
      <c r="D28" s="56">
        <v>72.150000000000006</v>
      </c>
      <c r="E28" s="56">
        <v>83.45</v>
      </c>
      <c r="F28" s="56">
        <v>2.89</v>
      </c>
      <c r="G28" s="33">
        <v>333.9</v>
      </c>
      <c r="H28" s="35">
        <f t="shared" ref="H28:H37" si="5">(E28+F28)/D28</f>
        <v>1.1966735966735966</v>
      </c>
      <c r="I28" s="33">
        <v>4738.04</v>
      </c>
      <c r="J28" s="56">
        <v>0.9</v>
      </c>
      <c r="K28" s="12">
        <f t="shared" ref="K28:K37" si="6">J28/D28</f>
        <v>1.2474012474012473E-2</v>
      </c>
      <c r="L28" s="131">
        <f t="shared" ref="L28:L37" si="7">J28*G28</f>
        <v>300.51</v>
      </c>
      <c r="M28" s="130">
        <f t="shared" ref="M28:M37" si="8">((E28+F28)-D28)-J28</f>
        <v>13.289999999999997</v>
      </c>
      <c r="N28" s="13">
        <f t="shared" ref="N28:N37" si="9">M28/D28</f>
        <v>0.18419958419958415</v>
      </c>
      <c r="O28" s="69" t="s">
        <v>403</v>
      </c>
      <c r="P28" s="14" t="s">
        <v>67</v>
      </c>
      <c r="Q28" s="28" t="s">
        <v>78</v>
      </c>
    </row>
    <row r="29" spans="1:17" s="62" customFormat="1" ht="24.75" customHeight="1" x14ac:dyDescent="0.25">
      <c r="A29" s="132">
        <v>2</v>
      </c>
      <c r="B29" s="10" t="s">
        <v>35</v>
      </c>
      <c r="C29" s="33">
        <v>4384.6100000000006</v>
      </c>
      <c r="D29" s="56">
        <v>91.72</v>
      </c>
      <c r="E29" s="56">
        <v>96.72999999999999</v>
      </c>
      <c r="F29" s="56">
        <v>6.4</v>
      </c>
      <c r="G29" s="33">
        <v>410.16</v>
      </c>
      <c r="H29" s="35">
        <f t="shared" si="5"/>
        <v>1.1244003488879197</v>
      </c>
      <c r="I29" s="33">
        <v>4679.93</v>
      </c>
      <c r="J29" s="56">
        <v>0.72</v>
      </c>
      <c r="K29" s="12">
        <f t="shared" si="6"/>
        <v>7.849978194505015E-3</v>
      </c>
      <c r="L29" s="131">
        <f t="shared" si="7"/>
        <v>295.3152</v>
      </c>
      <c r="M29" s="130">
        <f t="shared" si="8"/>
        <v>10.689999999999996</v>
      </c>
      <c r="N29" s="13">
        <f t="shared" si="9"/>
        <v>0.1165503706934147</v>
      </c>
      <c r="O29" s="69" t="s">
        <v>403</v>
      </c>
      <c r="P29" s="14" t="s">
        <v>67</v>
      </c>
      <c r="Q29" s="28" t="s">
        <v>25</v>
      </c>
    </row>
    <row r="30" spans="1:17" s="62" customFormat="1" ht="24.95" customHeight="1" x14ac:dyDescent="0.25">
      <c r="A30" s="132">
        <v>3</v>
      </c>
      <c r="B30" s="10" t="s">
        <v>58</v>
      </c>
      <c r="C30" s="33">
        <v>4208.0600000000004</v>
      </c>
      <c r="D30" s="56">
        <v>64.33</v>
      </c>
      <c r="E30" s="56">
        <v>69.66</v>
      </c>
      <c r="F30" s="56">
        <v>7</v>
      </c>
      <c r="G30" s="33">
        <v>365.6</v>
      </c>
      <c r="H30" s="35">
        <f t="shared" si="5"/>
        <v>1.1916679620705737</v>
      </c>
      <c r="I30" s="33">
        <v>4507.8500000000004</v>
      </c>
      <c r="J30" s="32">
        <v>0.82</v>
      </c>
      <c r="K30" s="12">
        <f t="shared" si="6"/>
        <v>1.2746774444271724E-2</v>
      </c>
      <c r="L30" s="131">
        <f t="shared" si="7"/>
        <v>299.79199999999997</v>
      </c>
      <c r="M30" s="130">
        <f t="shared" si="8"/>
        <v>11.509999999999998</v>
      </c>
      <c r="N30" s="13">
        <f t="shared" si="9"/>
        <v>0.17892118762630185</v>
      </c>
      <c r="O30" s="69" t="s">
        <v>403</v>
      </c>
      <c r="P30" s="14" t="s">
        <v>67</v>
      </c>
      <c r="Q30" s="28" t="s">
        <v>57</v>
      </c>
    </row>
    <row r="31" spans="1:17" s="62" customFormat="1" ht="24.95" customHeight="1" x14ac:dyDescent="0.25">
      <c r="A31" s="129">
        <v>4</v>
      </c>
      <c r="B31" s="10" t="s">
        <v>47</v>
      </c>
      <c r="C31" s="33">
        <v>4157.5600000000004</v>
      </c>
      <c r="D31" s="56">
        <v>45.41</v>
      </c>
      <c r="E31" s="56">
        <v>54.059999999999995</v>
      </c>
      <c r="F31" s="56">
        <v>4.3499999999999996</v>
      </c>
      <c r="G31" s="33">
        <v>342.75</v>
      </c>
      <c r="H31" s="35">
        <f t="shared" si="5"/>
        <v>1.286280554943845</v>
      </c>
      <c r="I31" s="33">
        <v>4455.75</v>
      </c>
      <c r="J31" s="56">
        <v>0.87</v>
      </c>
      <c r="K31" s="12">
        <f t="shared" si="6"/>
        <v>1.9158775600088086E-2</v>
      </c>
      <c r="L31" s="131">
        <f t="shared" si="7"/>
        <v>298.1925</v>
      </c>
      <c r="M31" s="130">
        <f t="shared" si="8"/>
        <v>12.13</v>
      </c>
      <c r="N31" s="13">
        <f t="shared" si="9"/>
        <v>0.26712177934375692</v>
      </c>
      <c r="O31" s="69" t="s">
        <v>403</v>
      </c>
      <c r="P31" s="14" t="s">
        <v>67</v>
      </c>
      <c r="Q31" s="28" t="s">
        <v>73</v>
      </c>
    </row>
    <row r="32" spans="1:17" s="62" customFormat="1" ht="24.95" customHeight="1" x14ac:dyDescent="0.25">
      <c r="A32" s="132">
        <v>5</v>
      </c>
      <c r="B32" s="10" t="s">
        <v>50</v>
      </c>
      <c r="C32" s="33">
        <v>3431.63</v>
      </c>
      <c r="D32" s="56">
        <v>327.39999999999998</v>
      </c>
      <c r="E32" s="56">
        <v>340.95</v>
      </c>
      <c r="F32" s="56">
        <v>20</v>
      </c>
      <c r="G32" s="33">
        <v>111.2</v>
      </c>
      <c r="H32" s="35">
        <f t="shared" si="5"/>
        <v>1.10247403787416</v>
      </c>
      <c r="I32" s="33">
        <v>3730.76</v>
      </c>
      <c r="J32" s="56">
        <v>2.69</v>
      </c>
      <c r="K32" s="12">
        <f t="shared" si="6"/>
        <v>8.2162492364080634E-3</v>
      </c>
      <c r="L32" s="131">
        <f t="shared" si="7"/>
        <v>299.12799999999999</v>
      </c>
      <c r="M32" s="130">
        <f t="shared" si="8"/>
        <v>30.86000000000001</v>
      </c>
      <c r="N32" s="13">
        <f t="shared" si="9"/>
        <v>9.4257788637752027E-2</v>
      </c>
      <c r="O32" s="69" t="s">
        <v>22</v>
      </c>
      <c r="P32" s="14" t="s">
        <v>109</v>
      </c>
      <c r="Q32" s="28" t="s">
        <v>49</v>
      </c>
    </row>
    <row r="33" spans="1:17" s="62" customFormat="1" ht="24.95" customHeight="1" x14ac:dyDescent="0.25">
      <c r="A33" s="129">
        <v>6</v>
      </c>
      <c r="B33" s="10" t="s">
        <v>90</v>
      </c>
      <c r="C33" s="33">
        <v>3346.19</v>
      </c>
      <c r="D33" s="56">
        <v>144.4</v>
      </c>
      <c r="E33" s="56">
        <v>154.29</v>
      </c>
      <c r="F33" s="56">
        <v>12</v>
      </c>
      <c r="G33" s="33">
        <v>166.56</v>
      </c>
      <c r="H33" s="35">
        <f t="shared" si="5"/>
        <v>1.1515927977839333</v>
      </c>
      <c r="I33" s="33">
        <v>3646</v>
      </c>
      <c r="J33" s="56">
        <v>1.8</v>
      </c>
      <c r="K33" s="12">
        <f t="shared" si="6"/>
        <v>1.2465373961218837E-2</v>
      </c>
      <c r="L33" s="131">
        <f t="shared" si="7"/>
        <v>299.80799999999999</v>
      </c>
      <c r="M33" s="130">
        <f t="shared" si="8"/>
        <v>20.089999999999986</v>
      </c>
      <c r="N33" s="13">
        <f t="shared" si="9"/>
        <v>0.13912742382271456</v>
      </c>
      <c r="O33" s="69" t="s">
        <v>22</v>
      </c>
      <c r="P33" s="14" t="s">
        <v>109</v>
      </c>
      <c r="Q33" s="28" t="s">
        <v>89</v>
      </c>
    </row>
    <row r="34" spans="1:17" s="62" customFormat="1" ht="24.95" customHeight="1" x14ac:dyDescent="0.25">
      <c r="A34" s="132">
        <v>7</v>
      </c>
      <c r="B34" s="10" t="s">
        <v>62</v>
      </c>
      <c r="C34" s="33">
        <v>3123.2200000000003</v>
      </c>
      <c r="D34" s="56">
        <v>46.53</v>
      </c>
      <c r="E34" s="56">
        <v>55.260000000000005</v>
      </c>
      <c r="F34" s="56">
        <v>15</v>
      </c>
      <c r="G34" s="33">
        <v>143.07</v>
      </c>
      <c r="H34" s="35">
        <f t="shared" si="5"/>
        <v>1.5099935525467441</v>
      </c>
      <c r="I34" s="33">
        <v>3395.05</v>
      </c>
      <c r="J34" s="56">
        <v>1.9</v>
      </c>
      <c r="K34" s="12">
        <f t="shared" si="6"/>
        <v>4.0833870621104662E-2</v>
      </c>
      <c r="L34" s="131">
        <f t="shared" si="7"/>
        <v>271.83299999999997</v>
      </c>
      <c r="M34" s="130">
        <f t="shared" si="8"/>
        <v>21.830000000000005</v>
      </c>
      <c r="N34" s="13">
        <f t="shared" si="9"/>
        <v>0.4691596819256395</v>
      </c>
      <c r="O34" s="69" t="s">
        <v>22</v>
      </c>
      <c r="P34" s="14" t="s">
        <v>109</v>
      </c>
      <c r="Q34" s="28" t="s">
        <v>61</v>
      </c>
    </row>
    <row r="35" spans="1:17" s="62" customFormat="1" ht="24.95" customHeight="1" x14ac:dyDescent="0.25">
      <c r="A35" s="129">
        <v>8</v>
      </c>
      <c r="B35" s="10" t="s">
        <v>42</v>
      </c>
      <c r="C35" s="33">
        <v>2811.62</v>
      </c>
      <c r="D35" s="56">
        <v>68.790000000000006</v>
      </c>
      <c r="E35" s="56">
        <v>80.78</v>
      </c>
      <c r="F35" s="56">
        <v>7.5</v>
      </c>
      <c r="G35" s="33">
        <v>159.57</v>
      </c>
      <c r="H35" s="35">
        <f t="shared" si="5"/>
        <v>1.2833260648350049</v>
      </c>
      <c r="I35" s="33">
        <v>3110.02</v>
      </c>
      <c r="J35" s="56">
        <v>1.87</v>
      </c>
      <c r="K35" s="12">
        <f t="shared" si="6"/>
        <v>2.7184183747637737E-2</v>
      </c>
      <c r="L35" s="131">
        <f t="shared" si="7"/>
        <v>298.39589999999998</v>
      </c>
      <c r="M35" s="130">
        <f t="shared" si="8"/>
        <v>17.619999999999994</v>
      </c>
      <c r="N35" s="13">
        <f t="shared" si="9"/>
        <v>0.25614188108736724</v>
      </c>
      <c r="O35" s="69" t="s">
        <v>22</v>
      </c>
      <c r="P35" s="14" t="s">
        <v>109</v>
      </c>
      <c r="Q35" s="28" t="s">
        <v>25</v>
      </c>
    </row>
    <row r="36" spans="1:17" s="62" customFormat="1" ht="24.95" customHeight="1" x14ac:dyDescent="0.25">
      <c r="A36" s="132">
        <v>9</v>
      </c>
      <c r="B36" s="10" t="s">
        <v>26</v>
      </c>
      <c r="C36" s="33">
        <v>2508.08</v>
      </c>
      <c r="D36" s="56">
        <v>31.85</v>
      </c>
      <c r="E36" s="56">
        <v>37.29</v>
      </c>
      <c r="F36" s="56">
        <v>7.7</v>
      </c>
      <c r="G36" s="33">
        <v>212.73</v>
      </c>
      <c r="H36" s="35">
        <f t="shared" si="5"/>
        <v>1.4125588697017268</v>
      </c>
      <c r="I36" s="33">
        <v>2795.27</v>
      </c>
      <c r="J36" s="56">
        <v>1.35</v>
      </c>
      <c r="K36" s="12">
        <f t="shared" si="6"/>
        <v>4.2386185243328101E-2</v>
      </c>
      <c r="L36" s="131">
        <f t="shared" si="7"/>
        <v>287.18549999999999</v>
      </c>
      <c r="M36" s="130">
        <f t="shared" si="8"/>
        <v>11.790000000000001</v>
      </c>
      <c r="N36" s="13">
        <f t="shared" si="9"/>
        <v>0.37017268445839874</v>
      </c>
      <c r="O36" s="69" t="s">
        <v>22</v>
      </c>
      <c r="P36" s="14" t="s">
        <v>109</v>
      </c>
      <c r="Q36" s="28" t="s">
        <v>27</v>
      </c>
    </row>
    <row r="37" spans="1:17" s="62" customFormat="1" ht="24.95" customHeight="1" thickBot="1" x14ac:dyDescent="0.3">
      <c r="A37" s="133">
        <v>10</v>
      </c>
      <c r="B37" s="16" t="s">
        <v>69</v>
      </c>
      <c r="C37" s="34">
        <v>1841.4400000000003</v>
      </c>
      <c r="D37" s="58">
        <v>51.78</v>
      </c>
      <c r="E37" s="58">
        <v>50.73</v>
      </c>
      <c r="F37" s="58">
        <v>16.5</v>
      </c>
      <c r="G37" s="34">
        <v>235.78</v>
      </c>
      <c r="H37" s="36">
        <f t="shared" si="5"/>
        <v>1.2983777520278097</v>
      </c>
      <c r="I37" s="34">
        <v>3642.8</v>
      </c>
      <c r="J37" s="58">
        <v>7.64</v>
      </c>
      <c r="K37" s="18">
        <f t="shared" si="6"/>
        <v>0.14754731556585554</v>
      </c>
      <c r="L37" s="135">
        <f t="shared" si="7"/>
        <v>1801.3591999999999</v>
      </c>
      <c r="M37" s="134">
        <f t="shared" si="8"/>
        <v>7.809999999999989</v>
      </c>
      <c r="N37" s="19">
        <f t="shared" si="9"/>
        <v>0.15083043646195421</v>
      </c>
      <c r="O37" s="69" t="s">
        <v>22</v>
      </c>
      <c r="P37" s="14" t="s">
        <v>408</v>
      </c>
      <c r="Q37" s="65" t="s">
        <v>25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340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308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865" t="s">
        <v>313</v>
      </c>
      <c r="B41" s="450" t="s">
        <v>314</v>
      </c>
      <c r="C41" s="450"/>
      <c r="D41" s="451"/>
      <c r="E41" s="23"/>
      <c r="G41" s="21"/>
      <c r="H41" s="22"/>
    </row>
    <row r="42" spans="1:17" ht="20.45" customHeight="1" x14ac:dyDescent="0.35">
      <c r="A42" s="865"/>
      <c r="B42" s="866" t="s">
        <v>317</v>
      </c>
      <c r="C42" s="867" t="s">
        <v>318</v>
      </c>
      <c r="D42" s="868" t="s">
        <v>341</v>
      </c>
      <c r="E42" s="23"/>
      <c r="G42" s="21"/>
      <c r="H42" s="22"/>
    </row>
    <row r="43" spans="1:17" ht="20.45" customHeight="1" x14ac:dyDescent="0.35">
      <c r="A43" s="865"/>
      <c r="B43" s="866"/>
      <c r="C43" s="867"/>
      <c r="D43" s="868"/>
      <c r="E43" s="23"/>
      <c r="G43" s="21"/>
      <c r="H43" s="22"/>
    </row>
    <row r="44" spans="1:17" s="26" customFormat="1" ht="24.95" customHeight="1" x14ac:dyDescent="0.35">
      <c r="A44" s="139">
        <v>1</v>
      </c>
      <c r="B44" s="10" t="s">
        <v>69</v>
      </c>
      <c r="C44" s="33">
        <v>1801.36</v>
      </c>
      <c r="D44" s="24">
        <f t="shared" ref="D44:D53" si="10">C44/$L$5</f>
        <v>0.27043427478497939</v>
      </c>
      <c r="E44" s="25"/>
      <c r="G44" s="21"/>
      <c r="H44" s="22"/>
    </row>
    <row r="45" spans="1:17" s="26" customFormat="1" ht="24.95" customHeight="1" x14ac:dyDescent="0.35">
      <c r="A45" s="140">
        <v>2</v>
      </c>
      <c r="B45" s="10" t="s">
        <v>59</v>
      </c>
      <c r="C45" s="33">
        <v>920.32</v>
      </c>
      <c r="D45" s="24">
        <f t="shared" si="10"/>
        <v>0.138165648049314</v>
      </c>
      <c r="E45" s="25"/>
      <c r="G45" s="21"/>
      <c r="H45" s="22"/>
    </row>
    <row r="46" spans="1:17" s="26" customFormat="1" ht="24.95" customHeight="1" x14ac:dyDescent="0.35">
      <c r="A46" s="140">
        <v>3</v>
      </c>
      <c r="B46" s="10" t="s">
        <v>86</v>
      </c>
      <c r="C46" s="33">
        <v>397.9</v>
      </c>
      <c r="D46" s="24">
        <f t="shared" si="10"/>
        <v>5.9735865089123388E-2</v>
      </c>
      <c r="E46" s="25"/>
      <c r="G46" s="21"/>
      <c r="H46" s="22"/>
    </row>
    <row r="47" spans="1:17" s="26" customFormat="1" ht="24.95" customHeight="1" x14ac:dyDescent="0.35">
      <c r="A47" s="139">
        <v>4</v>
      </c>
      <c r="B47" s="10" t="s">
        <v>38</v>
      </c>
      <c r="C47" s="33">
        <v>397.47</v>
      </c>
      <c r="D47" s="24">
        <f t="shared" si="10"/>
        <v>5.9671310120567672E-2</v>
      </c>
      <c r="E47" s="25"/>
      <c r="G47" s="21"/>
      <c r="H47" s="22"/>
    </row>
    <row r="48" spans="1:17" s="26" customFormat="1" ht="24.95" customHeight="1" x14ac:dyDescent="0.35">
      <c r="A48" s="140">
        <v>5</v>
      </c>
      <c r="B48" s="10" t="s">
        <v>36</v>
      </c>
      <c r="C48" s="33">
        <v>352.64</v>
      </c>
      <c r="D48" s="24">
        <f t="shared" si="10"/>
        <v>5.2941079329048686E-2</v>
      </c>
      <c r="E48" s="25"/>
      <c r="G48" s="21"/>
      <c r="H48" s="22"/>
    </row>
    <row r="49" spans="1:5" s="26" customFormat="1" ht="24.95" customHeight="1" x14ac:dyDescent="0.25">
      <c r="A49" s="139">
        <v>6</v>
      </c>
      <c r="B49" s="10" t="s">
        <v>116</v>
      </c>
      <c r="C49" s="33">
        <v>299.81</v>
      </c>
      <c r="D49" s="24">
        <f t="shared" si="10"/>
        <v>4.5009825866725521E-2</v>
      </c>
      <c r="E49" s="25"/>
    </row>
    <row r="50" spans="1:5" s="26" customFormat="1" ht="24.95" customHeight="1" x14ac:dyDescent="0.25">
      <c r="A50" s="140">
        <v>7</v>
      </c>
      <c r="B50" s="10" t="s">
        <v>42</v>
      </c>
      <c r="C50" s="33">
        <v>298.39999999999998</v>
      </c>
      <c r="D50" s="24">
        <f t="shared" si="10"/>
        <v>4.479814562099628E-2</v>
      </c>
      <c r="E50" s="25"/>
    </row>
    <row r="51" spans="1:5" s="26" customFormat="1" ht="24.95" customHeight="1" x14ac:dyDescent="0.25">
      <c r="A51" s="139">
        <v>8</v>
      </c>
      <c r="B51" s="10" t="s">
        <v>342</v>
      </c>
      <c r="C51" s="33">
        <v>296.77</v>
      </c>
      <c r="D51" s="24">
        <f t="shared" si="10"/>
        <v>4.455343725181992E-2</v>
      </c>
      <c r="E51" s="25"/>
    </row>
    <row r="52" spans="1:5" s="26" customFormat="1" ht="24.95" customHeight="1" x14ac:dyDescent="0.25">
      <c r="A52" s="140">
        <v>9</v>
      </c>
      <c r="B52" s="10" t="s">
        <v>35</v>
      </c>
      <c r="C52" s="33">
        <v>295.32</v>
      </c>
      <c r="D52" s="24">
        <f t="shared" si="10"/>
        <v>4.4335751892736669E-2</v>
      </c>
      <c r="E52" s="25"/>
    </row>
    <row r="53" spans="1:5" s="26" customFormat="1" ht="24.95" customHeight="1" thickBot="1" x14ac:dyDescent="0.3">
      <c r="A53" s="141">
        <v>10</v>
      </c>
      <c r="B53" s="16" t="s">
        <v>33</v>
      </c>
      <c r="C53" s="34">
        <v>295.08</v>
      </c>
      <c r="D53" s="27">
        <f t="shared" si="10"/>
        <v>4.4299721212612539E-2</v>
      </c>
      <c r="E53" s="25"/>
    </row>
    <row r="54" spans="1:5" x14ac:dyDescent="0.25">
      <c r="A54" s="441" t="s">
        <v>343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344</v>
      </c>
      <c r="B56" s="442"/>
      <c r="C56" s="442"/>
      <c r="D56" s="442"/>
      <c r="E56" s="442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227" priority="33" operator="containsText" text="024">
      <formula>NOT(ISERROR(SEARCH("024",A12)))</formula>
    </cfRule>
    <cfRule type="containsText" dxfId="226" priority="34" operator="containsText" text="白醬">
      <formula>NOT(ISERROR(SEARCH("白醬",A12)))</formula>
    </cfRule>
    <cfRule type="containsText" dxfId="225" priority="35" operator="containsText" text="青蔥">
      <formula>NOT(ISERROR(SEARCH("青蔥",A12)))</formula>
    </cfRule>
    <cfRule type="containsText" dxfId="224" priority="36" operator="containsText" text=")川燙小青花菜">
      <formula>NOT(ISERROR(SEARCH(")川燙小青花菜",A12)))</formula>
    </cfRule>
    <cfRule type="containsText" dxfId="223" priority="37" operator="containsText" text="湯凍">
      <formula>NOT(ISERROR(SEARCH("湯凍",A12)))</formula>
    </cfRule>
    <cfRule type="containsText" dxfId="222" priority="38" operator="containsText" text="中華">
      <formula>NOT(ISERROR(SEARCH("中華",A12)))</formula>
    </cfRule>
  </conditionalFormatting>
  <conditionalFormatting sqref="A12:A22">
    <cfRule type="containsText" dxfId="221" priority="31" operator="containsText" text="綠豆芽">
      <formula>NOT(ISERROR(SEARCH("綠豆芽",A12)))</formula>
    </cfRule>
    <cfRule type="containsText" dxfId="220" priority="32" operator="containsText" text="煮白細麵生(方#12)">
      <formula>NOT(ISERROR(SEARCH("煮白細麵生(方#12)",A12)))</formula>
    </cfRule>
  </conditionalFormatting>
  <conditionalFormatting sqref="E5">
    <cfRule type="cellIs" dxfId="219" priority="16" operator="greaterThan">
      <formula>0.0025</formula>
    </cfRule>
    <cfRule type="cellIs" dxfId="218" priority="19" operator="greaterThan">
      <formula>0.0025</formula>
    </cfRule>
    <cfRule type="cellIs" dxfId="217" priority="29" operator="greaterThan">
      <formula>0.072</formula>
    </cfRule>
    <cfRule type="cellIs" dxfId="216" priority="30" operator="greaterThan">
      <formula>7.2</formula>
    </cfRule>
  </conditionalFormatting>
  <conditionalFormatting sqref="E5">
    <cfRule type="cellIs" dxfId="215" priority="28" operator="greaterThan">
      <formula>0.0025</formula>
    </cfRule>
  </conditionalFormatting>
  <conditionalFormatting sqref="A44:A53">
    <cfRule type="containsText" dxfId="214" priority="22" operator="containsText" text="024">
      <formula>NOT(ISERROR(SEARCH("024",A44)))</formula>
    </cfRule>
    <cfRule type="containsText" dxfId="213" priority="23" operator="containsText" text="白醬">
      <formula>NOT(ISERROR(SEARCH("白醬",A44)))</formula>
    </cfRule>
    <cfRule type="containsText" dxfId="212" priority="24" operator="containsText" text="青蔥">
      <formula>NOT(ISERROR(SEARCH("青蔥",A44)))</formula>
    </cfRule>
    <cfRule type="containsText" dxfId="211" priority="25" operator="containsText" text=")川燙小青花菜">
      <formula>NOT(ISERROR(SEARCH(")川燙小青花菜",A44)))</formula>
    </cfRule>
    <cfRule type="containsText" dxfId="210" priority="26" operator="containsText" text="湯凍">
      <formula>NOT(ISERROR(SEARCH("湯凍",A44)))</formula>
    </cfRule>
    <cfRule type="containsText" dxfId="209" priority="27" operator="containsText" text="中華">
      <formula>NOT(ISERROR(SEARCH("中華",A44)))</formula>
    </cfRule>
  </conditionalFormatting>
  <conditionalFormatting sqref="A44:A53">
    <cfRule type="containsText" dxfId="208" priority="20" operator="containsText" text="綠豆芽">
      <formula>NOT(ISERROR(SEARCH("綠豆芽",A44)))</formula>
    </cfRule>
    <cfRule type="containsText" dxfId="207" priority="21" operator="containsText" text="煮白細麵生(方#12)">
      <formula>NOT(ISERROR(SEARCH("煮白細麵生(方#12)",A44)))</formula>
    </cfRule>
  </conditionalFormatting>
  <conditionalFormatting sqref="D44:D53">
    <cfRule type="cellIs" dxfId="206" priority="18" operator="greaterThan">
      <formula>0.146</formula>
    </cfRule>
  </conditionalFormatting>
  <conditionalFormatting sqref="H12:H22">
    <cfRule type="cellIs" dxfId="205" priority="17" operator="greaterThan">
      <formula>1.1</formula>
    </cfRule>
  </conditionalFormatting>
  <conditionalFormatting sqref="I5">
    <cfRule type="cellIs" dxfId="204" priority="15" operator="greaterThan">
      <formula>0.2</formula>
    </cfRule>
  </conditionalFormatting>
  <conditionalFormatting sqref="A28:A37">
    <cfRule type="containsText" dxfId="203" priority="9" operator="containsText" text="024">
      <formula>NOT(ISERROR(SEARCH("024",A28)))</formula>
    </cfRule>
    <cfRule type="containsText" dxfId="202" priority="10" operator="containsText" text="白醬">
      <formula>NOT(ISERROR(SEARCH("白醬",A28)))</formula>
    </cfRule>
    <cfRule type="containsText" dxfId="201" priority="11" operator="containsText" text="青蔥">
      <formula>NOT(ISERROR(SEARCH("青蔥",A28)))</formula>
    </cfRule>
    <cfRule type="containsText" dxfId="200" priority="12" operator="containsText" text=")川燙小青花菜">
      <formula>NOT(ISERROR(SEARCH(")川燙小青花菜",A28)))</formula>
    </cfRule>
    <cfRule type="containsText" dxfId="199" priority="13" operator="containsText" text="湯凍">
      <formula>NOT(ISERROR(SEARCH("湯凍",A28)))</formula>
    </cfRule>
    <cfRule type="containsText" dxfId="198" priority="14" operator="containsText" text="中華">
      <formula>NOT(ISERROR(SEARCH("中華",A28)))</formula>
    </cfRule>
  </conditionalFormatting>
  <conditionalFormatting sqref="A28:A37">
    <cfRule type="containsText" dxfId="197" priority="7" operator="containsText" text="綠豆芽">
      <formula>NOT(ISERROR(SEARCH("綠豆芽",A28)))</formula>
    </cfRule>
    <cfRule type="containsText" dxfId="196" priority="8" operator="containsText" text="煮白細麵生(方#12)">
      <formula>NOT(ISERROR(SEARCH("煮白細麵生(方#12)",A28)))</formula>
    </cfRule>
  </conditionalFormatting>
  <conditionalFormatting sqref="H28:H37">
    <cfRule type="cellIs" dxfId="195" priority="6" operator="greaterThan">
      <formula>1.1</formula>
    </cfRule>
  </conditionalFormatting>
  <conditionalFormatting sqref="G5">
    <cfRule type="cellIs" dxfId="194" priority="1" operator="greaterThan">
      <formula>0.0025</formula>
    </cfRule>
    <cfRule type="cellIs" dxfId="193" priority="2" operator="greaterThan">
      <formula>0.0025</formula>
    </cfRule>
    <cfRule type="cellIs" dxfId="192" priority="4" operator="greaterThan">
      <formula>0.072</formula>
    </cfRule>
    <cfRule type="cellIs" dxfId="191" priority="5" operator="greaterThan">
      <formula>7.2</formula>
    </cfRule>
  </conditionalFormatting>
  <conditionalFormatting sqref="G5">
    <cfRule type="cellIs" dxfId="19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K24" zoomScale="70" zoomScaleNormal="70" workbookViewId="0">
      <selection activeCell="P33" sqref="P33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911" t="s">
        <v>92</v>
      </c>
      <c r="B2" s="912"/>
      <c r="C2" s="106" t="s">
        <v>93</v>
      </c>
      <c r="D2" s="913" t="s">
        <v>94</v>
      </c>
      <c r="E2" s="913"/>
      <c r="F2" s="913" t="s">
        <v>95</v>
      </c>
      <c r="G2" s="913"/>
      <c r="H2" s="913" t="s">
        <v>94</v>
      </c>
      <c r="I2" s="913"/>
      <c r="J2" s="913" t="s">
        <v>95</v>
      </c>
      <c r="K2" s="913"/>
      <c r="L2" s="913" t="s">
        <v>94</v>
      </c>
      <c r="M2" s="914"/>
      <c r="Q2" s="54"/>
    </row>
    <row r="3" spans="1:17" s="1" customFormat="1" ht="28.5" x14ac:dyDescent="0.45">
      <c r="A3" s="908">
        <v>45874</v>
      </c>
      <c r="B3" s="909"/>
      <c r="C3" s="910">
        <v>6182700.1500000004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908"/>
      <c r="B4" s="909"/>
      <c r="C4" s="910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906" t="s">
        <v>105</v>
      </c>
      <c r="B5" s="907"/>
      <c r="C5" s="907"/>
      <c r="D5" s="107">
        <v>15148.469999999996</v>
      </c>
      <c r="E5" s="5">
        <f>D5/C3</f>
        <v>2.4501382296535914E-3</v>
      </c>
      <c r="F5" s="107">
        <v>52860.810000000005</v>
      </c>
      <c r="G5" s="44">
        <f>F5/C3</f>
        <v>8.5497935719881235E-3</v>
      </c>
      <c r="H5" s="6">
        <f>SUM(C12:C21)</f>
        <v>6868.119999999999</v>
      </c>
      <c r="I5" s="7">
        <f>H5/D5</f>
        <v>0.45338704172764649</v>
      </c>
      <c r="J5" s="6">
        <f>SUM(C28:C37)</f>
        <v>32989.229999999996</v>
      </c>
      <c r="K5" s="46">
        <f>J5/F5</f>
        <v>0.62407727009858516</v>
      </c>
      <c r="L5" s="8">
        <v>7031.6699999999992</v>
      </c>
      <c r="M5" s="9">
        <f>L5/D5</f>
        <v>0.46418351160216187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275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127</v>
      </c>
      <c r="B8" s="447"/>
      <c r="C8" s="447"/>
      <c r="D8" s="447" t="s">
        <v>276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277</v>
      </c>
      <c r="P8" s="456" t="s">
        <v>278</v>
      </c>
      <c r="Q8" s="893" t="s">
        <v>279</v>
      </c>
    </row>
    <row r="9" spans="1:17" ht="20.45" customHeight="1" x14ac:dyDescent="0.25">
      <c r="A9" s="894" t="s">
        <v>224</v>
      </c>
      <c r="B9" s="461" t="s">
        <v>280</v>
      </c>
      <c r="C9" s="462"/>
      <c r="D9" s="463" t="s">
        <v>134</v>
      </c>
      <c r="E9" s="463"/>
      <c r="F9" s="463"/>
      <c r="G9" s="463"/>
      <c r="H9" s="463"/>
      <c r="I9" s="463"/>
      <c r="J9" s="464" t="s">
        <v>281</v>
      </c>
      <c r="K9" s="464"/>
      <c r="L9" s="464"/>
      <c r="M9" s="465"/>
      <c r="N9" s="465"/>
      <c r="O9" s="456"/>
      <c r="P9" s="456"/>
      <c r="Q9" s="893"/>
    </row>
    <row r="10" spans="1:17" ht="20.45" customHeight="1" x14ac:dyDescent="0.3">
      <c r="A10" s="895"/>
      <c r="B10" s="897" t="s">
        <v>282</v>
      </c>
      <c r="C10" s="899" t="s">
        <v>283</v>
      </c>
      <c r="D10" s="901" t="s">
        <v>284</v>
      </c>
      <c r="E10" s="901"/>
      <c r="F10" s="901"/>
      <c r="G10" s="901"/>
      <c r="H10" s="901"/>
      <c r="I10" s="901"/>
      <c r="J10" s="902" t="s">
        <v>285</v>
      </c>
      <c r="K10" s="904"/>
      <c r="L10" s="905" t="s">
        <v>286</v>
      </c>
      <c r="M10" s="902"/>
      <c r="N10" s="902"/>
      <c r="O10" s="456"/>
      <c r="P10" s="456"/>
      <c r="Q10" s="893"/>
    </row>
    <row r="11" spans="1:17" s="55" customFormat="1" ht="47.25" customHeight="1" x14ac:dyDescent="0.25">
      <c r="A11" s="896"/>
      <c r="B11" s="898"/>
      <c r="C11" s="900"/>
      <c r="D11" s="108" t="s">
        <v>287</v>
      </c>
      <c r="E11" s="108" t="s">
        <v>141</v>
      </c>
      <c r="F11" s="108" t="s">
        <v>142</v>
      </c>
      <c r="G11" s="108" t="s">
        <v>143</v>
      </c>
      <c r="H11" s="108" t="s">
        <v>288</v>
      </c>
      <c r="I11" s="108" t="s">
        <v>145</v>
      </c>
      <c r="J11" s="109" t="s">
        <v>289</v>
      </c>
      <c r="K11" s="109" t="s">
        <v>290</v>
      </c>
      <c r="L11" s="109" t="s">
        <v>146</v>
      </c>
      <c r="M11" s="109" t="s">
        <v>290</v>
      </c>
      <c r="N11" s="110" t="s">
        <v>291</v>
      </c>
      <c r="O11" s="456"/>
      <c r="P11" s="456"/>
      <c r="Q11" s="893"/>
    </row>
    <row r="12" spans="1:17" s="15" customFormat="1" ht="24.95" customHeight="1" x14ac:dyDescent="0.25">
      <c r="A12" s="111">
        <v>1</v>
      </c>
      <c r="B12" s="10" t="s">
        <v>33</v>
      </c>
      <c r="C12" s="33">
        <v>1953.6</v>
      </c>
      <c r="D12" s="56">
        <v>107.37</v>
      </c>
      <c r="E12" s="56">
        <v>119.83000000000001</v>
      </c>
      <c r="F12" s="56">
        <v>12</v>
      </c>
      <c r="G12" s="33">
        <v>203.5</v>
      </c>
      <c r="H12" s="11">
        <f t="shared" ref="H12:H21" si="0">(E12+F12)/D12</f>
        <v>1.2278103753376177</v>
      </c>
      <c r="I12" s="33">
        <v>4977.6099999999997</v>
      </c>
      <c r="J12" s="56">
        <v>9.6</v>
      </c>
      <c r="K12" s="12">
        <f t="shared" ref="K12:K21" si="1">J12/D12</f>
        <v>8.9410449846325776E-2</v>
      </c>
      <c r="L12" s="112">
        <f t="shared" ref="L12:L21" si="2">((E12+F12)-D12)-J12</f>
        <v>14.860000000000008</v>
      </c>
      <c r="M12" s="13">
        <f t="shared" ref="M12:M21" si="3">L12/D12</f>
        <v>0.13839992549129188</v>
      </c>
      <c r="N12" s="113">
        <f t="shared" ref="N12:N21" si="4">L12*G12</f>
        <v>3024.0100000000016</v>
      </c>
      <c r="O12" s="66" t="s">
        <v>21</v>
      </c>
      <c r="P12" s="66" t="s">
        <v>417</v>
      </c>
      <c r="Q12" s="28" t="s">
        <v>25</v>
      </c>
    </row>
    <row r="13" spans="1:17" s="15" customFormat="1" ht="24.95" customHeight="1" x14ac:dyDescent="0.25">
      <c r="A13" s="114">
        <v>2</v>
      </c>
      <c r="B13" s="10" t="s">
        <v>35</v>
      </c>
      <c r="C13" s="33">
        <v>1524.52</v>
      </c>
      <c r="D13" s="56">
        <v>91.66</v>
      </c>
      <c r="E13" s="56">
        <v>95.65</v>
      </c>
      <c r="F13" s="56">
        <v>8</v>
      </c>
      <c r="G13" s="33">
        <v>410.16</v>
      </c>
      <c r="H13" s="11">
        <f t="shared" si="0"/>
        <v>1.1308095134191578</v>
      </c>
      <c r="I13" s="33">
        <v>4917.82</v>
      </c>
      <c r="J13" s="56">
        <v>3.716900000000003</v>
      </c>
      <c r="K13" s="12">
        <f t="shared" si="1"/>
        <v>4.055094915993894E-2</v>
      </c>
      <c r="L13" s="112">
        <f t="shared" si="2"/>
        <v>8.2731000000000066</v>
      </c>
      <c r="M13" s="13">
        <f t="shared" si="3"/>
        <v>9.0258564259218924E-2</v>
      </c>
      <c r="N13" s="113">
        <f t="shared" si="4"/>
        <v>3393.2946960000031</v>
      </c>
      <c r="O13" s="66" t="s">
        <v>135</v>
      </c>
      <c r="P13" s="66" t="s">
        <v>416</v>
      </c>
      <c r="Q13" s="28" t="s">
        <v>25</v>
      </c>
    </row>
    <row r="14" spans="1:17" s="57" customFormat="1" ht="24.95" customHeight="1" x14ac:dyDescent="0.25">
      <c r="A14" s="114">
        <v>3</v>
      </c>
      <c r="B14" s="10" t="s">
        <v>26</v>
      </c>
      <c r="C14" s="33">
        <v>804.12</v>
      </c>
      <c r="D14" s="56">
        <v>32.840000000000003</v>
      </c>
      <c r="E14" s="56">
        <v>30.94</v>
      </c>
      <c r="F14" s="56">
        <v>11.1</v>
      </c>
      <c r="G14" s="33">
        <v>212.73</v>
      </c>
      <c r="H14" s="11">
        <f t="shared" si="0"/>
        <v>1.2801461632155906</v>
      </c>
      <c r="I14" s="33">
        <v>1957.12</v>
      </c>
      <c r="J14" s="56">
        <v>3.78</v>
      </c>
      <c r="K14" s="12">
        <f t="shared" si="1"/>
        <v>0.11510353227771009</v>
      </c>
      <c r="L14" s="112">
        <f t="shared" si="2"/>
        <v>5.4199999999999964</v>
      </c>
      <c r="M14" s="13">
        <f t="shared" si="3"/>
        <v>0.16504263093788052</v>
      </c>
      <c r="N14" s="113">
        <f t="shared" si="4"/>
        <v>1152.9965999999993</v>
      </c>
      <c r="O14" s="66" t="s">
        <v>20</v>
      </c>
      <c r="P14" s="66" t="s">
        <v>419</v>
      </c>
      <c r="Q14" s="28" t="s">
        <v>27</v>
      </c>
    </row>
    <row r="15" spans="1:17" s="15" customFormat="1" ht="24.95" customHeight="1" x14ac:dyDescent="0.25">
      <c r="A15" s="111">
        <v>4</v>
      </c>
      <c r="B15" s="10" t="s">
        <v>71</v>
      </c>
      <c r="C15" s="33">
        <v>464.65</v>
      </c>
      <c r="D15" s="56">
        <v>51.48</v>
      </c>
      <c r="E15" s="56">
        <v>60.09</v>
      </c>
      <c r="F15" s="56">
        <v>0</v>
      </c>
      <c r="G15" s="33">
        <v>148.44999999999999</v>
      </c>
      <c r="H15" s="11">
        <f t="shared" si="0"/>
        <v>1.1672494172494174</v>
      </c>
      <c r="I15" s="33">
        <v>1278.1500000000001</v>
      </c>
      <c r="J15" s="56">
        <v>3.13</v>
      </c>
      <c r="K15" s="12">
        <f t="shared" si="1"/>
        <v>6.08003108003108E-2</v>
      </c>
      <c r="L15" s="112">
        <f t="shared" si="2"/>
        <v>5.4800000000000066</v>
      </c>
      <c r="M15" s="13">
        <f t="shared" si="3"/>
        <v>0.10644910644910659</v>
      </c>
      <c r="N15" s="113">
        <f t="shared" si="4"/>
        <v>813.50600000000088</v>
      </c>
      <c r="O15" s="66" t="s">
        <v>20</v>
      </c>
      <c r="P15" s="66" t="s">
        <v>419</v>
      </c>
      <c r="Q15" s="28" t="s">
        <v>25</v>
      </c>
    </row>
    <row r="16" spans="1:17" s="57" customFormat="1" ht="24.95" customHeight="1" x14ac:dyDescent="0.25">
      <c r="A16" s="114">
        <v>5</v>
      </c>
      <c r="B16" s="10" t="s">
        <v>86</v>
      </c>
      <c r="C16" s="33">
        <v>407.72</v>
      </c>
      <c r="D16" s="56">
        <v>27.14</v>
      </c>
      <c r="E16" s="56">
        <v>33.159999999999997</v>
      </c>
      <c r="F16" s="56">
        <v>0</v>
      </c>
      <c r="G16" s="33">
        <v>169.32</v>
      </c>
      <c r="H16" s="11">
        <f t="shared" si="0"/>
        <v>1.2218128224023579</v>
      </c>
      <c r="I16" s="33">
        <v>1019.31</v>
      </c>
      <c r="J16" s="56">
        <v>2.4079999999999986</v>
      </c>
      <c r="K16" s="12">
        <f t="shared" si="1"/>
        <v>8.87251289609432E-2</v>
      </c>
      <c r="L16" s="112">
        <f t="shared" si="2"/>
        <v>3.6119999999999974</v>
      </c>
      <c r="M16" s="13">
        <f t="shared" si="3"/>
        <v>0.1330876934414148</v>
      </c>
      <c r="N16" s="113">
        <f t="shared" si="4"/>
        <v>611.58383999999955</v>
      </c>
      <c r="O16" s="66" t="s">
        <v>20</v>
      </c>
      <c r="P16" s="66" t="s">
        <v>426</v>
      </c>
      <c r="Q16" s="28" t="s">
        <v>25</v>
      </c>
    </row>
    <row r="17" spans="1:17" s="15" customFormat="1" ht="24.95" customHeight="1" x14ac:dyDescent="0.25">
      <c r="A17" s="111">
        <v>6</v>
      </c>
      <c r="B17" s="10" t="s">
        <v>58</v>
      </c>
      <c r="C17" s="33">
        <v>376.57</v>
      </c>
      <c r="D17" s="56">
        <v>63.63</v>
      </c>
      <c r="E17" s="56">
        <v>65.709999999999994</v>
      </c>
      <c r="F17" s="56">
        <v>1.75</v>
      </c>
      <c r="G17" s="33">
        <v>365.6</v>
      </c>
      <c r="H17" s="11">
        <f t="shared" si="0"/>
        <v>1.06019173345906</v>
      </c>
      <c r="I17" s="33">
        <v>1400.25</v>
      </c>
      <c r="J17" s="56">
        <v>1.03</v>
      </c>
      <c r="K17" s="12">
        <f t="shared" si="1"/>
        <v>1.6187333019016186E-2</v>
      </c>
      <c r="L17" s="112">
        <f t="shared" si="2"/>
        <v>2.7999999999999909</v>
      </c>
      <c r="M17" s="13">
        <f t="shared" si="3"/>
        <v>4.4004400440043862E-2</v>
      </c>
      <c r="N17" s="113">
        <f t="shared" si="4"/>
        <v>1023.6799999999968</v>
      </c>
      <c r="O17" s="66" t="s">
        <v>135</v>
      </c>
      <c r="P17" s="66" t="s">
        <v>428</v>
      </c>
      <c r="Q17" s="28" t="s">
        <v>57</v>
      </c>
    </row>
    <row r="18" spans="1:17" s="57" customFormat="1" ht="24.95" customHeight="1" x14ac:dyDescent="0.25">
      <c r="A18" s="114">
        <v>7</v>
      </c>
      <c r="B18" s="10" t="s">
        <v>38</v>
      </c>
      <c r="C18" s="33">
        <v>352.87</v>
      </c>
      <c r="D18" s="56">
        <v>226</v>
      </c>
      <c r="E18" s="56">
        <v>209.85</v>
      </c>
      <c r="F18" s="56">
        <v>24.5</v>
      </c>
      <c r="G18" s="33">
        <v>99.12</v>
      </c>
      <c r="H18" s="11">
        <f t="shared" si="0"/>
        <v>1.0369469026548672</v>
      </c>
      <c r="I18" s="33">
        <v>827.65</v>
      </c>
      <c r="J18" s="56">
        <v>3.56</v>
      </c>
      <c r="K18" s="12">
        <f t="shared" si="1"/>
        <v>1.5752212389380533E-2</v>
      </c>
      <c r="L18" s="112">
        <f t="shared" si="2"/>
        <v>4.7899999999999938</v>
      </c>
      <c r="M18" s="13">
        <f t="shared" si="3"/>
        <v>2.1194690265486697E-2</v>
      </c>
      <c r="N18" s="113">
        <f t="shared" si="4"/>
        <v>474.78479999999939</v>
      </c>
      <c r="O18" s="66" t="s">
        <v>135</v>
      </c>
      <c r="P18" s="66" t="s">
        <v>416</v>
      </c>
      <c r="Q18" s="28" t="s">
        <v>25</v>
      </c>
    </row>
    <row r="19" spans="1:17" s="15" customFormat="1" ht="24.95" customHeight="1" x14ac:dyDescent="0.25">
      <c r="A19" s="111">
        <v>8</v>
      </c>
      <c r="B19" s="10" t="s">
        <v>107</v>
      </c>
      <c r="C19" s="33">
        <v>337.83</v>
      </c>
      <c r="D19" s="56">
        <v>210.84</v>
      </c>
      <c r="E19" s="56">
        <v>219.59</v>
      </c>
      <c r="F19" s="56">
        <v>0</v>
      </c>
      <c r="G19" s="33">
        <v>166.42</v>
      </c>
      <c r="H19" s="11">
        <f t="shared" si="0"/>
        <v>1.0415006640106241</v>
      </c>
      <c r="I19" s="33">
        <v>1456.18</v>
      </c>
      <c r="J19" s="56">
        <v>2.0299999999999998</v>
      </c>
      <c r="K19" s="12">
        <f t="shared" si="1"/>
        <v>9.6281540504648058E-3</v>
      </c>
      <c r="L19" s="112">
        <f t="shared" si="2"/>
        <v>6.7200000000000006</v>
      </c>
      <c r="M19" s="13">
        <f t="shared" si="3"/>
        <v>3.1872509960159362E-2</v>
      </c>
      <c r="N19" s="113">
        <f t="shared" si="4"/>
        <v>1118.3424</v>
      </c>
      <c r="O19" s="66" t="s">
        <v>20</v>
      </c>
      <c r="P19" s="66" t="s">
        <v>419</v>
      </c>
      <c r="Q19" s="28" t="s">
        <v>106</v>
      </c>
    </row>
    <row r="20" spans="1:17" s="15" customFormat="1" ht="24.95" customHeight="1" x14ac:dyDescent="0.25">
      <c r="A20" s="114">
        <v>9</v>
      </c>
      <c r="B20" s="10" t="s">
        <v>123</v>
      </c>
      <c r="C20" s="33">
        <v>329.2</v>
      </c>
      <c r="D20" s="56">
        <v>12.08</v>
      </c>
      <c r="E20" s="56">
        <v>12.66</v>
      </c>
      <c r="F20" s="56">
        <v>0</v>
      </c>
      <c r="G20" s="33">
        <v>1567.63</v>
      </c>
      <c r="H20" s="11">
        <f t="shared" si="0"/>
        <v>1.0480132450331126</v>
      </c>
      <c r="I20" s="33">
        <v>909.23</v>
      </c>
      <c r="J20" s="56">
        <v>0.21</v>
      </c>
      <c r="K20" s="12">
        <f t="shared" si="1"/>
        <v>1.7384105960264899E-2</v>
      </c>
      <c r="L20" s="112">
        <f t="shared" si="2"/>
        <v>0.37000000000000011</v>
      </c>
      <c r="M20" s="13">
        <f t="shared" si="3"/>
        <v>3.0629139072847689E-2</v>
      </c>
      <c r="N20" s="113">
        <f t="shared" si="4"/>
        <v>580.02310000000023</v>
      </c>
      <c r="O20" s="66" t="s">
        <v>135</v>
      </c>
      <c r="P20" s="66" t="s">
        <v>428</v>
      </c>
      <c r="Q20" s="28" t="s">
        <v>122</v>
      </c>
    </row>
    <row r="21" spans="1:17" s="15" customFormat="1" ht="24.95" customHeight="1" thickBot="1" x14ac:dyDescent="0.3">
      <c r="A21" s="115">
        <v>10</v>
      </c>
      <c r="B21" s="16" t="s">
        <v>53</v>
      </c>
      <c r="C21" s="34">
        <v>317.04000000000002</v>
      </c>
      <c r="D21" s="58">
        <v>72.930000000000007</v>
      </c>
      <c r="E21" s="58">
        <v>75.040000000000006</v>
      </c>
      <c r="F21" s="58">
        <v>0</v>
      </c>
      <c r="G21" s="34">
        <v>333.9</v>
      </c>
      <c r="H21" s="17">
        <f t="shared" si="0"/>
        <v>1.0289318524612643</v>
      </c>
      <c r="I21" s="34">
        <v>704.53</v>
      </c>
      <c r="J21" s="58">
        <v>0.94949999999999979</v>
      </c>
      <c r="K21" s="18">
        <f t="shared" si="1"/>
        <v>1.3019333607568897E-2</v>
      </c>
      <c r="L21" s="116">
        <f t="shared" si="2"/>
        <v>1.1604999999999996</v>
      </c>
      <c r="M21" s="19">
        <f t="shared" si="3"/>
        <v>1.5912518853695316E-2</v>
      </c>
      <c r="N21" s="117">
        <f t="shared" si="4"/>
        <v>387.49094999999983</v>
      </c>
      <c r="O21" s="66" t="s">
        <v>135</v>
      </c>
      <c r="P21" s="66" t="s">
        <v>428</v>
      </c>
      <c r="Q21" s="29" t="s">
        <v>78</v>
      </c>
    </row>
    <row r="22" spans="1:17" s="62" customFormat="1" ht="24.95" customHeight="1" thickBot="1" x14ac:dyDescent="0.3">
      <c r="A22" s="118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19"/>
      <c r="M22" s="30"/>
      <c r="N22" s="120"/>
      <c r="O22" s="61"/>
      <c r="P22" s="61"/>
      <c r="Q22" s="59"/>
    </row>
    <row r="23" spans="1:17" s="62" customFormat="1" ht="40.5" customHeight="1" x14ac:dyDescent="0.25">
      <c r="A23" s="443" t="s">
        <v>292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293</v>
      </c>
      <c r="B24" s="447"/>
      <c r="C24" s="447"/>
      <c r="D24" s="447" t="s">
        <v>294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277</v>
      </c>
      <c r="P24" s="456" t="s">
        <v>278</v>
      </c>
      <c r="Q24" s="893" t="s">
        <v>279</v>
      </c>
    </row>
    <row r="25" spans="1:17" s="62" customFormat="1" ht="24.95" customHeight="1" x14ac:dyDescent="0.25">
      <c r="A25" s="894" t="s">
        <v>224</v>
      </c>
      <c r="B25" s="461" t="s">
        <v>225</v>
      </c>
      <c r="C25" s="462"/>
      <c r="D25" s="463" t="s">
        <v>295</v>
      </c>
      <c r="E25" s="463"/>
      <c r="F25" s="463"/>
      <c r="G25" s="463"/>
      <c r="H25" s="463"/>
      <c r="I25" s="463"/>
      <c r="J25" s="464" t="s">
        <v>296</v>
      </c>
      <c r="K25" s="464"/>
      <c r="L25" s="464"/>
      <c r="M25" s="465"/>
      <c r="N25" s="465"/>
      <c r="O25" s="456"/>
      <c r="P25" s="456"/>
      <c r="Q25" s="893"/>
    </row>
    <row r="26" spans="1:17" s="62" customFormat="1" ht="24.95" customHeight="1" x14ac:dyDescent="0.3">
      <c r="A26" s="895"/>
      <c r="B26" s="897" t="s">
        <v>282</v>
      </c>
      <c r="C26" s="899" t="s">
        <v>158</v>
      </c>
      <c r="D26" s="901" t="s">
        <v>284</v>
      </c>
      <c r="E26" s="901"/>
      <c r="F26" s="901"/>
      <c r="G26" s="901"/>
      <c r="H26" s="901"/>
      <c r="I26" s="901"/>
      <c r="J26" s="902" t="s">
        <v>297</v>
      </c>
      <c r="K26" s="903"/>
      <c r="L26" s="904"/>
      <c r="M26" s="902" t="s">
        <v>298</v>
      </c>
      <c r="N26" s="904"/>
      <c r="O26" s="456"/>
      <c r="P26" s="456"/>
      <c r="Q26" s="893"/>
    </row>
    <row r="27" spans="1:17" s="62" customFormat="1" ht="50.1" customHeight="1" x14ac:dyDescent="0.25">
      <c r="A27" s="896"/>
      <c r="B27" s="898"/>
      <c r="C27" s="900"/>
      <c r="D27" s="108" t="s">
        <v>287</v>
      </c>
      <c r="E27" s="108" t="s">
        <v>299</v>
      </c>
      <c r="F27" s="108" t="s">
        <v>142</v>
      </c>
      <c r="G27" s="108" t="s">
        <v>300</v>
      </c>
      <c r="H27" s="108" t="s">
        <v>288</v>
      </c>
      <c r="I27" s="108" t="s">
        <v>301</v>
      </c>
      <c r="J27" s="109" t="s">
        <v>289</v>
      </c>
      <c r="K27" s="109" t="s">
        <v>147</v>
      </c>
      <c r="L27" s="110" t="s">
        <v>291</v>
      </c>
      <c r="M27" s="109" t="s">
        <v>289</v>
      </c>
      <c r="N27" s="109" t="s">
        <v>290</v>
      </c>
      <c r="O27" s="456"/>
      <c r="P27" s="456"/>
      <c r="Q27" s="893"/>
    </row>
    <row r="28" spans="1:17" s="62" customFormat="1" ht="24.95" customHeight="1" x14ac:dyDescent="0.25">
      <c r="A28" s="111">
        <v>1</v>
      </c>
      <c r="B28" s="10" t="s">
        <v>55</v>
      </c>
      <c r="C28" s="33">
        <v>8763.66</v>
      </c>
      <c r="D28" s="56">
        <v>96.81</v>
      </c>
      <c r="E28" s="56">
        <v>111.78999999999999</v>
      </c>
      <c r="F28" s="56">
        <v>12.4</v>
      </c>
      <c r="G28" s="33">
        <v>331.58</v>
      </c>
      <c r="H28" s="35">
        <f t="shared" ref="H28:H37" si="5">(E28+F28)/D28</f>
        <v>1.2828220225183349</v>
      </c>
      <c r="I28" s="33">
        <v>9078.66</v>
      </c>
      <c r="J28" s="56">
        <v>0.95</v>
      </c>
      <c r="K28" s="12">
        <f t="shared" ref="K28:K37" si="6">J28/D28</f>
        <v>9.813035843404606E-3</v>
      </c>
      <c r="L28" s="113">
        <f t="shared" ref="L28:L37" si="7">J28*G28</f>
        <v>315.00099999999998</v>
      </c>
      <c r="M28" s="112">
        <f t="shared" ref="M28:M37" si="8">((E28+F28)-D28)-J28</f>
        <v>26.429999999999996</v>
      </c>
      <c r="N28" s="13">
        <f t="shared" ref="N28:N37" si="9">M28/D28</f>
        <v>0.27300898667493023</v>
      </c>
      <c r="O28" s="69" t="s">
        <v>79</v>
      </c>
      <c r="P28" s="14" t="s">
        <v>67</v>
      </c>
      <c r="Q28" s="28" t="s">
        <v>74</v>
      </c>
    </row>
    <row r="29" spans="1:17" s="62" customFormat="1" ht="24.75" customHeight="1" x14ac:dyDescent="0.25">
      <c r="A29" s="114">
        <v>2</v>
      </c>
      <c r="B29" s="10" t="s">
        <v>35</v>
      </c>
      <c r="C29" s="33">
        <v>3393.2999999999997</v>
      </c>
      <c r="D29" s="56">
        <v>91.66</v>
      </c>
      <c r="E29" s="56">
        <v>95.65</v>
      </c>
      <c r="F29" s="56">
        <v>8</v>
      </c>
      <c r="G29" s="33">
        <v>410.16</v>
      </c>
      <c r="H29" s="35">
        <f t="shared" si="5"/>
        <v>1.1308095134191578</v>
      </c>
      <c r="I29" s="33">
        <v>4917.82</v>
      </c>
      <c r="J29" s="56">
        <v>3.716900000000003</v>
      </c>
      <c r="K29" s="12">
        <f t="shared" si="6"/>
        <v>4.055094915993894E-2</v>
      </c>
      <c r="L29" s="113">
        <f t="shared" si="7"/>
        <v>1524.5237040000013</v>
      </c>
      <c r="M29" s="112">
        <f t="shared" si="8"/>
        <v>8.2731000000000066</v>
      </c>
      <c r="N29" s="13">
        <f t="shared" si="9"/>
        <v>9.0258564259218924E-2</v>
      </c>
      <c r="O29" s="69" t="s">
        <v>411</v>
      </c>
      <c r="P29" s="14" t="s">
        <v>67</v>
      </c>
      <c r="Q29" s="28" t="s">
        <v>25</v>
      </c>
    </row>
    <row r="30" spans="1:17" s="62" customFormat="1" ht="24.95" customHeight="1" x14ac:dyDescent="0.25">
      <c r="A30" s="114">
        <v>3</v>
      </c>
      <c r="B30" s="10" t="s">
        <v>45</v>
      </c>
      <c r="C30" s="33">
        <v>3094.07</v>
      </c>
      <c r="D30" s="56">
        <v>81.22</v>
      </c>
      <c r="E30" s="56">
        <v>84.53</v>
      </c>
      <c r="F30" s="56">
        <v>7.4</v>
      </c>
      <c r="G30" s="33">
        <v>318.32</v>
      </c>
      <c r="H30" s="35">
        <f t="shared" si="5"/>
        <v>1.1318640728884513</v>
      </c>
      <c r="I30" s="33">
        <v>3409.21</v>
      </c>
      <c r="J30" s="32">
        <v>0.99</v>
      </c>
      <c r="K30" s="12">
        <f t="shared" si="6"/>
        <v>1.2189115981285397E-2</v>
      </c>
      <c r="L30" s="113">
        <f t="shared" si="7"/>
        <v>315.13679999999999</v>
      </c>
      <c r="M30" s="112">
        <f t="shared" si="8"/>
        <v>9.7200000000000077</v>
      </c>
      <c r="N30" s="13">
        <f t="shared" si="9"/>
        <v>0.11967495690716581</v>
      </c>
      <c r="O30" s="69" t="s">
        <v>79</v>
      </c>
      <c r="P30" s="14" t="s">
        <v>67</v>
      </c>
      <c r="Q30" s="28" t="s">
        <v>76</v>
      </c>
    </row>
    <row r="31" spans="1:17" s="62" customFormat="1" ht="24.95" customHeight="1" x14ac:dyDescent="0.25">
      <c r="A31" s="111">
        <v>4</v>
      </c>
      <c r="B31" s="10" t="s">
        <v>33</v>
      </c>
      <c r="C31" s="33">
        <v>3024.0099999999998</v>
      </c>
      <c r="D31" s="56">
        <v>107.37</v>
      </c>
      <c r="E31" s="56">
        <v>119.83000000000001</v>
      </c>
      <c r="F31" s="56">
        <v>12</v>
      </c>
      <c r="G31" s="33">
        <v>203.5</v>
      </c>
      <c r="H31" s="35">
        <f t="shared" si="5"/>
        <v>1.2278103753376177</v>
      </c>
      <c r="I31" s="33">
        <v>4977.6099999999997</v>
      </c>
      <c r="J31" s="56">
        <v>9.6</v>
      </c>
      <c r="K31" s="12">
        <f t="shared" si="6"/>
        <v>8.9410449846325776E-2</v>
      </c>
      <c r="L31" s="113">
        <f t="shared" si="7"/>
        <v>1953.6</v>
      </c>
      <c r="M31" s="112">
        <f t="shared" si="8"/>
        <v>14.860000000000008</v>
      </c>
      <c r="N31" s="13">
        <f t="shared" si="9"/>
        <v>0.13839992549129188</v>
      </c>
      <c r="O31" s="69" t="s">
        <v>18</v>
      </c>
      <c r="P31" s="14" t="s">
        <v>65</v>
      </c>
      <c r="Q31" s="28" t="s">
        <v>25</v>
      </c>
    </row>
    <row r="32" spans="1:17" s="62" customFormat="1" ht="24.95" customHeight="1" x14ac:dyDescent="0.25">
      <c r="A32" s="114">
        <v>5</v>
      </c>
      <c r="B32" s="10" t="s">
        <v>117</v>
      </c>
      <c r="C32" s="33">
        <v>2846.7999999999997</v>
      </c>
      <c r="D32" s="56">
        <v>112.95</v>
      </c>
      <c r="E32" s="56">
        <v>129.71</v>
      </c>
      <c r="F32" s="56">
        <v>12</v>
      </c>
      <c r="G32" s="33">
        <v>110</v>
      </c>
      <c r="H32" s="35">
        <f t="shared" si="5"/>
        <v>1.2546259406817175</v>
      </c>
      <c r="I32" s="33">
        <v>3163.6</v>
      </c>
      <c r="J32" s="56">
        <v>2.88</v>
      </c>
      <c r="K32" s="12">
        <f t="shared" si="6"/>
        <v>2.5498007968127488E-2</v>
      </c>
      <c r="L32" s="113">
        <f t="shared" si="7"/>
        <v>316.8</v>
      </c>
      <c r="M32" s="112">
        <f t="shared" si="8"/>
        <v>25.880000000000006</v>
      </c>
      <c r="N32" s="13">
        <f t="shared" si="9"/>
        <v>0.22912793271359014</v>
      </c>
      <c r="O32" s="69" t="s">
        <v>18</v>
      </c>
      <c r="P32" s="14" t="s">
        <v>412</v>
      </c>
      <c r="Q32" s="28" t="s">
        <v>302</v>
      </c>
    </row>
    <row r="33" spans="1:17" s="62" customFormat="1" ht="24.95" customHeight="1" x14ac:dyDescent="0.25">
      <c r="A33" s="111">
        <v>6</v>
      </c>
      <c r="B33" s="10" t="s">
        <v>116</v>
      </c>
      <c r="C33" s="33">
        <v>2762.4399999999996</v>
      </c>
      <c r="D33" s="56">
        <v>45.18</v>
      </c>
      <c r="E33" s="56">
        <v>53.819999999999993</v>
      </c>
      <c r="F33" s="56">
        <v>12</v>
      </c>
      <c r="G33" s="33">
        <v>149.16</v>
      </c>
      <c r="H33" s="35">
        <f t="shared" si="5"/>
        <v>1.4568393094289507</v>
      </c>
      <c r="I33" s="33">
        <v>3078.66</v>
      </c>
      <c r="J33" s="56">
        <v>2.12</v>
      </c>
      <c r="K33" s="12">
        <f t="shared" si="6"/>
        <v>4.6923417441345733E-2</v>
      </c>
      <c r="L33" s="113">
        <f t="shared" si="7"/>
        <v>316.2192</v>
      </c>
      <c r="M33" s="112">
        <f t="shared" si="8"/>
        <v>18.519999999999992</v>
      </c>
      <c r="N33" s="13">
        <f t="shared" si="9"/>
        <v>0.40991589198760497</v>
      </c>
      <c r="O33" s="69" t="s">
        <v>413</v>
      </c>
      <c r="P33" s="14" t="s">
        <v>414</v>
      </c>
      <c r="Q33" s="28" t="s">
        <v>302</v>
      </c>
    </row>
    <row r="34" spans="1:17" s="62" customFormat="1" ht="24.95" customHeight="1" x14ac:dyDescent="0.25">
      <c r="A34" s="114">
        <v>7</v>
      </c>
      <c r="B34" s="10" t="s">
        <v>41</v>
      </c>
      <c r="C34" s="33">
        <v>2739.1000000000004</v>
      </c>
      <c r="D34" s="56">
        <v>142.05000000000001</v>
      </c>
      <c r="E34" s="56">
        <v>159.43</v>
      </c>
      <c r="F34" s="56">
        <v>6.6</v>
      </c>
      <c r="G34" s="33">
        <v>127.4</v>
      </c>
      <c r="H34" s="35">
        <f t="shared" si="5"/>
        <v>1.1688137979584652</v>
      </c>
      <c r="I34" s="33">
        <v>3055.05</v>
      </c>
      <c r="J34" s="56">
        <v>2.48</v>
      </c>
      <c r="K34" s="12">
        <f t="shared" si="6"/>
        <v>1.7458641323477648E-2</v>
      </c>
      <c r="L34" s="113">
        <f t="shared" si="7"/>
        <v>315.952</v>
      </c>
      <c r="M34" s="112">
        <f t="shared" si="8"/>
        <v>21.499999999999989</v>
      </c>
      <c r="N34" s="13">
        <f t="shared" si="9"/>
        <v>0.15135515663498758</v>
      </c>
      <c r="O34" s="69" t="s">
        <v>22</v>
      </c>
      <c r="P34" s="14" t="s">
        <v>109</v>
      </c>
      <c r="Q34" s="28" t="s">
        <v>25</v>
      </c>
    </row>
    <row r="35" spans="1:17" s="62" customFormat="1" ht="24.95" customHeight="1" x14ac:dyDescent="0.25">
      <c r="A35" s="111">
        <v>8</v>
      </c>
      <c r="B35" s="10" t="s">
        <v>42</v>
      </c>
      <c r="C35" s="33">
        <v>2672.8</v>
      </c>
      <c r="D35" s="56">
        <v>68.75</v>
      </c>
      <c r="E35" s="56">
        <v>75.48</v>
      </c>
      <c r="F35" s="56">
        <v>12</v>
      </c>
      <c r="G35" s="33">
        <v>159.57</v>
      </c>
      <c r="H35" s="35">
        <f t="shared" si="5"/>
        <v>1.2724363636363636</v>
      </c>
      <c r="I35" s="33">
        <v>2988.75</v>
      </c>
      <c r="J35" s="56">
        <v>1.98</v>
      </c>
      <c r="K35" s="12">
        <f t="shared" si="6"/>
        <v>2.8799999999999999E-2</v>
      </c>
      <c r="L35" s="113">
        <f t="shared" si="7"/>
        <v>315.9486</v>
      </c>
      <c r="M35" s="112">
        <f t="shared" si="8"/>
        <v>16.750000000000004</v>
      </c>
      <c r="N35" s="13">
        <f t="shared" si="9"/>
        <v>0.24363636363636368</v>
      </c>
      <c r="O35" s="69" t="s">
        <v>22</v>
      </c>
      <c r="P35" s="14" t="s">
        <v>109</v>
      </c>
      <c r="Q35" s="28" t="s">
        <v>25</v>
      </c>
    </row>
    <row r="36" spans="1:17" s="62" customFormat="1" ht="24.95" customHeight="1" x14ac:dyDescent="0.25">
      <c r="A36" s="114">
        <v>9</v>
      </c>
      <c r="B36" s="10" t="s">
        <v>31</v>
      </c>
      <c r="C36" s="33">
        <v>2540.0499999999997</v>
      </c>
      <c r="D36" s="56">
        <v>58.59</v>
      </c>
      <c r="E36" s="56">
        <v>64.48</v>
      </c>
      <c r="F36" s="56">
        <v>4.3499999999999996</v>
      </c>
      <c r="G36" s="33">
        <v>278.82</v>
      </c>
      <c r="H36" s="35">
        <f t="shared" si="5"/>
        <v>1.174773852193207</v>
      </c>
      <c r="I36" s="33">
        <v>2855.12</v>
      </c>
      <c r="J36" s="56">
        <v>1.1299999999999999</v>
      </c>
      <c r="K36" s="12">
        <f t="shared" si="6"/>
        <v>1.9286567673664445E-2</v>
      </c>
      <c r="L36" s="113">
        <f t="shared" si="7"/>
        <v>315.06659999999994</v>
      </c>
      <c r="M36" s="112">
        <f t="shared" si="8"/>
        <v>9.1099999999999959</v>
      </c>
      <c r="N36" s="13">
        <f t="shared" si="9"/>
        <v>0.1554872845195425</v>
      </c>
      <c r="O36" s="69" t="s">
        <v>18</v>
      </c>
      <c r="P36" s="14" t="s">
        <v>65</v>
      </c>
      <c r="Q36" s="28" t="s">
        <v>25</v>
      </c>
    </row>
    <row r="37" spans="1:17" s="62" customFormat="1" ht="24.95" customHeight="1" thickBot="1" x14ac:dyDescent="0.3">
      <c r="A37" s="115">
        <v>10</v>
      </c>
      <c r="B37" s="16" t="s">
        <v>26</v>
      </c>
      <c r="C37" s="34">
        <v>1153</v>
      </c>
      <c r="D37" s="58">
        <v>32.840000000000003</v>
      </c>
      <c r="E37" s="58">
        <v>30.94</v>
      </c>
      <c r="F37" s="58">
        <v>11.1</v>
      </c>
      <c r="G37" s="34">
        <v>212.73</v>
      </c>
      <c r="H37" s="36">
        <f t="shared" si="5"/>
        <v>1.2801461632155906</v>
      </c>
      <c r="I37" s="34">
        <v>1957.12</v>
      </c>
      <c r="J37" s="58">
        <v>3.78</v>
      </c>
      <c r="K37" s="18">
        <f t="shared" si="6"/>
        <v>0.11510353227771009</v>
      </c>
      <c r="L37" s="117">
        <f t="shared" si="7"/>
        <v>804.11939999999993</v>
      </c>
      <c r="M37" s="116">
        <f t="shared" si="8"/>
        <v>5.4199999999999964</v>
      </c>
      <c r="N37" s="19">
        <f t="shared" si="9"/>
        <v>0.16504263093788052</v>
      </c>
      <c r="O37" s="52" t="s">
        <v>22</v>
      </c>
      <c r="P37" s="20" t="s">
        <v>109</v>
      </c>
      <c r="Q37" s="65" t="s">
        <v>27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303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293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890" t="s">
        <v>304</v>
      </c>
      <c r="B41" s="450" t="s">
        <v>280</v>
      </c>
      <c r="C41" s="450"/>
      <c r="D41" s="451"/>
      <c r="E41" s="23"/>
      <c r="G41" s="21"/>
      <c r="H41" s="22"/>
    </row>
    <row r="42" spans="1:17" ht="20.45" customHeight="1" x14ac:dyDescent="0.35">
      <c r="A42" s="890"/>
      <c r="B42" s="891" t="s">
        <v>282</v>
      </c>
      <c r="C42" s="892" t="s">
        <v>283</v>
      </c>
      <c r="D42" s="893" t="s">
        <v>215</v>
      </c>
      <c r="E42" s="23"/>
      <c r="G42" s="21"/>
      <c r="H42" s="22"/>
    </row>
    <row r="43" spans="1:17" ht="20.45" customHeight="1" x14ac:dyDescent="0.35">
      <c r="A43" s="890"/>
      <c r="B43" s="891"/>
      <c r="C43" s="892"/>
      <c r="D43" s="893"/>
      <c r="E43" s="23"/>
      <c r="G43" s="21"/>
      <c r="H43" s="22"/>
    </row>
    <row r="44" spans="1:17" s="26" customFormat="1" ht="24.95" customHeight="1" x14ac:dyDescent="0.35">
      <c r="A44" s="121">
        <v>1</v>
      </c>
      <c r="B44" s="10" t="s">
        <v>33</v>
      </c>
      <c r="C44" s="33">
        <v>1953.6</v>
      </c>
      <c r="D44" s="24">
        <f t="shared" ref="D44:D53" si="10">C44/$L$5</f>
        <v>0.27782873769673494</v>
      </c>
      <c r="E44" s="25"/>
      <c r="G44" s="21"/>
      <c r="H44" s="22"/>
    </row>
    <row r="45" spans="1:17" s="26" customFormat="1" ht="24.95" customHeight="1" x14ac:dyDescent="0.35">
      <c r="A45" s="122">
        <v>2</v>
      </c>
      <c r="B45" s="10" t="s">
        <v>35</v>
      </c>
      <c r="C45" s="33">
        <v>1524.52</v>
      </c>
      <c r="D45" s="24">
        <f t="shared" si="10"/>
        <v>0.21680767157730668</v>
      </c>
      <c r="E45" s="25"/>
      <c r="G45" s="21"/>
      <c r="H45" s="22"/>
    </row>
    <row r="46" spans="1:17" s="26" customFormat="1" ht="24.95" customHeight="1" x14ac:dyDescent="0.35">
      <c r="A46" s="122">
        <v>3</v>
      </c>
      <c r="B46" s="10" t="s">
        <v>71</v>
      </c>
      <c r="C46" s="33">
        <v>464.65</v>
      </c>
      <c r="D46" s="24">
        <f t="shared" si="10"/>
        <v>6.6079608400280446E-2</v>
      </c>
      <c r="E46" s="25"/>
      <c r="G46" s="21"/>
      <c r="H46" s="22"/>
    </row>
    <row r="47" spans="1:17" s="26" customFormat="1" ht="24.95" customHeight="1" x14ac:dyDescent="0.35">
      <c r="A47" s="121">
        <v>4</v>
      </c>
      <c r="B47" s="10" t="s">
        <v>86</v>
      </c>
      <c r="C47" s="33">
        <v>407.72</v>
      </c>
      <c r="D47" s="24">
        <f t="shared" si="10"/>
        <v>5.7983380903825134E-2</v>
      </c>
      <c r="E47" s="25"/>
      <c r="G47" s="21"/>
      <c r="H47" s="22"/>
    </row>
    <row r="48" spans="1:17" s="26" customFormat="1" ht="24.95" customHeight="1" x14ac:dyDescent="0.35">
      <c r="A48" s="122">
        <v>5</v>
      </c>
      <c r="B48" s="10" t="s">
        <v>38</v>
      </c>
      <c r="C48" s="33">
        <v>352.87</v>
      </c>
      <c r="D48" s="24">
        <f t="shared" si="10"/>
        <v>5.0182957960200072E-2</v>
      </c>
      <c r="E48" s="25"/>
      <c r="G48" s="21"/>
      <c r="H48" s="22"/>
    </row>
    <row r="49" spans="1:5" s="26" customFormat="1" ht="24.95" customHeight="1" x14ac:dyDescent="0.25">
      <c r="A49" s="121">
        <v>6</v>
      </c>
      <c r="B49" s="10" t="s">
        <v>41</v>
      </c>
      <c r="C49" s="33">
        <v>315.95</v>
      </c>
      <c r="D49" s="24">
        <f t="shared" si="10"/>
        <v>4.4932427147462838E-2</v>
      </c>
      <c r="E49" s="25"/>
    </row>
    <row r="50" spans="1:5" s="26" customFormat="1" ht="24.95" customHeight="1" x14ac:dyDescent="0.25">
      <c r="A50" s="122">
        <v>7</v>
      </c>
      <c r="B50" s="10" t="s">
        <v>42</v>
      </c>
      <c r="C50" s="33">
        <v>315.95</v>
      </c>
      <c r="D50" s="24">
        <f t="shared" si="10"/>
        <v>4.4932427147462838E-2</v>
      </c>
      <c r="E50" s="25"/>
    </row>
    <row r="51" spans="1:5" s="26" customFormat="1" ht="24.95" customHeight="1" x14ac:dyDescent="0.25">
      <c r="A51" s="121">
        <v>8</v>
      </c>
      <c r="B51" s="10" t="s">
        <v>31</v>
      </c>
      <c r="C51" s="33">
        <v>315.07</v>
      </c>
      <c r="D51" s="24">
        <f t="shared" si="10"/>
        <v>4.4807279067419263E-2</v>
      </c>
      <c r="E51" s="25"/>
    </row>
    <row r="52" spans="1:5" s="26" customFormat="1" ht="24.95" customHeight="1" x14ac:dyDescent="0.25">
      <c r="A52" s="122">
        <v>9</v>
      </c>
      <c r="B52" s="10" t="s">
        <v>60</v>
      </c>
      <c r="C52" s="33">
        <v>255.45</v>
      </c>
      <c r="D52" s="24">
        <f t="shared" si="10"/>
        <v>3.6328496644467106E-2</v>
      </c>
      <c r="E52" s="25"/>
    </row>
    <row r="53" spans="1:5" s="26" customFormat="1" ht="24.95" customHeight="1" thickBot="1" x14ac:dyDescent="0.3">
      <c r="A53" s="123">
        <v>10</v>
      </c>
      <c r="B53" s="16" t="s">
        <v>68</v>
      </c>
      <c r="C53" s="34">
        <v>215.07</v>
      </c>
      <c r="D53" s="27">
        <f t="shared" si="10"/>
        <v>3.0585906335194913E-2</v>
      </c>
      <c r="E53" s="25"/>
    </row>
    <row r="54" spans="1:5" x14ac:dyDescent="0.25">
      <c r="A54" s="441" t="s">
        <v>305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306</v>
      </c>
      <c r="B56" s="442"/>
      <c r="C56" s="442"/>
      <c r="D56" s="442"/>
      <c r="E56" s="442"/>
    </row>
  </sheetData>
  <dataConsolidate/>
  <mergeCells count="54">
    <mergeCell ref="A1:M1"/>
    <mergeCell ref="A2:B2"/>
    <mergeCell ref="D2:E2"/>
    <mergeCell ref="F2:G2"/>
    <mergeCell ref="H2:I2"/>
    <mergeCell ref="J2:K2"/>
    <mergeCell ref="L2:M2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D9:I9"/>
    <mergeCell ref="J9:N9"/>
    <mergeCell ref="B10:B11"/>
    <mergeCell ref="C10:C11"/>
    <mergeCell ref="D10:I10"/>
    <mergeCell ref="J10:K10"/>
    <mergeCell ref="L10:N10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A54:E55"/>
    <mergeCell ref="A56:E56"/>
    <mergeCell ref="A40:D40"/>
    <mergeCell ref="A41:A43"/>
    <mergeCell ref="B41:D41"/>
    <mergeCell ref="B42:B43"/>
    <mergeCell ref="C42:C43"/>
    <mergeCell ref="D42:D43"/>
  </mergeCells>
  <phoneticPr fontId="180" type="noConversion"/>
  <conditionalFormatting sqref="A12:A22">
    <cfRule type="containsText" dxfId="189" priority="33" operator="containsText" text="024">
      <formula>NOT(ISERROR(SEARCH("024",A12)))</formula>
    </cfRule>
    <cfRule type="containsText" dxfId="188" priority="34" operator="containsText" text="白醬">
      <formula>NOT(ISERROR(SEARCH("白醬",A12)))</formula>
    </cfRule>
    <cfRule type="containsText" dxfId="187" priority="35" operator="containsText" text="青蔥">
      <formula>NOT(ISERROR(SEARCH("青蔥",A12)))</formula>
    </cfRule>
    <cfRule type="containsText" dxfId="186" priority="36" operator="containsText" text=")川燙小青花菜">
      <formula>NOT(ISERROR(SEARCH(")川燙小青花菜",A12)))</formula>
    </cfRule>
    <cfRule type="containsText" dxfId="185" priority="37" operator="containsText" text="湯凍">
      <formula>NOT(ISERROR(SEARCH("湯凍",A12)))</formula>
    </cfRule>
    <cfRule type="containsText" dxfId="184" priority="38" operator="containsText" text="中華">
      <formula>NOT(ISERROR(SEARCH("中華",A12)))</formula>
    </cfRule>
  </conditionalFormatting>
  <conditionalFormatting sqref="A12:A22">
    <cfRule type="containsText" dxfId="183" priority="31" operator="containsText" text="綠豆芽">
      <formula>NOT(ISERROR(SEARCH("綠豆芽",A12)))</formula>
    </cfRule>
    <cfRule type="containsText" dxfId="182" priority="32" operator="containsText" text="煮白細麵生(方#12)">
      <formula>NOT(ISERROR(SEARCH("煮白細麵生(方#12)",A12)))</formula>
    </cfRule>
  </conditionalFormatting>
  <conditionalFormatting sqref="E5">
    <cfRule type="cellIs" dxfId="181" priority="16" operator="greaterThan">
      <formula>0.0025</formula>
    </cfRule>
    <cfRule type="cellIs" dxfId="180" priority="19" operator="greaterThan">
      <formula>0.0025</formula>
    </cfRule>
    <cfRule type="cellIs" dxfId="179" priority="29" operator="greaterThan">
      <formula>0.072</formula>
    </cfRule>
    <cfRule type="cellIs" dxfId="178" priority="30" operator="greaterThan">
      <formula>7.2</formula>
    </cfRule>
  </conditionalFormatting>
  <conditionalFormatting sqref="E5">
    <cfRule type="cellIs" dxfId="177" priority="28" operator="greaterThan">
      <formula>0.0025</formula>
    </cfRule>
  </conditionalFormatting>
  <conditionalFormatting sqref="A44:A53">
    <cfRule type="containsText" dxfId="176" priority="22" operator="containsText" text="024">
      <formula>NOT(ISERROR(SEARCH("024",A44)))</formula>
    </cfRule>
    <cfRule type="containsText" dxfId="175" priority="23" operator="containsText" text="白醬">
      <formula>NOT(ISERROR(SEARCH("白醬",A44)))</formula>
    </cfRule>
    <cfRule type="containsText" dxfId="174" priority="24" operator="containsText" text="青蔥">
      <formula>NOT(ISERROR(SEARCH("青蔥",A44)))</formula>
    </cfRule>
    <cfRule type="containsText" dxfId="173" priority="25" operator="containsText" text=")川燙小青花菜">
      <formula>NOT(ISERROR(SEARCH(")川燙小青花菜",A44)))</formula>
    </cfRule>
    <cfRule type="containsText" dxfId="172" priority="26" operator="containsText" text="湯凍">
      <formula>NOT(ISERROR(SEARCH("湯凍",A44)))</formula>
    </cfRule>
    <cfRule type="containsText" dxfId="171" priority="27" operator="containsText" text="中華">
      <formula>NOT(ISERROR(SEARCH("中華",A44)))</formula>
    </cfRule>
  </conditionalFormatting>
  <conditionalFormatting sqref="A44:A53">
    <cfRule type="containsText" dxfId="170" priority="20" operator="containsText" text="綠豆芽">
      <formula>NOT(ISERROR(SEARCH("綠豆芽",A44)))</formula>
    </cfRule>
    <cfRule type="containsText" dxfId="169" priority="21" operator="containsText" text="煮白細麵生(方#12)">
      <formula>NOT(ISERROR(SEARCH("煮白細麵生(方#12)",A44)))</formula>
    </cfRule>
  </conditionalFormatting>
  <conditionalFormatting sqref="D44:D53">
    <cfRule type="cellIs" dxfId="168" priority="18" operator="greaterThan">
      <formula>0.146</formula>
    </cfRule>
  </conditionalFormatting>
  <conditionalFormatting sqref="H12:H22">
    <cfRule type="cellIs" dxfId="167" priority="17" operator="greaterThan">
      <formula>1.1</formula>
    </cfRule>
  </conditionalFormatting>
  <conditionalFormatting sqref="I5">
    <cfRule type="cellIs" dxfId="166" priority="15" operator="greaterThan">
      <formula>0.2</formula>
    </cfRule>
  </conditionalFormatting>
  <conditionalFormatting sqref="A28:A37">
    <cfRule type="containsText" dxfId="165" priority="9" operator="containsText" text="024">
      <formula>NOT(ISERROR(SEARCH("024",A28)))</formula>
    </cfRule>
    <cfRule type="containsText" dxfId="164" priority="10" operator="containsText" text="白醬">
      <formula>NOT(ISERROR(SEARCH("白醬",A28)))</formula>
    </cfRule>
    <cfRule type="containsText" dxfId="163" priority="11" operator="containsText" text="青蔥">
      <formula>NOT(ISERROR(SEARCH("青蔥",A28)))</formula>
    </cfRule>
    <cfRule type="containsText" dxfId="162" priority="12" operator="containsText" text=")川燙小青花菜">
      <formula>NOT(ISERROR(SEARCH(")川燙小青花菜",A28)))</formula>
    </cfRule>
    <cfRule type="containsText" dxfId="161" priority="13" operator="containsText" text="湯凍">
      <formula>NOT(ISERROR(SEARCH("湯凍",A28)))</formula>
    </cfRule>
    <cfRule type="containsText" dxfId="160" priority="14" operator="containsText" text="中華">
      <formula>NOT(ISERROR(SEARCH("中華",A28)))</formula>
    </cfRule>
  </conditionalFormatting>
  <conditionalFormatting sqref="A28:A37">
    <cfRule type="containsText" dxfId="159" priority="7" operator="containsText" text="綠豆芽">
      <formula>NOT(ISERROR(SEARCH("綠豆芽",A28)))</formula>
    </cfRule>
    <cfRule type="containsText" dxfId="158" priority="8" operator="containsText" text="煮白細麵生(方#12)">
      <formula>NOT(ISERROR(SEARCH("煮白細麵生(方#12)",A28)))</formula>
    </cfRule>
  </conditionalFormatting>
  <conditionalFormatting sqref="H28:H37">
    <cfRule type="cellIs" dxfId="157" priority="6" operator="greaterThan">
      <formula>1.1</formula>
    </cfRule>
  </conditionalFormatting>
  <conditionalFormatting sqref="G5">
    <cfRule type="cellIs" dxfId="156" priority="1" operator="greaterThan">
      <formula>0.0025</formula>
    </cfRule>
    <cfRule type="cellIs" dxfId="155" priority="2" operator="greaterThan">
      <formula>0.0025</formula>
    </cfRule>
    <cfRule type="cellIs" dxfId="154" priority="4" operator="greaterThan">
      <formula>0.072</formula>
    </cfRule>
    <cfRule type="cellIs" dxfId="153" priority="5" operator="greaterThan">
      <formula>7.2</formula>
    </cfRule>
  </conditionalFormatting>
  <conditionalFormatting sqref="G5">
    <cfRule type="cellIs" dxfId="152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J22" zoomScale="60" zoomScaleNormal="60" workbookViewId="0">
      <selection activeCell="O32" sqref="O32:P32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915" t="s">
        <v>92</v>
      </c>
      <c r="B2" s="916"/>
      <c r="C2" s="88" t="s">
        <v>93</v>
      </c>
      <c r="D2" s="917" t="s">
        <v>94</v>
      </c>
      <c r="E2" s="917"/>
      <c r="F2" s="917" t="s">
        <v>95</v>
      </c>
      <c r="G2" s="917"/>
      <c r="H2" s="917" t="s">
        <v>94</v>
      </c>
      <c r="I2" s="917"/>
      <c r="J2" s="917" t="s">
        <v>95</v>
      </c>
      <c r="K2" s="917"/>
      <c r="L2" s="917" t="s">
        <v>94</v>
      </c>
      <c r="M2" s="918"/>
      <c r="Q2" s="54"/>
    </row>
    <row r="3" spans="1:17" s="1" customFormat="1" ht="28.5" x14ac:dyDescent="0.45">
      <c r="A3" s="925">
        <v>45873</v>
      </c>
      <c r="B3" s="926"/>
      <c r="C3" s="927">
        <v>5873416.1200000001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925"/>
      <c r="B4" s="926"/>
      <c r="C4" s="927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919" t="s">
        <v>105</v>
      </c>
      <c r="B5" s="920"/>
      <c r="C5" s="920"/>
      <c r="D5" s="89">
        <v>14310.170000000009</v>
      </c>
      <c r="E5" s="5">
        <f>D5/C3</f>
        <v>2.4364304703818618E-3</v>
      </c>
      <c r="F5" s="89">
        <v>50296.24000000002</v>
      </c>
      <c r="G5" s="44">
        <f>F5/C3</f>
        <v>8.5633707832708465E-3</v>
      </c>
      <c r="H5" s="6">
        <f>SUM(C12:C21)</f>
        <v>6706.8</v>
      </c>
      <c r="I5" s="7">
        <f>H5/D5</f>
        <v>0.46867367753143363</v>
      </c>
      <c r="J5" s="6">
        <f>SUM(C28:C37)</f>
        <v>21071.86</v>
      </c>
      <c r="K5" s="46">
        <f>J5/F5</f>
        <v>0.41895497556079725</v>
      </c>
      <c r="L5" s="8">
        <v>6101.4</v>
      </c>
      <c r="M5" s="9">
        <f>L5/D5</f>
        <v>0.42636810044884133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242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219</v>
      </c>
      <c r="B8" s="447"/>
      <c r="C8" s="447"/>
      <c r="D8" s="447" t="s">
        <v>220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243</v>
      </c>
      <c r="P8" s="456" t="s">
        <v>204</v>
      </c>
      <c r="Q8" s="921" t="s">
        <v>244</v>
      </c>
    </row>
    <row r="9" spans="1:17" ht="20.45" customHeight="1" x14ac:dyDescent="0.25">
      <c r="A9" s="922" t="s">
        <v>245</v>
      </c>
      <c r="B9" s="461" t="s">
        <v>246</v>
      </c>
      <c r="C9" s="462"/>
      <c r="D9" s="463" t="s">
        <v>247</v>
      </c>
      <c r="E9" s="463"/>
      <c r="F9" s="463"/>
      <c r="G9" s="463"/>
      <c r="H9" s="463"/>
      <c r="I9" s="463"/>
      <c r="J9" s="464" t="s">
        <v>248</v>
      </c>
      <c r="K9" s="464"/>
      <c r="L9" s="464"/>
      <c r="M9" s="465"/>
      <c r="N9" s="465"/>
      <c r="O9" s="456"/>
      <c r="P9" s="456"/>
      <c r="Q9" s="921"/>
    </row>
    <row r="10" spans="1:17" ht="20.45" customHeight="1" x14ac:dyDescent="0.3">
      <c r="A10" s="923"/>
      <c r="B10" s="928" t="s">
        <v>249</v>
      </c>
      <c r="C10" s="930" t="s">
        <v>250</v>
      </c>
      <c r="D10" s="932" t="s">
        <v>251</v>
      </c>
      <c r="E10" s="932"/>
      <c r="F10" s="932"/>
      <c r="G10" s="932"/>
      <c r="H10" s="932"/>
      <c r="I10" s="932"/>
      <c r="J10" s="933" t="s">
        <v>208</v>
      </c>
      <c r="K10" s="934"/>
      <c r="L10" s="935" t="s">
        <v>252</v>
      </c>
      <c r="M10" s="933"/>
      <c r="N10" s="933"/>
      <c r="O10" s="456"/>
      <c r="P10" s="456"/>
      <c r="Q10" s="921"/>
    </row>
    <row r="11" spans="1:17" s="55" customFormat="1" ht="47.25" customHeight="1" x14ac:dyDescent="0.25">
      <c r="A11" s="924"/>
      <c r="B11" s="929"/>
      <c r="C11" s="931"/>
      <c r="D11" s="90" t="s">
        <v>209</v>
      </c>
      <c r="E11" s="90" t="s">
        <v>253</v>
      </c>
      <c r="F11" s="90" t="s">
        <v>196</v>
      </c>
      <c r="G11" s="90" t="s">
        <v>254</v>
      </c>
      <c r="H11" s="90" t="s">
        <v>255</v>
      </c>
      <c r="I11" s="90" t="s">
        <v>211</v>
      </c>
      <c r="J11" s="91" t="s">
        <v>256</v>
      </c>
      <c r="K11" s="91" t="s">
        <v>257</v>
      </c>
      <c r="L11" s="91" t="s">
        <v>258</v>
      </c>
      <c r="M11" s="91" t="s">
        <v>201</v>
      </c>
      <c r="N11" s="92" t="s">
        <v>259</v>
      </c>
      <c r="O11" s="456"/>
      <c r="P11" s="456"/>
      <c r="Q11" s="921"/>
    </row>
    <row r="12" spans="1:17" s="15" customFormat="1" ht="24.95" customHeight="1" x14ac:dyDescent="0.25">
      <c r="A12" s="93">
        <v>1</v>
      </c>
      <c r="B12" s="10" t="s">
        <v>68</v>
      </c>
      <c r="C12" s="33">
        <v>1263.92</v>
      </c>
      <c r="D12" s="56">
        <v>34.950000000000003</v>
      </c>
      <c r="E12" s="56">
        <v>44.52</v>
      </c>
      <c r="F12" s="56">
        <v>0</v>
      </c>
      <c r="G12" s="33">
        <v>294.62</v>
      </c>
      <c r="H12" s="11">
        <f t="shared" ref="H12:H21" si="0">(E12+F12)/D12</f>
        <v>1.2738197424892703</v>
      </c>
      <c r="I12" s="33">
        <v>2819.51</v>
      </c>
      <c r="J12" s="56">
        <v>4.29</v>
      </c>
      <c r="K12" s="12">
        <f t="shared" ref="K12:K21" si="1">J12/D12</f>
        <v>0.12274678111587982</v>
      </c>
      <c r="L12" s="94">
        <f t="shared" ref="L12:L21" si="2">((E12+F12)-D12)-J12</f>
        <v>5.28</v>
      </c>
      <c r="M12" s="13">
        <f t="shared" ref="M12:M21" si="3">L12/D12</f>
        <v>0.15107296137339055</v>
      </c>
      <c r="N12" s="95">
        <f t="shared" ref="N12:N21" si="4">L12*G12</f>
        <v>1555.5936000000002</v>
      </c>
      <c r="O12" s="66" t="s">
        <v>21</v>
      </c>
      <c r="P12" s="66" t="s">
        <v>421</v>
      </c>
      <c r="Q12" s="28" t="s">
        <v>25</v>
      </c>
    </row>
    <row r="13" spans="1:17" s="15" customFormat="1" ht="24.95" customHeight="1" x14ac:dyDescent="0.25">
      <c r="A13" s="96">
        <v>2</v>
      </c>
      <c r="B13" s="10" t="s">
        <v>59</v>
      </c>
      <c r="C13" s="33">
        <v>1091.0999999999999</v>
      </c>
      <c r="D13" s="56">
        <v>108.69</v>
      </c>
      <c r="E13" s="56">
        <v>126.94</v>
      </c>
      <c r="F13" s="56">
        <v>0</v>
      </c>
      <c r="G13" s="33">
        <v>135.54</v>
      </c>
      <c r="H13" s="11">
        <f t="shared" si="0"/>
        <v>1.1679087312540253</v>
      </c>
      <c r="I13" s="33">
        <v>2473.61</v>
      </c>
      <c r="J13" s="56">
        <v>8.0500000000000007</v>
      </c>
      <c r="K13" s="12">
        <f t="shared" si="1"/>
        <v>7.4063851320268659E-2</v>
      </c>
      <c r="L13" s="94">
        <f t="shared" si="2"/>
        <v>10.199999999999999</v>
      </c>
      <c r="M13" s="13">
        <f t="shared" si="3"/>
        <v>9.384487993375655E-2</v>
      </c>
      <c r="N13" s="95">
        <f t="shared" si="4"/>
        <v>1382.5079999999998</v>
      </c>
      <c r="O13" s="66" t="s">
        <v>135</v>
      </c>
      <c r="P13" s="66" t="s">
        <v>416</v>
      </c>
      <c r="Q13" s="28" t="s">
        <v>25</v>
      </c>
    </row>
    <row r="14" spans="1:17" s="57" customFormat="1" ht="24.95" customHeight="1" x14ac:dyDescent="0.25">
      <c r="A14" s="96">
        <v>3</v>
      </c>
      <c r="B14" s="10" t="s">
        <v>33</v>
      </c>
      <c r="C14" s="33">
        <v>816.04</v>
      </c>
      <c r="D14" s="56">
        <v>96.23</v>
      </c>
      <c r="E14" s="56">
        <v>97.84</v>
      </c>
      <c r="F14" s="56">
        <v>10.4</v>
      </c>
      <c r="G14" s="33">
        <v>203.5</v>
      </c>
      <c r="H14" s="11">
        <f t="shared" si="0"/>
        <v>1.1248051543177804</v>
      </c>
      <c r="I14" s="33">
        <v>2444.04</v>
      </c>
      <c r="J14" s="56">
        <v>4.01</v>
      </c>
      <c r="K14" s="12">
        <f t="shared" si="1"/>
        <v>4.167099657071599E-2</v>
      </c>
      <c r="L14" s="94">
        <f t="shared" si="2"/>
        <v>8.0000000000000053</v>
      </c>
      <c r="M14" s="13">
        <f t="shared" si="3"/>
        <v>8.3134157747064383E-2</v>
      </c>
      <c r="N14" s="95">
        <f t="shared" si="4"/>
        <v>1628.0000000000011</v>
      </c>
      <c r="O14" s="66" t="s">
        <v>21</v>
      </c>
      <c r="P14" s="66" t="s">
        <v>417</v>
      </c>
      <c r="Q14" s="28" t="s">
        <v>25</v>
      </c>
    </row>
    <row r="15" spans="1:17" s="15" customFormat="1" ht="24.95" customHeight="1" x14ac:dyDescent="0.25">
      <c r="A15" s="93">
        <v>4</v>
      </c>
      <c r="B15" s="10" t="s">
        <v>53</v>
      </c>
      <c r="C15" s="33">
        <v>614.38</v>
      </c>
      <c r="D15" s="56">
        <v>75.63</v>
      </c>
      <c r="E15" s="56">
        <v>78.099999999999994</v>
      </c>
      <c r="F15" s="56">
        <v>4.2</v>
      </c>
      <c r="G15" s="33">
        <v>333.9</v>
      </c>
      <c r="H15" s="11">
        <f t="shared" si="0"/>
        <v>1.0881925161972763</v>
      </c>
      <c r="I15" s="33">
        <v>2227.11</v>
      </c>
      <c r="J15" s="56">
        <v>1.84</v>
      </c>
      <c r="K15" s="12">
        <f t="shared" si="1"/>
        <v>2.4328969985455511E-2</v>
      </c>
      <c r="L15" s="94">
        <f t="shared" si="2"/>
        <v>4.8300000000000018</v>
      </c>
      <c r="M15" s="13">
        <f t="shared" si="3"/>
        <v>6.3863546211820735E-2</v>
      </c>
      <c r="N15" s="95">
        <f t="shared" si="4"/>
        <v>1612.7370000000005</v>
      </c>
      <c r="O15" s="66" t="s">
        <v>135</v>
      </c>
      <c r="P15" s="66" t="s">
        <v>428</v>
      </c>
      <c r="Q15" s="28" t="s">
        <v>78</v>
      </c>
    </row>
    <row r="16" spans="1:17" s="57" customFormat="1" ht="24.95" customHeight="1" x14ac:dyDescent="0.25">
      <c r="A16" s="96">
        <v>5</v>
      </c>
      <c r="B16" s="10" t="s">
        <v>86</v>
      </c>
      <c r="C16" s="33">
        <v>565.53</v>
      </c>
      <c r="D16" s="56">
        <v>26.94</v>
      </c>
      <c r="E16" s="56">
        <v>34.229999999999997</v>
      </c>
      <c r="F16" s="56">
        <v>0</v>
      </c>
      <c r="G16" s="33">
        <v>169.32</v>
      </c>
      <c r="H16" s="11">
        <f t="shared" si="0"/>
        <v>1.2706013363028952</v>
      </c>
      <c r="I16" s="33">
        <v>1234.3399999999999</v>
      </c>
      <c r="J16" s="56">
        <v>3.34</v>
      </c>
      <c r="K16" s="12">
        <f t="shared" si="1"/>
        <v>0.12397921306607275</v>
      </c>
      <c r="L16" s="94">
        <f t="shared" si="2"/>
        <v>3.9499999999999957</v>
      </c>
      <c r="M16" s="13">
        <f t="shared" si="3"/>
        <v>0.14662212323682242</v>
      </c>
      <c r="N16" s="95">
        <f t="shared" si="4"/>
        <v>668.81399999999928</v>
      </c>
      <c r="O16" s="66" t="s">
        <v>20</v>
      </c>
      <c r="P16" s="66" t="s">
        <v>426</v>
      </c>
      <c r="Q16" s="28" t="s">
        <v>25</v>
      </c>
    </row>
    <row r="17" spans="1:17" s="15" customFormat="1" ht="24.95" customHeight="1" x14ac:dyDescent="0.25">
      <c r="A17" s="93">
        <v>6</v>
      </c>
      <c r="B17" s="10" t="s">
        <v>107</v>
      </c>
      <c r="C17" s="33">
        <v>562.5</v>
      </c>
      <c r="D17" s="56">
        <v>218.2</v>
      </c>
      <c r="E17" s="56">
        <v>226.06</v>
      </c>
      <c r="F17" s="56">
        <v>0</v>
      </c>
      <c r="G17" s="33">
        <v>166.42</v>
      </c>
      <c r="H17" s="11">
        <f t="shared" si="0"/>
        <v>1.0360219981668195</v>
      </c>
      <c r="I17" s="33">
        <v>1308.06</v>
      </c>
      <c r="J17" s="56">
        <v>3.38</v>
      </c>
      <c r="K17" s="12">
        <f t="shared" si="1"/>
        <v>1.5490375802016499E-2</v>
      </c>
      <c r="L17" s="94">
        <f t="shared" si="2"/>
        <v>4.4800000000000137</v>
      </c>
      <c r="M17" s="13">
        <f t="shared" si="3"/>
        <v>2.0531622364802996E-2</v>
      </c>
      <c r="N17" s="95">
        <f t="shared" si="4"/>
        <v>745.56160000000227</v>
      </c>
      <c r="O17" s="66" t="s">
        <v>20</v>
      </c>
      <c r="P17" s="66" t="s">
        <v>419</v>
      </c>
      <c r="Q17" s="28" t="s">
        <v>106</v>
      </c>
    </row>
    <row r="18" spans="1:17" s="57" customFormat="1" ht="24.95" customHeight="1" x14ac:dyDescent="0.25">
      <c r="A18" s="96">
        <v>7</v>
      </c>
      <c r="B18" s="10" t="s">
        <v>37</v>
      </c>
      <c r="C18" s="33">
        <v>507.84</v>
      </c>
      <c r="D18" s="56">
        <v>231.05</v>
      </c>
      <c r="E18" s="56">
        <v>232.19</v>
      </c>
      <c r="F18" s="56">
        <v>10.1</v>
      </c>
      <c r="G18" s="33">
        <v>156.74</v>
      </c>
      <c r="H18" s="11">
        <f t="shared" si="0"/>
        <v>1.0486474789006708</v>
      </c>
      <c r="I18" s="33">
        <v>1761.76</v>
      </c>
      <c r="J18" s="56">
        <v>3.24</v>
      </c>
      <c r="K18" s="12">
        <f t="shared" si="1"/>
        <v>1.4022938757844623E-2</v>
      </c>
      <c r="L18" s="94">
        <f t="shared" si="2"/>
        <v>7.9999999999999805</v>
      </c>
      <c r="M18" s="13">
        <f t="shared" si="3"/>
        <v>3.4624540142826142E-2</v>
      </c>
      <c r="N18" s="95">
        <f t="shared" si="4"/>
        <v>1253.9199999999971</v>
      </c>
      <c r="O18" s="66" t="s">
        <v>21</v>
      </c>
      <c r="P18" s="66" t="s">
        <v>417</v>
      </c>
      <c r="Q18" s="28" t="s">
        <v>25</v>
      </c>
    </row>
    <row r="19" spans="1:17" s="15" customFormat="1" ht="24.95" customHeight="1" x14ac:dyDescent="0.25">
      <c r="A19" s="93">
        <v>8</v>
      </c>
      <c r="B19" s="10" t="s">
        <v>50</v>
      </c>
      <c r="C19" s="33">
        <v>491.5</v>
      </c>
      <c r="D19" s="56">
        <v>338.5</v>
      </c>
      <c r="E19" s="56">
        <v>345.89</v>
      </c>
      <c r="F19" s="56">
        <v>15</v>
      </c>
      <c r="G19" s="33">
        <v>111.2</v>
      </c>
      <c r="H19" s="11">
        <f t="shared" si="0"/>
        <v>1.0661447562776958</v>
      </c>
      <c r="I19" s="33">
        <v>2489.77</v>
      </c>
      <c r="J19" s="56">
        <v>4.42</v>
      </c>
      <c r="K19" s="12">
        <f t="shared" si="1"/>
        <v>1.3057607090103398E-2</v>
      </c>
      <c r="L19" s="94">
        <f t="shared" si="2"/>
        <v>17.969999999999985</v>
      </c>
      <c r="M19" s="13">
        <f t="shared" si="3"/>
        <v>5.3087149187592275E-2</v>
      </c>
      <c r="N19" s="95">
        <f t="shared" si="4"/>
        <v>1998.2639999999983</v>
      </c>
      <c r="O19" s="66" t="s">
        <v>20</v>
      </c>
      <c r="P19" s="66" t="s">
        <v>419</v>
      </c>
      <c r="Q19" s="28" t="s">
        <v>49</v>
      </c>
    </row>
    <row r="20" spans="1:17" s="15" customFormat="1" ht="24.95" customHeight="1" x14ac:dyDescent="0.25">
      <c r="A20" s="96">
        <v>9</v>
      </c>
      <c r="B20" s="10" t="s">
        <v>112</v>
      </c>
      <c r="C20" s="33">
        <v>415.99</v>
      </c>
      <c r="D20" s="56">
        <v>22.44</v>
      </c>
      <c r="E20" s="56">
        <v>28.1</v>
      </c>
      <c r="F20" s="56">
        <v>0</v>
      </c>
      <c r="G20" s="33">
        <v>148.04</v>
      </c>
      <c r="H20" s="11">
        <f t="shared" si="0"/>
        <v>1.2522281639928698</v>
      </c>
      <c r="I20" s="33">
        <v>837.91</v>
      </c>
      <c r="J20" s="56">
        <v>2.81</v>
      </c>
      <c r="K20" s="12">
        <f t="shared" si="1"/>
        <v>0.12522281639928698</v>
      </c>
      <c r="L20" s="94">
        <f t="shared" si="2"/>
        <v>2.85</v>
      </c>
      <c r="M20" s="13">
        <f t="shared" si="3"/>
        <v>0.1270053475935829</v>
      </c>
      <c r="N20" s="95">
        <f t="shared" si="4"/>
        <v>421.91399999999999</v>
      </c>
      <c r="O20" s="66" t="s">
        <v>20</v>
      </c>
      <c r="P20" s="66" t="s">
        <v>426</v>
      </c>
      <c r="Q20" s="28" t="s">
        <v>113</v>
      </c>
    </row>
    <row r="21" spans="1:17" s="15" customFormat="1" ht="24.95" customHeight="1" thickBot="1" x14ac:dyDescent="0.3">
      <c r="A21" s="97">
        <v>10</v>
      </c>
      <c r="B21" s="16" t="s">
        <v>55</v>
      </c>
      <c r="C21" s="34">
        <v>378</v>
      </c>
      <c r="D21" s="58">
        <v>96.69</v>
      </c>
      <c r="E21" s="58">
        <v>98.77</v>
      </c>
      <c r="F21" s="58">
        <v>3.65</v>
      </c>
      <c r="G21" s="34">
        <v>331.58</v>
      </c>
      <c r="H21" s="17">
        <f t="shared" si="0"/>
        <v>1.059261557555073</v>
      </c>
      <c r="I21" s="34">
        <v>1899.95</v>
      </c>
      <c r="J21" s="58">
        <v>1.1399999999999999</v>
      </c>
      <c r="K21" s="18">
        <f t="shared" si="1"/>
        <v>1.179025752404592E-2</v>
      </c>
      <c r="L21" s="98">
        <f t="shared" si="2"/>
        <v>4.5900000000000043</v>
      </c>
      <c r="M21" s="19">
        <f t="shared" si="3"/>
        <v>4.7471300031027036E-2</v>
      </c>
      <c r="N21" s="99">
        <f t="shared" si="4"/>
        <v>1521.9522000000013</v>
      </c>
      <c r="O21" s="66" t="s">
        <v>135</v>
      </c>
      <c r="P21" s="66" t="s">
        <v>428</v>
      </c>
      <c r="Q21" s="29" t="s">
        <v>74</v>
      </c>
    </row>
    <row r="22" spans="1:17" s="62" customFormat="1" ht="24.95" customHeight="1" thickBot="1" x14ac:dyDescent="0.3">
      <c r="A22" s="100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01"/>
      <c r="M22" s="30"/>
      <c r="N22" s="102"/>
      <c r="O22" s="61"/>
      <c r="P22" s="61"/>
      <c r="Q22" s="59"/>
    </row>
    <row r="23" spans="1:17" s="62" customFormat="1" ht="40.5" customHeight="1" x14ac:dyDescent="0.25">
      <c r="A23" s="443" t="s">
        <v>260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219</v>
      </c>
      <c r="B24" s="447"/>
      <c r="C24" s="447"/>
      <c r="D24" s="447" t="s">
        <v>181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182</v>
      </c>
      <c r="P24" s="456" t="s">
        <v>261</v>
      </c>
      <c r="Q24" s="921" t="s">
        <v>223</v>
      </c>
    </row>
    <row r="25" spans="1:17" s="62" customFormat="1" ht="24.95" customHeight="1" x14ac:dyDescent="0.25">
      <c r="A25" s="922" t="s">
        <v>262</v>
      </c>
      <c r="B25" s="461" t="s">
        <v>263</v>
      </c>
      <c r="C25" s="462"/>
      <c r="D25" s="463" t="s">
        <v>205</v>
      </c>
      <c r="E25" s="463"/>
      <c r="F25" s="463"/>
      <c r="G25" s="463"/>
      <c r="H25" s="463"/>
      <c r="I25" s="463"/>
      <c r="J25" s="464" t="s">
        <v>226</v>
      </c>
      <c r="K25" s="464"/>
      <c r="L25" s="464"/>
      <c r="M25" s="465"/>
      <c r="N25" s="465"/>
      <c r="O25" s="456"/>
      <c r="P25" s="456"/>
      <c r="Q25" s="921"/>
    </row>
    <row r="26" spans="1:17" s="62" customFormat="1" ht="24.95" customHeight="1" x14ac:dyDescent="0.3">
      <c r="A26" s="923"/>
      <c r="B26" s="928" t="s">
        <v>189</v>
      </c>
      <c r="C26" s="930" t="s">
        <v>264</v>
      </c>
      <c r="D26" s="932" t="s">
        <v>265</v>
      </c>
      <c r="E26" s="932"/>
      <c r="F26" s="932"/>
      <c r="G26" s="932"/>
      <c r="H26" s="932"/>
      <c r="I26" s="932"/>
      <c r="J26" s="933" t="s">
        <v>266</v>
      </c>
      <c r="K26" s="936"/>
      <c r="L26" s="934"/>
      <c r="M26" s="933" t="s">
        <v>193</v>
      </c>
      <c r="N26" s="934"/>
      <c r="O26" s="456"/>
      <c r="P26" s="456"/>
      <c r="Q26" s="921"/>
    </row>
    <row r="27" spans="1:17" s="62" customFormat="1" ht="50.1" customHeight="1" x14ac:dyDescent="0.25">
      <c r="A27" s="924"/>
      <c r="B27" s="929"/>
      <c r="C27" s="931"/>
      <c r="D27" s="90" t="s">
        <v>209</v>
      </c>
      <c r="E27" s="90" t="s">
        <v>267</v>
      </c>
      <c r="F27" s="90" t="s">
        <v>268</v>
      </c>
      <c r="G27" s="90" t="s">
        <v>230</v>
      </c>
      <c r="H27" s="90" t="s">
        <v>255</v>
      </c>
      <c r="I27" s="90" t="s">
        <v>269</v>
      </c>
      <c r="J27" s="91" t="s">
        <v>256</v>
      </c>
      <c r="K27" s="91" t="s">
        <v>212</v>
      </c>
      <c r="L27" s="92" t="s">
        <v>233</v>
      </c>
      <c r="M27" s="91" t="s">
        <v>270</v>
      </c>
      <c r="N27" s="91" t="s">
        <v>271</v>
      </c>
      <c r="O27" s="456"/>
      <c r="P27" s="456"/>
      <c r="Q27" s="921"/>
    </row>
    <row r="28" spans="1:17" s="62" customFormat="1" ht="24.95" customHeight="1" x14ac:dyDescent="0.25">
      <c r="A28" s="93">
        <v>1</v>
      </c>
      <c r="B28" s="10" t="s">
        <v>31</v>
      </c>
      <c r="C28" s="33">
        <v>2796.57</v>
      </c>
      <c r="D28" s="56">
        <v>62.93</v>
      </c>
      <c r="E28" s="56">
        <v>63.32</v>
      </c>
      <c r="F28" s="56">
        <v>10.9</v>
      </c>
      <c r="G28" s="33">
        <v>278.82</v>
      </c>
      <c r="H28" s="35">
        <f t="shared" ref="H28:H37" si="5">(E28+F28)/D28</f>
        <v>1.1794056888606388</v>
      </c>
      <c r="I28" s="33">
        <v>3147.88</v>
      </c>
      <c r="J28" s="56">
        <v>1.26</v>
      </c>
      <c r="K28" s="12">
        <f t="shared" ref="K28:K37" si="6">J28/D28</f>
        <v>2.0022246941045607E-2</v>
      </c>
      <c r="L28" s="95">
        <f t="shared" ref="L28:L37" si="7">J28*G28</f>
        <v>351.31319999999999</v>
      </c>
      <c r="M28" s="94">
        <f t="shared" ref="M28:M37" si="8">((E28+F28)-D28)-J28</f>
        <v>10.029999999999999</v>
      </c>
      <c r="N28" s="13">
        <f t="shared" ref="N28:N37" si="9">M28/D28</f>
        <v>0.15938344191959319</v>
      </c>
      <c r="O28" s="69" t="s">
        <v>18</v>
      </c>
      <c r="P28" s="14" t="s">
        <v>65</v>
      </c>
      <c r="Q28" s="28" t="s">
        <v>25</v>
      </c>
    </row>
    <row r="29" spans="1:17" s="62" customFormat="1" ht="24.75" customHeight="1" x14ac:dyDescent="0.25">
      <c r="A29" s="96">
        <v>2</v>
      </c>
      <c r="B29" s="10" t="s">
        <v>35</v>
      </c>
      <c r="C29" s="33">
        <v>2571.7099999999996</v>
      </c>
      <c r="D29" s="56">
        <v>95.4</v>
      </c>
      <c r="E29" s="56">
        <v>95.789999999999992</v>
      </c>
      <c r="F29" s="56">
        <v>6.4</v>
      </c>
      <c r="G29" s="33">
        <v>410.16</v>
      </c>
      <c r="H29" s="35">
        <f t="shared" si="5"/>
        <v>1.0711740041928721</v>
      </c>
      <c r="I29" s="33">
        <v>2784.99</v>
      </c>
      <c r="J29" s="56">
        <v>0.52</v>
      </c>
      <c r="K29" s="12">
        <f t="shared" si="6"/>
        <v>5.450733752620545E-3</v>
      </c>
      <c r="L29" s="95">
        <f t="shared" si="7"/>
        <v>213.28320000000002</v>
      </c>
      <c r="M29" s="94">
        <f t="shared" si="8"/>
        <v>6.2699999999999925</v>
      </c>
      <c r="N29" s="13">
        <f t="shared" si="9"/>
        <v>6.5723270440251488E-2</v>
      </c>
      <c r="O29" s="69" t="s">
        <v>407</v>
      </c>
      <c r="P29" s="14" t="s">
        <v>67</v>
      </c>
      <c r="Q29" s="28" t="s">
        <v>25</v>
      </c>
    </row>
    <row r="30" spans="1:17" s="62" customFormat="1" ht="24.95" customHeight="1" x14ac:dyDescent="0.25">
      <c r="A30" s="96">
        <v>3</v>
      </c>
      <c r="B30" s="10" t="s">
        <v>47</v>
      </c>
      <c r="C30" s="33">
        <v>2334.1200000000003</v>
      </c>
      <c r="D30" s="56">
        <v>47.39</v>
      </c>
      <c r="E30" s="56">
        <v>49.06</v>
      </c>
      <c r="F30" s="56">
        <v>5.8</v>
      </c>
      <c r="G30" s="33">
        <v>342.75</v>
      </c>
      <c r="H30" s="35">
        <f t="shared" si="5"/>
        <v>1.1576281916016038</v>
      </c>
      <c r="I30" s="33">
        <v>2560.34</v>
      </c>
      <c r="J30" s="32">
        <v>0.66</v>
      </c>
      <c r="K30" s="12">
        <f t="shared" si="6"/>
        <v>1.3926988816205951E-2</v>
      </c>
      <c r="L30" s="95">
        <f t="shared" si="7"/>
        <v>226.215</v>
      </c>
      <c r="M30" s="94">
        <f t="shared" si="8"/>
        <v>6.8099999999999987</v>
      </c>
      <c r="N30" s="13">
        <f t="shared" si="9"/>
        <v>0.14370120278539775</v>
      </c>
      <c r="O30" s="69" t="s">
        <v>407</v>
      </c>
      <c r="P30" s="14" t="s">
        <v>67</v>
      </c>
      <c r="Q30" s="28" t="s">
        <v>73</v>
      </c>
    </row>
    <row r="31" spans="1:17" s="62" customFormat="1" ht="24.95" customHeight="1" x14ac:dyDescent="0.25">
      <c r="A31" s="93">
        <v>4</v>
      </c>
      <c r="B31" s="10" t="s">
        <v>58</v>
      </c>
      <c r="C31" s="33">
        <v>2332.5300000000002</v>
      </c>
      <c r="D31" s="56">
        <v>69.89</v>
      </c>
      <c r="E31" s="56">
        <v>73.17</v>
      </c>
      <c r="F31" s="56">
        <v>3.85</v>
      </c>
      <c r="G31" s="33">
        <v>365.6</v>
      </c>
      <c r="H31" s="35">
        <f t="shared" si="5"/>
        <v>1.1020174560022893</v>
      </c>
      <c r="I31" s="33">
        <v>2606.73</v>
      </c>
      <c r="J31" s="56">
        <v>0.75</v>
      </c>
      <c r="K31" s="12">
        <f t="shared" si="6"/>
        <v>1.0731148948347403E-2</v>
      </c>
      <c r="L31" s="95">
        <f t="shared" si="7"/>
        <v>274.20000000000005</v>
      </c>
      <c r="M31" s="94">
        <f t="shared" si="8"/>
        <v>6.3799999999999955</v>
      </c>
      <c r="N31" s="13">
        <f t="shared" si="9"/>
        <v>9.1286307053941848E-2</v>
      </c>
      <c r="O31" s="69" t="s">
        <v>79</v>
      </c>
      <c r="P31" s="14" t="s">
        <v>67</v>
      </c>
      <c r="Q31" s="28" t="s">
        <v>57</v>
      </c>
    </row>
    <row r="32" spans="1:17" s="62" customFormat="1" ht="24.95" customHeight="1" x14ac:dyDescent="0.25">
      <c r="A32" s="96">
        <v>5</v>
      </c>
      <c r="B32" s="10" t="s">
        <v>69</v>
      </c>
      <c r="C32" s="33">
        <v>2296.5</v>
      </c>
      <c r="D32" s="56">
        <v>52.43</v>
      </c>
      <c r="E32" s="56">
        <v>54.77</v>
      </c>
      <c r="F32" s="56">
        <v>9</v>
      </c>
      <c r="G32" s="33">
        <v>235.78</v>
      </c>
      <c r="H32" s="35">
        <f t="shared" si="5"/>
        <v>1.2162883845126837</v>
      </c>
      <c r="I32" s="33">
        <v>2673.75</v>
      </c>
      <c r="J32" s="56">
        <v>1.6</v>
      </c>
      <c r="K32" s="12">
        <f t="shared" si="6"/>
        <v>3.0516879649055886E-2</v>
      </c>
      <c r="L32" s="95">
        <f t="shared" si="7"/>
        <v>377.24800000000005</v>
      </c>
      <c r="M32" s="94">
        <f t="shared" si="8"/>
        <v>9.7400000000000038</v>
      </c>
      <c r="N32" s="13">
        <f t="shared" si="9"/>
        <v>0.18577150486362776</v>
      </c>
      <c r="O32" s="69" t="s">
        <v>22</v>
      </c>
      <c r="P32" s="14" t="s">
        <v>408</v>
      </c>
      <c r="Q32" s="28" t="s">
        <v>25</v>
      </c>
    </row>
    <row r="33" spans="1:17" s="62" customFormat="1" ht="24.95" customHeight="1" x14ac:dyDescent="0.25">
      <c r="A33" s="93">
        <v>6</v>
      </c>
      <c r="B33" s="10" t="s">
        <v>50</v>
      </c>
      <c r="C33" s="33">
        <v>1998.27</v>
      </c>
      <c r="D33" s="56">
        <v>338.5</v>
      </c>
      <c r="E33" s="56">
        <v>345.89</v>
      </c>
      <c r="F33" s="56">
        <v>15</v>
      </c>
      <c r="G33" s="33">
        <v>111.2</v>
      </c>
      <c r="H33" s="35">
        <f t="shared" si="5"/>
        <v>1.0661447562776958</v>
      </c>
      <c r="I33" s="33">
        <v>2489.77</v>
      </c>
      <c r="J33" s="56">
        <v>4.42</v>
      </c>
      <c r="K33" s="12">
        <f t="shared" si="6"/>
        <v>1.3057607090103398E-2</v>
      </c>
      <c r="L33" s="95">
        <f t="shared" si="7"/>
        <v>491.50400000000002</v>
      </c>
      <c r="M33" s="94">
        <f t="shared" si="8"/>
        <v>17.969999999999985</v>
      </c>
      <c r="N33" s="13">
        <f t="shared" si="9"/>
        <v>5.3087149187592275E-2</v>
      </c>
      <c r="O33" s="69" t="s">
        <v>22</v>
      </c>
      <c r="P33" s="14" t="s">
        <v>109</v>
      </c>
      <c r="Q33" s="28" t="s">
        <v>49</v>
      </c>
    </row>
    <row r="34" spans="1:17" s="62" customFormat="1" ht="24.95" customHeight="1" x14ac:dyDescent="0.25">
      <c r="A34" s="96">
        <v>7</v>
      </c>
      <c r="B34" s="10" t="s">
        <v>114</v>
      </c>
      <c r="C34" s="33">
        <v>1945.8400000000001</v>
      </c>
      <c r="D34" s="56">
        <v>42.64</v>
      </c>
      <c r="E34" s="56">
        <v>42.23</v>
      </c>
      <c r="F34" s="56">
        <v>3.25</v>
      </c>
      <c r="G34" s="33">
        <v>814.16</v>
      </c>
      <c r="H34" s="35">
        <f t="shared" si="5"/>
        <v>1.0666041275797373</v>
      </c>
      <c r="I34" s="33">
        <v>2312.21</v>
      </c>
      <c r="J34" s="56">
        <v>0.45</v>
      </c>
      <c r="K34" s="12">
        <f t="shared" si="6"/>
        <v>1.0553470919324579E-2</v>
      </c>
      <c r="L34" s="95">
        <f t="shared" si="7"/>
        <v>366.37200000000001</v>
      </c>
      <c r="M34" s="94">
        <f t="shared" si="8"/>
        <v>2.3899999999999961</v>
      </c>
      <c r="N34" s="13">
        <f t="shared" si="9"/>
        <v>5.6050656660412666E-2</v>
      </c>
      <c r="O34" s="69" t="s">
        <v>79</v>
      </c>
      <c r="P34" s="14" t="s">
        <v>67</v>
      </c>
      <c r="Q34" s="28" t="s">
        <v>113</v>
      </c>
    </row>
    <row r="35" spans="1:17" s="62" customFormat="1" ht="24.95" customHeight="1" x14ac:dyDescent="0.25">
      <c r="A35" s="93">
        <v>8</v>
      </c>
      <c r="B35" s="10" t="s">
        <v>33</v>
      </c>
      <c r="C35" s="33">
        <v>1628</v>
      </c>
      <c r="D35" s="56">
        <v>96.23</v>
      </c>
      <c r="E35" s="56">
        <v>97.84</v>
      </c>
      <c r="F35" s="56">
        <v>10.4</v>
      </c>
      <c r="G35" s="33">
        <v>203.5</v>
      </c>
      <c r="H35" s="35">
        <f t="shared" si="5"/>
        <v>1.1248051543177804</v>
      </c>
      <c r="I35" s="33">
        <v>2444.04</v>
      </c>
      <c r="J35" s="56">
        <v>4.01</v>
      </c>
      <c r="K35" s="12">
        <f t="shared" si="6"/>
        <v>4.167099657071599E-2</v>
      </c>
      <c r="L35" s="95">
        <f t="shared" si="7"/>
        <v>816.03499999999997</v>
      </c>
      <c r="M35" s="94">
        <f t="shared" si="8"/>
        <v>8.0000000000000053</v>
      </c>
      <c r="N35" s="13">
        <f t="shared" si="9"/>
        <v>8.3134157747064383E-2</v>
      </c>
      <c r="O35" s="69" t="s">
        <v>18</v>
      </c>
      <c r="P35" s="14" t="s">
        <v>65</v>
      </c>
      <c r="Q35" s="28" t="s">
        <v>25</v>
      </c>
    </row>
    <row r="36" spans="1:17" s="62" customFormat="1" ht="24.95" customHeight="1" x14ac:dyDescent="0.25">
      <c r="A36" s="96">
        <v>9</v>
      </c>
      <c r="B36" s="10" t="s">
        <v>53</v>
      </c>
      <c r="C36" s="33">
        <v>1612.73</v>
      </c>
      <c r="D36" s="56">
        <v>75.63</v>
      </c>
      <c r="E36" s="56">
        <v>78.099999999999994</v>
      </c>
      <c r="F36" s="56">
        <v>4.2</v>
      </c>
      <c r="G36" s="33">
        <v>333.9</v>
      </c>
      <c r="H36" s="35">
        <f t="shared" si="5"/>
        <v>1.0881925161972763</v>
      </c>
      <c r="I36" s="33">
        <v>2227.11</v>
      </c>
      <c r="J36" s="56">
        <v>1.84</v>
      </c>
      <c r="K36" s="12">
        <f t="shared" si="6"/>
        <v>2.4328969985455511E-2</v>
      </c>
      <c r="L36" s="95">
        <f t="shared" si="7"/>
        <v>614.37599999999998</v>
      </c>
      <c r="M36" s="94">
        <f t="shared" si="8"/>
        <v>4.8300000000000018</v>
      </c>
      <c r="N36" s="13">
        <f t="shared" si="9"/>
        <v>6.3863546211820735E-2</v>
      </c>
      <c r="O36" s="69" t="s">
        <v>79</v>
      </c>
      <c r="P36" s="14" t="s">
        <v>67</v>
      </c>
      <c r="Q36" s="28" t="s">
        <v>78</v>
      </c>
    </row>
    <row r="37" spans="1:17" s="62" customFormat="1" ht="24.95" customHeight="1" thickBot="1" x14ac:dyDescent="0.3">
      <c r="A37" s="97">
        <v>10</v>
      </c>
      <c r="B37" s="16" t="s">
        <v>68</v>
      </c>
      <c r="C37" s="34">
        <v>1555.5900000000001</v>
      </c>
      <c r="D37" s="58">
        <v>34.950000000000003</v>
      </c>
      <c r="E37" s="58">
        <v>44.52</v>
      </c>
      <c r="F37" s="58">
        <v>0</v>
      </c>
      <c r="G37" s="34">
        <v>294.62</v>
      </c>
      <c r="H37" s="36">
        <f t="shared" si="5"/>
        <v>1.2738197424892703</v>
      </c>
      <c r="I37" s="34">
        <v>2819.51</v>
      </c>
      <c r="J37" s="58">
        <v>4.29</v>
      </c>
      <c r="K37" s="18">
        <f t="shared" si="6"/>
        <v>0.12274678111587982</v>
      </c>
      <c r="L37" s="99">
        <f t="shared" si="7"/>
        <v>1263.9198000000001</v>
      </c>
      <c r="M37" s="98">
        <f t="shared" si="8"/>
        <v>5.28</v>
      </c>
      <c r="N37" s="19">
        <f t="shared" si="9"/>
        <v>0.15107296137339055</v>
      </c>
      <c r="O37" s="52" t="s">
        <v>18</v>
      </c>
      <c r="P37" s="20" t="s">
        <v>410</v>
      </c>
      <c r="Q37" s="65" t="s">
        <v>25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272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219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937" t="s">
        <v>224</v>
      </c>
      <c r="B41" s="450" t="s">
        <v>246</v>
      </c>
      <c r="C41" s="450"/>
      <c r="D41" s="451"/>
      <c r="E41" s="23"/>
      <c r="G41" s="21"/>
      <c r="H41" s="22"/>
    </row>
    <row r="42" spans="1:17" ht="20.45" customHeight="1" x14ac:dyDescent="0.35">
      <c r="A42" s="937"/>
      <c r="B42" s="938" t="s">
        <v>189</v>
      </c>
      <c r="C42" s="939" t="s">
        <v>250</v>
      </c>
      <c r="D42" s="921" t="s">
        <v>215</v>
      </c>
      <c r="E42" s="23"/>
      <c r="G42" s="21"/>
      <c r="H42" s="22"/>
    </row>
    <row r="43" spans="1:17" ht="20.45" customHeight="1" x14ac:dyDescent="0.35">
      <c r="A43" s="937"/>
      <c r="B43" s="938"/>
      <c r="C43" s="939"/>
      <c r="D43" s="921"/>
      <c r="E43" s="23"/>
      <c r="G43" s="21"/>
      <c r="H43" s="22"/>
    </row>
    <row r="44" spans="1:17" s="26" customFormat="1" ht="24.95" customHeight="1" x14ac:dyDescent="0.35">
      <c r="A44" s="103">
        <v>1</v>
      </c>
      <c r="B44" s="10" t="s">
        <v>68</v>
      </c>
      <c r="C44" s="33">
        <v>1263.92</v>
      </c>
      <c r="D44" s="24">
        <f t="shared" ref="D44:D53" si="10">C44/$L$5</f>
        <v>0.20715245681319044</v>
      </c>
      <c r="E44" s="25"/>
      <c r="G44" s="21"/>
      <c r="H44" s="22"/>
    </row>
    <row r="45" spans="1:17" s="26" customFormat="1" ht="24.95" customHeight="1" x14ac:dyDescent="0.35">
      <c r="A45" s="104">
        <v>2</v>
      </c>
      <c r="B45" s="10" t="s">
        <v>59</v>
      </c>
      <c r="C45" s="33">
        <v>1091.0999999999999</v>
      </c>
      <c r="D45" s="24">
        <f t="shared" si="10"/>
        <v>0.17882781001081718</v>
      </c>
      <c r="E45" s="25"/>
      <c r="G45" s="21"/>
      <c r="H45" s="22"/>
    </row>
    <row r="46" spans="1:17" s="26" customFormat="1" ht="24.95" customHeight="1" x14ac:dyDescent="0.35">
      <c r="A46" s="104">
        <v>3</v>
      </c>
      <c r="B46" s="10" t="s">
        <v>33</v>
      </c>
      <c r="C46" s="33">
        <v>816.04</v>
      </c>
      <c r="D46" s="24">
        <f t="shared" si="10"/>
        <v>0.13374635329596488</v>
      </c>
      <c r="E46" s="25"/>
      <c r="G46" s="21"/>
      <c r="H46" s="22"/>
    </row>
    <row r="47" spans="1:17" s="26" customFormat="1" ht="24.95" customHeight="1" x14ac:dyDescent="0.35">
      <c r="A47" s="103">
        <v>4</v>
      </c>
      <c r="B47" s="10" t="s">
        <v>86</v>
      </c>
      <c r="C47" s="33">
        <v>565.53</v>
      </c>
      <c r="D47" s="24">
        <f t="shared" si="10"/>
        <v>9.2688563280558564E-2</v>
      </c>
      <c r="E47" s="25"/>
      <c r="G47" s="21"/>
      <c r="H47" s="22"/>
    </row>
    <row r="48" spans="1:17" s="26" customFormat="1" ht="24.95" customHeight="1" x14ac:dyDescent="0.35">
      <c r="A48" s="104">
        <v>5</v>
      </c>
      <c r="B48" s="10" t="s">
        <v>37</v>
      </c>
      <c r="C48" s="33">
        <v>507.84</v>
      </c>
      <c r="D48" s="24">
        <f t="shared" si="10"/>
        <v>8.3233356278886811E-2</v>
      </c>
      <c r="E48" s="25"/>
      <c r="G48" s="21"/>
      <c r="H48" s="22"/>
    </row>
    <row r="49" spans="1:5" s="26" customFormat="1" ht="24.95" customHeight="1" x14ac:dyDescent="0.25">
      <c r="A49" s="103">
        <v>6</v>
      </c>
      <c r="B49" s="10" t="s">
        <v>69</v>
      </c>
      <c r="C49" s="33">
        <v>377.25</v>
      </c>
      <c r="D49" s="24">
        <f t="shared" si="10"/>
        <v>6.1830071786803033E-2</v>
      </c>
      <c r="E49" s="25"/>
    </row>
    <row r="50" spans="1:5" s="26" customFormat="1" ht="24.95" customHeight="1" x14ac:dyDescent="0.25">
      <c r="A50" s="104">
        <v>7</v>
      </c>
      <c r="B50" s="10" t="s">
        <v>63</v>
      </c>
      <c r="C50" s="33">
        <v>369.06</v>
      </c>
      <c r="D50" s="24">
        <f t="shared" si="10"/>
        <v>6.0487756908250569E-2</v>
      </c>
      <c r="E50" s="25"/>
    </row>
    <row r="51" spans="1:5" s="26" customFormat="1" ht="24.95" customHeight="1" x14ac:dyDescent="0.25">
      <c r="A51" s="103">
        <v>8</v>
      </c>
      <c r="B51" s="10" t="s">
        <v>31</v>
      </c>
      <c r="C51" s="33">
        <v>351.31</v>
      </c>
      <c r="D51" s="24">
        <f t="shared" si="10"/>
        <v>5.7578588520667391E-2</v>
      </c>
      <c r="E51" s="25"/>
    </row>
    <row r="52" spans="1:5" s="26" customFormat="1" ht="24.95" customHeight="1" x14ac:dyDescent="0.25">
      <c r="A52" s="104">
        <v>9</v>
      </c>
      <c r="B52" s="10" t="s">
        <v>35</v>
      </c>
      <c r="C52" s="33">
        <v>213.28</v>
      </c>
      <c r="D52" s="24">
        <f t="shared" si="10"/>
        <v>3.4955911757957189E-2</v>
      </c>
      <c r="E52" s="25"/>
    </row>
    <row r="53" spans="1:5" s="26" customFormat="1" ht="24.95" customHeight="1" thickBot="1" x14ac:dyDescent="0.3">
      <c r="A53" s="105">
        <v>10</v>
      </c>
      <c r="B53" s="16" t="s">
        <v>38</v>
      </c>
      <c r="C53" s="34">
        <v>202.2</v>
      </c>
      <c r="D53" s="27">
        <f t="shared" si="10"/>
        <v>3.3139935096863013E-2</v>
      </c>
      <c r="E53" s="25"/>
    </row>
    <row r="54" spans="1:5" x14ac:dyDescent="0.25">
      <c r="A54" s="441" t="s">
        <v>273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274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151" priority="33" operator="containsText" text="024">
      <formula>NOT(ISERROR(SEARCH("024",A12)))</formula>
    </cfRule>
    <cfRule type="containsText" dxfId="150" priority="34" operator="containsText" text="白醬">
      <formula>NOT(ISERROR(SEARCH("白醬",A12)))</formula>
    </cfRule>
    <cfRule type="containsText" dxfId="149" priority="35" operator="containsText" text="青蔥">
      <formula>NOT(ISERROR(SEARCH("青蔥",A12)))</formula>
    </cfRule>
    <cfRule type="containsText" dxfId="148" priority="36" operator="containsText" text=")川燙小青花菜">
      <formula>NOT(ISERROR(SEARCH(")川燙小青花菜",A12)))</formula>
    </cfRule>
    <cfRule type="containsText" dxfId="147" priority="37" operator="containsText" text="湯凍">
      <formula>NOT(ISERROR(SEARCH("湯凍",A12)))</formula>
    </cfRule>
    <cfRule type="containsText" dxfId="146" priority="38" operator="containsText" text="中華">
      <formula>NOT(ISERROR(SEARCH("中華",A12)))</formula>
    </cfRule>
  </conditionalFormatting>
  <conditionalFormatting sqref="A12:A22">
    <cfRule type="containsText" dxfId="145" priority="31" operator="containsText" text="綠豆芽">
      <formula>NOT(ISERROR(SEARCH("綠豆芽",A12)))</formula>
    </cfRule>
    <cfRule type="containsText" dxfId="144" priority="32" operator="containsText" text="煮白細麵生(方#12)">
      <formula>NOT(ISERROR(SEARCH("煮白細麵生(方#12)",A12)))</formula>
    </cfRule>
  </conditionalFormatting>
  <conditionalFormatting sqref="E5">
    <cfRule type="cellIs" dxfId="143" priority="16" operator="greaterThan">
      <formula>0.0025</formula>
    </cfRule>
    <cfRule type="cellIs" dxfId="142" priority="19" operator="greaterThan">
      <formula>0.0025</formula>
    </cfRule>
    <cfRule type="cellIs" dxfId="141" priority="29" operator="greaterThan">
      <formula>0.072</formula>
    </cfRule>
    <cfRule type="cellIs" dxfId="140" priority="30" operator="greaterThan">
      <formula>7.2</formula>
    </cfRule>
  </conditionalFormatting>
  <conditionalFormatting sqref="E5">
    <cfRule type="cellIs" dxfId="139" priority="28" operator="greaterThan">
      <formula>0.0025</formula>
    </cfRule>
  </conditionalFormatting>
  <conditionalFormatting sqref="A44:A53">
    <cfRule type="containsText" dxfId="138" priority="22" operator="containsText" text="024">
      <formula>NOT(ISERROR(SEARCH("024",A44)))</formula>
    </cfRule>
    <cfRule type="containsText" dxfId="137" priority="23" operator="containsText" text="白醬">
      <formula>NOT(ISERROR(SEARCH("白醬",A44)))</formula>
    </cfRule>
    <cfRule type="containsText" dxfId="136" priority="24" operator="containsText" text="青蔥">
      <formula>NOT(ISERROR(SEARCH("青蔥",A44)))</formula>
    </cfRule>
    <cfRule type="containsText" dxfId="135" priority="25" operator="containsText" text=")川燙小青花菜">
      <formula>NOT(ISERROR(SEARCH(")川燙小青花菜",A44)))</formula>
    </cfRule>
    <cfRule type="containsText" dxfId="134" priority="26" operator="containsText" text="湯凍">
      <formula>NOT(ISERROR(SEARCH("湯凍",A44)))</formula>
    </cfRule>
    <cfRule type="containsText" dxfId="133" priority="27" operator="containsText" text="中華">
      <formula>NOT(ISERROR(SEARCH("中華",A44)))</formula>
    </cfRule>
  </conditionalFormatting>
  <conditionalFormatting sqref="A44:A53">
    <cfRule type="containsText" dxfId="132" priority="20" operator="containsText" text="綠豆芽">
      <formula>NOT(ISERROR(SEARCH("綠豆芽",A44)))</formula>
    </cfRule>
    <cfRule type="containsText" dxfId="131" priority="21" operator="containsText" text="煮白細麵生(方#12)">
      <formula>NOT(ISERROR(SEARCH("煮白細麵生(方#12)",A44)))</formula>
    </cfRule>
  </conditionalFormatting>
  <conditionalFormatting sqref="D44:D53">
    <cfRule type="cellIs" dxfId="130" priority="18" operator="greaterThan">
      <formula>0.146</formula>
    </cfRule>
  </conditionalFormatting>
  <conditionalFormatting sqref="H12:H22">
    <cfRule type="cellIs" dxfId="129" priority="17" operator="greaterThan">
      <formula>1.1</formula>
    </cfRule>
  </conditionalFormatting>
  <conditionalFormatting sqref="I5">
    <cfRule type="cellIs" dxfId="128" priority="15" operator="greaterThan">
      <formula>0.2</formula>
    </cfRule>
  </conditionalFormatting>
  <conditionalFormatting sqref="A28:A37">
    <cfRule type="containsText" dxfId="127" priority="9" operator="containsText" text="024">
      <formula>NOT(ISERROR(SEARCH("024",A28)))</formula>
    </cfRule>
    <cfRule type="containsText" dxfId="126" priority="10" operator="containsText" text="白醬">
      <formula>NOT(ISERROR(SEARCH("白醬",A28)))</formula>
    </cfRule>
    <cfRule type="containsText" dxfId="125" priority="11" operator="containsText" text="青蔥">
      <formula>NOT(ISERROR(SEARCH("青蔥",A28)))</formula>
    </cfRule>
    <cfRule type="containsText" dxfId="124" priority="12" operator="containsText" text=")川燙小青花菜">
      <formula>NOT(ISERROR(SEARCH(")川燙小青花菜",A28)))</formula>
    </cfRule>
    <cfRule type="containsText" dxfId="123" priority="13" operator="containsText" text="湯凍">
      <formula>NOT(ISERROR(SEARCH("湯凍",A28)))</formula>
    </cfRule>
    <cfRule type="containsText" dxfId="122" priority="14" operator="containsText" text="中華">
      <formula>NOT(ISERROR(SEARCH("中華",A28)))</formula>
    </cfRule>
  </conditionalFormatting>
  <conditionalFormatting sqref="A28:A37">
    <cfRule type="containsText" dxfId="121" priority="7" operator="containsText" text="綠豆芽">
      <formula>NOT(ISERROR(SEARCH("綠豆芽",A28)))</formula>
    </cfRule>
    <cfRule type="containsText" dxfId="120" priority="8" operator="containsText" text="煮白細麵生(方#12)">
      <formula>NOT(ISERROR(SEARCH("煮白細麵生(方#12)",A28)))</formula>
    </cfRule>
  </conditionalFormatting>
  <conditionalFormatting sqref="H28:H37">
    <cfRule type="cellIs" dxfId="119" priority="6" operator="greaterThan">
      <formula>1.1</formula>
    </cfRule>
  </conditionalFormatting>
  <conditionalFormatting sqref="G5">
    <cfRule type="cellIs" dxfId="118" priority="1" operator="greaterThan">
      <formula>0.0025</formula>
    </cfRule>
    <cfRule type="cellIs" dxfId="117" priority="2" operator="greaterThan">
      <formula>0.0025</formula>
    </cfRule>
    <cfRule type="cellIs" dxfId="116" priority="4" operator="greaterThan">
      <formula>0.072</formula>
    </cfRule>
    <cfRule type="cellIs" dxfId="115" priority="5" operator="greaterThan">
      <formula>7.2</formula>
    </cfRule>
  </conditionalFormatting>
  <conditionalFormatting sqref="G5">
    <cfRule type="cellIs" dxfId="114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K25" zoomScale="60" zoomScaleNormal="60" workbookViewId="0">
      <selection activeCell="O35" sqref="O35:P3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915" t="s">
        <v>92</v>
      </c>
      <c r="B2" s="916"/>
      <c r="C2" s="88" t="s">
        <v>93</v>
      </c>
      <c r="D2" s="917" t="s">
        <v>94</v>
      </c>
      <c r="E2" s="917"/>
      <c r="F2" s="917" t="s">
        <v>95</v>
      </c>
      <c r="G2" s="917"/>
      <c r="H2" s="917" t="s">
        <v>94</v>
      </c>
      <c r="I2" s="917"/>
      <c r="J2" s="917" t="s">
        <v>95</v>
      </c>
      <c r="K2" s="917"/>
      <c r="L2" s="917" t="s">
        <v>94</v>
      </c>
      <c r="M2" s="918"/>
      <c r="Q2" s="54"/>
    </row>
    <row r="3" spans="1:17" s="1" customFormat="1" ht="28.5" x14ac:dyDescent="0.45">
      <c r="A3" s="925">
        <v>45872</v>
      </c>
      <c r="B3" s="926"/>
      <c r="C3" s="927">
        <v>5941913.1299999999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925"/>
      <c r="B4" s="926"/>
      <c r="C4" s="927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919" t="s">
        <v>105</v>
      </c>
      <c r="B5" s="920"/>
      <c r="C5" s="920"/>
      <c r="D5" s="89">
        <v>14483.439999999999</v>
      </c>
      <c r="E5" s="5">
        <f>D5/C3</f>
        <v>2.4375045011807502E-3</v>
      </c>
      <c r="F5" s="89">
        <v>50877.050000000017</v>
      </c>
      <c r="G5" s="44">
        <f>F5/C3</f>
        <v>8.5624021904877664E-3</v>
      </c>
      <c r="H5" s="6">
        <f>SUM(C12:C21)</f>
        <v>7244.99</v>
      </c>
      <c r="I5" s="7">
        <f>H5/D5</f>
        <v>0.5002257750921052</v>
      </c>
      <c r="J5" s="6">
        <f>SUM(C28:C37)</f>
        <v>30134.399999999998</v>
      </c>
      <c r="K5" s="46">
        <f>J5/F5</f>
        <v>0.59229849214921049</v>
      </c>
      <c r="L5" s="8">
        <v>5115.8999999999996</v>
      </c>
      <c r="M5" s="9">
        <f>L5/D5</f>
        <v>0.35322409593301041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218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219</v>
      </c>
      <c r="B8" s="447"/>
      <c r="C8" s="447"/>
      <c r="D8" s="447" t="s">
        <v>220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221</v>
      </c>
      <c r="P8" s="456" t="s">
        <v>222</v>
      </c>
      <c r="Q8" s="921" t="s">
        <v>223</v>
      </c>
    </row>
    <row r="9" spans="1:17" ht="20.45" customHeight="1" x14ac:dyDescent="0.25">
      <c r="A9" s="922" t="s">
        <v>224</v>
      </c>
      <c r="B9" s="461" t="s">
        <v>225</v>
      </c>
      <c r="C9" s="462"/>
      <c r="D9" s="463" t="s">
        <v>187</v>
      </c>
      <c r="E9" s="463"/>
      <c r="F9" s="463"/>
      <c r="G9" s="463"/>
      <c r="H9" s="463"/>
      <c r="I9" s="463"/>
      <c r="J9" s="464" t="s">
        <v>226</v>
      </c>
      <c r="K9" s="464"/>
      <c r="L9" s="464"/>
      <c r="M9" s="465"/>
      <c r="N9" s="465"/>
      <c r="O9" s="456"/>
      <c r="P9" s="456"/>
      <c r="Q9" s="921"/>
    </row>
    <row r="10" spans="1:17" ht="20.45" customHeight="1" x14ac:dyDescent="0.3">
      <c r="A10" s="923"/>
      <c r="B10" s="928" t="s">
        <v>227</v>
      </c>
      <c r="C10" s="930" t="s">
        <v>228</v>
      </c>
      <c r="D10" s="932" t="s">
        <v>191</v>
      </c>
      <c r="E10" s="932"/>
      <c r="F10" s="932"/>
      <c r="G10" s="932"/>
      <c r="H10" s="932"/>
      <c r="I10" s="932"/>
      <c r="J10" s="933" t="s">
        <v>192</v>
      </c>
      <c r="K10" s="934"/>
      <c r="L10" s="935" t="s">
        <v>229</v>
      </c>
      <c r="M10" s="933"/>
      <c r="N10" s="933"/>
      <c r="O10" s="456"/>
      <c r="P10" s="456"/>
      <c r="Q10" s="921"/>
    </row>
    <row r="11" spans="1:17" s="55" customFormat="1" ht="47.25" customHeight="1" x14ac:dyDescent="0.25">
      <c r="A11" s="924"/>
      <c r="B11" s="929"/>
      <c r="C11" s="931"/>
      <c r="D11" s="90" t="s">
        <v>194</v>
      </c>
      <c r="E11" s="90" t="s">
        <v>195</v>
      </c>
      <c r="F11" s="90" t="s">
        <v>196</v>
      </c>
      <c r="G11" s="90" t="s">
        <v>230</v>
      </c>
      <c r="H11" s="90" t="s">
        <v>231</v>
      </c>
      <c r="I11" s="90" t="s">
        <v>211</v>
      </c>
      <c r="J11" s="91" t="s">
        <v>232</v>
      </c>
      <c r="K11" s="91" t="s">
        <v>201</v>
      </c>
      <c r="L11" s="91" t="s">
        <v>232</v>
      </c>
      <c r="M11" s="91" t="s">
        <v>201</v>
      </c>
      <c r="N11" s="92" t="s">
        <v>233</v>
      </c>
      <c r="O11" s="456"/>
      <c r="P11" s="456"/>
      <c r="Q11" s="921"/>
    </row>
    <row r="12" spans="1:17" s="15" customFormat="1" ht="24.95" customHeight="1" x14ac:dyDescent="0.25">
      <c r="A12" s="93">
        <v>1</v>
      </c>
      <c r="B12" s="10" t="s">
        <v>47</v>
      </c>
      <c r="C12" s="33">
        <v>1035.1099999999999</v>
      </c>
      <c r="D12" s="56">
        <v>47.88</v>
      </c>
      <c r="E12" s="56">
        <v>55.75</v>
      </c>
      <c r="F12" s="56">
        <v>0</v>
      </c>
      <c r="G12" s="33">
        <v>342.75</v>
      </c>
      <c r="H12" s="11">
        <f t="shared" ref="H12:H21" si="0">(E12+F12)/D12</f>
        <v>1.1643692564745196</v>
      </c>
      <c r="I12" s="33">
        <v>2697.44</v>
      </c>
      <c r="J12" s="56">
        <v>3.02</v>
      </c>
      <c r="K12" s="12">
        <f t="shared" ref="K12:K21" si="1">J12/D12</f>
        <v>6.3074352548036755E-2</v>
      </c>
      <c r="L12" s="94">
        <f t="shared" ref="L12:L21" si="2">((E12+F12)-D12)-J12</f>
        <v>4.8499999999999979</v>
      </c>
      <c r="M12" s="13">
        <f t="shared" ref="M12:M21" si="3">L12/D12</f>
        <v>0.10129490392648283</v>
      </c>
      <c r="N12" s="95">
        <f t="shared" ref="N12:N21" si="4">L12*G12</f>
        <v>1662.3374999999992</v>
      </c>
      <c r="O12" s="66" t="s">
        <v>431</v>
      </c>
      <c r="P12" s="66" t="s">
        <v>423</v>
      </c>
      <c r="Q12" s="28" t="s">
        <v>73</v>
      </c>
    </row>
    <row r="13" spans="1:17" s="15" customFormat="1" ht="24.95" customHeight="1" x14ac:dyDescent="0.25">
      <c r="A13" s="96">
        <v>2</v>
      </c>
      <c r="B13" s="10" t="s">
        <v>83</v>
      </c>
      <c r="C13" s="33">
        <v>940.49</v>
      </c>
      <c r="D13" s="56">
        <v>37.42</v>
      </c>
      <c r="E13" s="56">
        <v>45.39</v>
      </c>
      <c r="F13" s="56">
        <v>0</v>
      </c>
      <c r="G13" s="33">
        <v>268.70999999999998</v>
      </c>
      <c r="H13" s="11">
        <f t="shared" si="0"/>
        <v>1.212987707108498</v>
      </c>
      <c r="I13" s="33">
        <v>2141.62</v>
      </c>
      <c r="J13" s="56">
        <v>3.5</v>
      </c>
      <c r="K13" s="12">
        <f t="shared" si="1"/>
        <v>9.3532870122928907E-2</v>
      </c>
      <c r="L13" s="94">
        <f t="shared" si="2"/>
        <v>4.4699999999999989</v>
      </c>
      <c r="M13" s="13">
        <f t="shared" si="3"/>
        <v>0.11945483698556918</v>
      </c>
      <c r="N13" s="95">
        <f t="shared" si="4"/>
        <v>1201.1336999999996</v>
      </c>
      <c r="O13" s="66" t="s">
        <v>20</v>
      </c>
      <c r="P13" s="66" t="s">
        <v>432</v>
      </c>
      <c r="Q13" s="28" t="s">
        <v>82</v>
      </c>
    </row>
    <row r="14" spans="1:17" s="57" customFormat="1" ht="24.95" customHeight="1" x14ac:dyDescent="0.25">
      <c r="A14" s="96">
        <v>3</v>
      </c>
      <c r="B14" s="10" t="s">
        <v>41</v>
      </c>
      <c r="C14" s="33">
        <v>937.66</v>
      </c>
      <c r="D14" s="56">
        <v>150.08000000000001</v>
      </c>
      <c r="E14" s="56">
        <v>171.06</v>
      </c>
      <c r="F14" s="56">
        <v>0</v>
      </c>
      <c r="G14" s="33">
        <v>127.4</v>
      </c>
      <c r="H14" s="11">
        <f t="shared" si="0"/>
        <v>1.1397921108742004</v>
      </c>
      <c r="I14" s="33">
        <v>2672.85</v>
      </c>
      <c r="J14" s="56">
        <v>7.36</v>
      </c>
      <c r="K14" s="12">
        <f t="shared" si="1"/>
        <v>4.9040511727078892E-2</v>
      </c>
      <c r="L14" s="94">
        <f t="shared" si="2"/>
        <v>13.61999999999999</v>
      </c>
      <c r="M14" s="13">
        <f t="shared" si="3"/>
        <v>9.075159914712147E-2</v>
      </c>
      <c r="N14" s="95">
        <f t="shared" si="4"/>
        <v>1735.1879999999987</v>
      </c>
      <c r="O14" s="66" t="s">
        <v>433</v>
      </c>
      <c r="P14" s="66" t="s">
        <v>432</v>
      </c>
      <c r="Q14" s="28" t="s">
        <v>25</v>
      </c>
    </row>
    <row r="15" spans="1:17" s="15" customFormat="1" ht="24.95" customHeight="1" x14ac:dyDescent="0.25">
      <c r="A15" s="93">
        <v>4</v>
      </c>
      <c r="B15" s="10" t="s">
        <v>50</v>
      </c>
      <c r="C15" s="33">
        <v>896.27</v>
      </c>
      <c r="D15" s="56">
        <v>344.1</v>
      </c>
      <c r="E15" s="56">
        <v>357.56</v>
      </c>
      <c r="F15" s="56">
        <v>20</v>
      </c>
      <c r="G15" s="33">
        <v>111.2</v>
      </c>
      <c r="H15" s="11">
        <f t="shared" si="0"/>
        <v>1.0972391746585295</v>
      </c>
      <c r="I15" s="33">
        <v>3720.75</v>
      </c>
      <c r="J15" s="56">
        <v>8.06</v>
      </c>
      <c r="K15" s="12">
        <f t="shared" si="1"/>
        <v>2.3423423423423424E-2</v>
      </c>
      <c r="L15" s="94">
        <f t="shared" si="2"/>
        <v>25.399999999999977</v>
      </c>
      <c r="M15" s="13">
        <f t="shared" si="3"/>
        <v>7.3815751235106003E-2</v>
      </c>
      <c r="N15" s="95">
        <f t="shared" si="4"/>
        <v>2824.4799999999977</v>
      </c>
      <c r="O15" s="66" t="s">
        <v>20</v>
      </c>
      <c r="P15" s="66" t="s">
        <v>419</v>
      </c>
      <c r="Q15" s="28" t="s">
        <v>49</v>
      </c>
    </row>
    <row r="16" spans="1:17" s="57" customFormat="1" ht="24.95" customHeight="1" x14ac:dyDescent="0.25">
      <c r="A16" s="96">
        <v>5</v>
      </c>
      <c r="B16" s="10" t="s">
        <v>28</v>
      </c>
      <c r="C16" s="33">
        <v>881.2</v>
      </c>
      <c r="D16" s="56">
        <v>100.17</v>
      </c>
      <c r="E16" s="56">
        <v>119.47</v>
      </c>
      <c r="F16" s="56">
        <v>0</v>
      </c>
      <c r="G16" s="33">
        <v>115.19</v>
      </c>
      <c r="H16" s="11">
        <f t="shared" si="0"/>
        <v>1.1926724568234002</v>
      </c>
      <c r="I16" s="33">
        <v>2223.17</v>
      </c>
      <c r="J16" s="56">
        <v>7.65</v>
      </c>
      <c r="K16" s="12">
        <f t="shared" si="1"/>
        <v>7.637017070979335E-2</v>
      </c>
      <c r="L16" s="94">
        <f t="shared" si="2"/>
        <v>11.649999999999997</v>
      </c>
      <c r="M16" s="13">
        <f t="shared" si="3"/>
        <v>0.11630228611360684</v>
      </c>
      <c r="N16" s="95">
        <f t="shared" si="4"/>
        <v>1341.9634999999996</v>
      </c>
      <c r="O16" s="66" t="s">
        <v>433</v>
      </c>
      <c r="P16" s="66" t="s">
        <v>419</v>
      </c>
      <c r="Q16" s="28" t="s">
        <v>29</v>
      </c>
    </row>
    <row r="17" spans="1:17" s="15" customFormat="1" ht="24.95" customHeight="1" x14ac:dyDescent="0.25">
      <c r="A17" s="93">
        <v>6</v>
      </c>
      <c r="B17" s="10" t="s">
        <v>68</v>
      </c>
      <c r="C17" s="33">
        <v>736.55</v>
      </c>
      <c r="D17" s="56">
        <v>35.58</v>
      </c>
      <c r="E17" s="56">
        <v>41.27</v>
      </c>
      <c r="F17" s="56">
        <v>0</v>
      </c>
      <c r="G17" s="33">
        <v>294.62</v>
      </c>
      <c r="H17" s="11">
        <f t="shared" si="0"/>
        <v>1.1599213041034291</v>
      </c>
      <c r="I17" s="33">
        <v>1676.39</v>
      </c>
      <c r="J17" s="56">
        <v>2.5</v>
      </c>
      <c r="K17" s="12">
        <f t="shared" si="1"/>
        <v>7.0264193367060149E-2</v>
      </c>
      <c r="L17" s="94">
        <f t="shared" si="2"/>
        <v>3.1900000000000048</v>
      </c>
      <c r="M17" s="13">
        <f t="shared" si="3"/>
        <v>8.9657110736368881E-2</v>
      </c>
      <c r="N17" s="95">
        <f t="shared" si="4"/>
        <v>939.83780000000149</v>
      </c>
      <c r="O17" s="66" t="s">
        <v>21</v>
      </c>
      <c r="P17" s="66" t="s">
        <v>434</v>
      </c>
      <c r="Q17" s="28" t="s">
        <v>25</v>
      </c>
    </row>
    <row r="18" spans="1:17" s="57" customFormat="1" ht="24.95" customHeight="1" x14ac:dyDescent="0.25">
      <c r="A18" s="96">
        <v>7</v>
      </c>
      <c r="B18" s="10" t="s">
        <v>114</v>
      </c>
      <c r="C18" s="33">
        <v>488.5</v>
      </c>
      <c r="D18" s="56">
        <v>44.73</v>
      </c>
      <c r="E18" s="56">
        <v>46.1</v>
      </c>
      <c r="F18" s="56">
        <v>0</v>
      </c>
      <c r="G18" s="33">
        <v>814.16</v>
      </c>
      <c r="H18" s="11">
        <f t="shared" si="0"/>
        <v>1.0306282137268055</v>
      </c>
      <c r="I18" s="33">
        <v>1115.4000000000001</v>
      </c>
      <c r="J18" s="56">
        <v>0.6</v>
      </c>
      <c r="K18" s="12">
        <f t="shared" si="1"/>
        <v>1.341381623071764E-2</v>
      </c>
      <c r="L18" s="94">
        <f t="shared" si="2"/>
        <v>0.77000000000000457</v>
      </c>
      <c r="M18" s="13">
        <f t="shared" si="3"/>
        <v>1.721439749608774E-2</v>
      </c>
      <c r="N18" s="95">
        <f t="shared" si="4"/>
        <v>626.90320000000372</v>
      </c>
      <c r="O18" s="66" t="s">
        <v>135</v>
      </c>
      <c r="P18" s="66" t="s">
        <v>428</v>
      </c>
      <c r="Q18" s="28" t="s">
        <v>113</v>
      </c>
    </row>
    <row r="19" spans="1:17" s="15" customFormat="1" ht="24.95" customHeight="1" x14ac:dyDescent="0.25">
      <c r="A19" s="93">
        <v>8</v>
      </c>
      <c r="B19" s="10" t="s">
        <v>108</v>
      </c>
      <c r="C19" s="33">
        <v>449.78</v>
      </c>
      <c r="D19" s="56">
        <v>50.46</v>
      </c>
      <c r="E19" s="56">
        <v>58.14</v>
      </c>
      <c r="F19" s="56">
        <v>0</v>
      </c>
      <c r="G19" s="33">
        <v>118.99</v>
      </c>
      <c r="H19" s="11">
        <f t="shared" si="0"/>
        <v>1.1521997621878717</v>
      </c>
      <c r="I19" s="33">
        <v>913.84</v>
      </c>
      <c r="J19" s="56">
        <v>3.78</v>
      </c>
      <c r="K19" s="12">
        <f t="shared" si="1"/>
        <v>7.4910820451843038E-2</v>
      </c>
      <c r="L19" s="94">
        <f t="shared" si="2"/>
        <v>3.9</v>
      </c>
      <c r="M19" s="13">
        <f t="shared" si="3"/>
        <v>7.728894173602853E-2</v>
      </c>
      <c r="N19" s="95">
        <f t="shared" si="4"/>
        <v>464.06099999999998</v>
      </c>
      <c r="O19" s="66" t="s">
        <v>431</v>
      </c>
      <c r="P19" s="66" t="s">
        <v>416</v>
      </c>
      <c r="Q19" s="28" t="s">
        <v>51</v>
      </c>
    </row>
    <row r="20" spans="1:17" s="15" customFormat="1" ht="24.95" customHeight="1" x14ac:dyDescent="0.25">
      <c r="A20" s="96">
        <v>9</v>
      </c>
      <c r="B20" s="10" t="s">
        <v>86</v>
      </c>
      <c r="C20" s="33">
        <v>448.7</v>
      </c>
      <c r="D20" s="56">
        <v>31.27</v>
      </c>
      <c r="E20" s="56">
        <v>36.619999999999997</v>
      </c>
      <c r="F20" s="56">
        <v>0</v>
      </c>
      <c r="G20" s="33">
        <v>169.32</v>
      </c>
      <c r="H20" s="11">
        <f t="shared" si="0"/>
        <v>1.1710905020786695</v>
      </c>
      <c r="I20" s="33">
        <v>905.86</v>
      </c>
      <c r="J20" s="56">
        <v>2.65</v>
      </c>
      <c r="K20" s="12">
        <f t="shared" si="1"/>
        <v>8.4745762711864403E-2</v>
      </c>
      <c r="L20" s="94">
        <f t="shared" si="2"/>
        <v>2.699999999999998</v>
      </c>
      <c r="M20" s="13">
        <f t="shared" si="3"/>
        <v>8.6344739366805187E-2</v>
      </c>
      <c r="N20" s="95">
        <f t="shared" si="4"/>
        <v>457.16399999999965</v>
      </c>
      <c r="O20" s="66" t="s">
        <v>433</v>
      </c>
      <c r="P20" s="66" t="s">
        <v>435</v>
      </c>
      <c r="Q20" s="28" t="s">
        <v>25</v>
      </c>
    </row>
    <row r="21" spans="1:17" s="15" customFormat="1" ht="24.95" customHeight="1" thickBot="1" x14ac:dyDescent="0.3">
      <c r="A21" s="97">
        <v>10</v>
      </c>
      <c r="B21" s="16" t="s">
        <v>53</v>
      </c>
      <c r="C21" s="34">
        <v>430.73</v>
      </c>
      <c r="D21" s="58">
        <v>75.17</v>
      </c>
      <c r="E21" s="58">
        <v>78.69</v>
      </c>
      <c r="F21" s="58">
        <v>2.08</v>
      </c>
      <c r="G21" s="34">
        <v>333.9</v>
      </c>
      <c r="H21" s="17">
        <f t="shared" si="0"/>
        <v>1.074497804975389</v>
      </c>
      <c r="I21" s="34">
        <v>1869.84</v>
      </c>
      <c r="J21" s="58">
        <v>1.29</v>
      </c>
      <c r="K21" s="18">
        <f t="shared" si="1"/>
        <v>1.716110150325928E-2</v>
      </c>
      <c r="L21" s="98">
        <f t="shared" si="2"/>
        <v>4.3099999999999943</v>
      </c>
      <c r="M21" s="19">
        <f t="shared" si="3"/>
        <v>5.7336703472129762E-2</v>
      </c>
      <c r="N21" s="99">
        <f t="shared" si="4"/>
        <v>1439.1089999999981</v>
      </c>
      <c r="O21" s="66" t="s">
        <v>135</v>
      </c>
      <c r="P21" s="66" t="s">
        <v>428</v>
      </c>
      <c r="Q21" s="29" t="s">
        <v>78</v>
      </c>
    </row>
    <row r="22" spans="1:17" s="62" customFormat="1" ht="24.95" customHeight="1" thickBot="1" x14ac:dyDescent="0.3">
      <c r="A22" s="100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01"/>
      <c r="M22" s="30"/>
      <c r="N22" s="102"/>
      <c r="O22" s="61"/>
      <c r="P22" s="61"/>
      <c r="Q22" s="59"/>
    </row>
    <row r="23" spans="1:17" s="62" customFormat="1" ht="40.5" customHeight="1" x14ac:dyDescent="0.25">
      <c r="A23" s="443" t="s">
        <v>203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219</v>
      </c>
      <c r="B24" s="447"/>
      <c r="C24" s="447"/>
      <c r="D24" s="447" t="s">
        <v>234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182</v>
      </c>
      <c r="P24" s="456" t="s">
        <v>204</v>
      </c>
      <c r="Q24" s="921" t="s">
        <v>223</v>
      </c>
    </row>
    <row r="25" spans="1:17" s="62" customFormat="1" ht="24.95" customHeight="1" x14ac:dyDescent="0.25">
      <c r="A25" s="922" t="s">
        <v>224</v>
      </c>
      <c r="B25" s="461" t="s">
        <v>235</v>
      </c>
      <c r="C25" s="462"/>
      <c r="D25" s="463" t="s">
        <v>187</v>
      </c>
      <c r="E25" s="463"/>
      <c r="F25" s="463"/>
      <c r="G25" s="463"/>
      <c r="H25" s="463"/>
      <c r="I25" s="463"/>
      <c r="J25" s="464" t="s">
        <v>226</v>
      </c>
      <c r="K25" s="464"/>
      <c r="L25" s="464"/>
      <c r="M25" s="465"/>
      <c r="N25" s="465"/>
      <c r="O25" s="456"/>
      <c r="P25" s="456"/>
      <c r="Q25" s="921"/>
    </row>
    <row r="26" spans="1:17" s="62" customFormat="1" ht="24.95" customHeight="1" x14ac:dyDescent="0.3">
      <c r="A26" s="923"/>
      <c r="B26" s="928" t="s">
        <v>189</v>
      </c>
      <c r="C26" s="930" t="s">
        <v>206</v>
      </c>
      <c r="D26" s="932" t="s">
        <v>207</v>
      </c>
      <c r="E26" s="932"/>
      <c r="F26" s="932"/>
      <c r="G26" s="932"/>
      <c r="H26" s="932"/>
      <c r="I26" s="932"/>
      <c r="J26" s="933" t="s">
        <v>236</v>
      </c>
      <c r="K26" s="936"/>
      <c r="L26" s="934"/>
      <c r="M26" s="933" t="s">
        <v>229</v>
      </c>
      <c r="N26" s="934"/>
      <c r="O26" s="456"/>
      <c r="P26" s="456"/>
      <c r="Q26" s="921"/>
    </row>
    <row r="27" spans="1:17" s="62" customFormat="1" ht="50.1" customHeight="1" x14ac:dyDescent="0.25">
      <c r="A27" s="924"/>
      <c r="B27" s="929"/>
      <c r="C27" s="931"/>
      <c r="D27" s="90" t="s">
        <v>209</v>
      </c>
      <c r="E27" s="90" t="s">
        <v>237</v>
      </c>
      <c r="F27" s="90" t="s">
        <v>196</v>
      </c>
      <c r="G27" s="90" t="s">
        <v>230</v>
      </c>
      <c r="H27" s="90" t="s">
        <v>231</v>
      </c>
      <c r="I27" s="90" t="s">
        <v>211</v>
      </c>
      <c r="J27" s="91" t="s">
        <v>238</v>
      </c>
      <c r="K27" s="91" t="s">
        <v>212</v>
      </c>
      <c r="L27" s="92" t="s">
        <v>233</v>
      </c>
      <c r="M27" s="91" t="s">
        <v>232</v>
      </c>
      <c r="N27" s="91" t="s">
        <v>201</v>
      </c>
      <c r="O27" s="456"/>
      <c r="P27" s="456"/>
      <c r="Q27" s="921"/>
    </row>
    <row r="28" spans="1:17" s="62" customFormat="1" ht="24.95" customHeight="1" x14ac:dyDescent="0.25">
      <c r="A28" s="93">
        <v>1</v>
      </c>
      <c r="B28" s="10" t="s">
        <v>37</v>
      </c>
      <c r="C28" s="33">
        <v>5559.5599999999995</v>
      </c>
      <c r="D28" s="56">
        <v>237.98</v>
      </c>
      <c r="E28" s="56">
        <v>245.89999999999998</v>
      </c>
      <c r="F28" s="56">
        <v>28.8</v>
      </c>
      <c r="G28" s="33">
        <v>156.74</v>
      </c>
      <c r="H28" s="35">
        <f t="shared" ref="H28:H37" si="5">(E28+F28)/D28</f>
        <v>1.1542986805613917</v>
      </c>
      <c r="I28" s="33">
        <v>5755.49</v>
      </c>
      <c r="J28" s="56">
        <v>1.25</v>
      </c>
      <c r="K28" s="12">
        <f t="shared" ref="K28:K37" si="6">J28/D28</f>
        <v>5.2525422304395327E-3</v>
      </c>
      <c r="L28" s="95">
        <f t="shared" ref="L28:L37" si="7">J28*G28</f>
        <v>195.92500000000001</v>
      </c>
      <c r="M28" s="94">
        <f t="shared" ref="M28:M37" si="8">((E28+F28)-D28)-J28</f>
        <v>35.47</v>
      </c>
      <c r="N28" s="13">
        <f t="shared" ref="N28:N37" si="9">M28/D28</f>
        <v>0.14904613833095218</v>
      </c>
      <c r="O28" s="69" t="s">
        <v>22</v>
      </c>
      <c r="P28" s="14" t="s">
        <v>67</v>
      </c>
      <c r="Q28" s="28" t="s">
        <v>25</v>
      </c>
    </row>
    <row r="29" spans="1:17" s="62" customFormat="1" ht="24.95" customHeight="1" x14ac:dyDescent="0.25">
      <c r="A29" s="96">
        <v>2</v>
      </c>
      <c r="B29" s="10" t="s">
        <v>32</v>
      </c>
      <c r="C29" s="33">
        <v>4772.99</v>
      </c>
      <c r="D29" s="56">
        <v>108.69</v>
      </c>
      <c r="E29" s="56">
        <v>117.23000000000002</v>
      </c>
      <c r="F29" s="56">
        <v>15.6</v>
      </c>
      <c r="G29" s="33">
        <v>212.89</v>
      </c>
      <c r="H29" s="35">
        <f t="shared" si="5"/>
        <v>1.2220995491765574</v>
      </c>
      <c r="I29" s="33">
        <v>5139.16</v>
      </c>
      <c r="J29" s="56">
        <v>1.72</v>
      </c>
      <c r="K29" s="12">
        <f t="shared" si="6"/>
        <v>1.5824822890790322E-2</v>
      </c>
      <c r="L29" s="95">
        <f t="shared" si="7"/>
        <v>366.17079999999999</v>
      </c>
      <c r="M29" s="94">
        <f t="shared" si="8"/>
        <v>22.420000000000016</v>
      </c>
      <c r="N29" s="13">
        <f t="shared" si="9"/>
        <v>0.20627472628576701</v>
      </c>
      <c r="O29" s="69" t="s">
        <v>407</v>
      </c>
      <c r="P29" s="14" t="s">
        <v>80</v>
      </c>
      <c r="Q29" s="28" t="s">
        <v>25</v>
      </c>
    </row>
    <row r="30" spans="1:17" s="62" customFormat="1" ht="24.95" customHeight="1" x14ac:dyDescent="0.25">
      <c r="A30" s="96">
        <v>3</v>
      </c>
      <c r="B30" s="10" t="s">
        <v>58</v>
      </c>
      <c r="C30" s="33">
        <v>3933.8599999999997</v>
      </c>
      <c r="D30" s="56">
        <v>70.31</v>
      </c>
      <c r="E30" s="56">
        <v>73.489999999999995</v>
      </c>
      <c r="F30" s="56">
        <v>8.75</v>
      </c>
      <c r="G30" s="33">
        <v>365.6</v>
      </c>
      <c r="H30" s="35">
        <f t="shared" si="5"/>
        <v>1.1696771440762337</v>
      </c>
      <c r="I30" s="33">
        <v>4361.6099999999997</v>
      </c>
      <c r="J30" s="32">
        <v>1.17</v>
      </c>
      <c r="K30" s="12">
        <f t="shared" si="6"/>
        <v>1.6640591665481437E-2</v>
      </c>
      <c r="L30" s="95">
        <f t="shared" si="7"/>
        <v>427.75200000000001</v>
      </c>
      <c r="M30" s="94">
        <f t="shared" si="8"/>
        <v>10.759999999999993</v>
      </c>
      <c r="N30" s="13">
        <f t="shared" si="9"/>
        <v>0.15303655241075229</v>
      </c>
      <c r="O30" s="69" t="s">
        <v>407</v>
      </c>
      <c r="P30" s="14" t="s">
        <v>67</v>
      </c>
      <c r="Q30" s="28" t="s">
        <v>57</v>
      </c>
    </row>
    <row r="31" spans="1:17" s="62" customFormat="1" ht="24.95" customHeight="1" x14ac:dyDescent="0.25">
      <c r="A31" s="93">
        <v>4</v>
      </c>
      <c r="B31" s="10" t="s">
        <v>31</v>
      </c>
      <c r="C31" s="33">
        <v>3725.03</v>
      </c>
      <c r="D31" s="56">
        <v>63.82</v>
      </c>
      <c r="E31" s="56">
        <v>66.2</v>
      </c>
      <c r="F31" s="56">
        <v>12.5</v>
      </c>
      <c r="G31" s="33">
        <v>278.82</v>
      </c>
      <c r="H31" s="35">
        <f t="shared" si="5"/>
        <v>1.2331557505484174</v>
      </c>
      <c r="I31" s="33">
        <v>4148.84</v>
      </c>
      <c r="J31" s="56">
        <v>1.52</v>
      </c>
      <c r="K31" s="12">
        <f t="shared" si="6"/>
        <v>2.3816985271074897E-2</v>
      </c>
      <c r="L31" s="95">
        <f t="shared" si="7"/>
        <v>423.8064</v>
      </c>
      <c r="M31" s="94">
        <f t="shared" si="8"/>
        <v>13.360000000000003</v>
      </c>
      <c r="N31" s="13">
        <f t="shared" si="9"/>
        <v>0.20933876527734258</v>
      </c>
      <c r="O31" s="69" t="s">
        <v>18</v>
      </c>
      <c r="P31" s="14" t="s">
        <v>65</v>
      </c>
      <c r="Q31" s="28" t="s">
        <v>25</v>
      </c>
    </row>
    <row r="32" spans="1:17" s="62" customFormat="1" ht="24.95" customHeight="1" x14ac:dyDescent="0.25">
      <c r="A32" s="96">
        <v>5</v>
      </c>
      <c r="B32" s="10" t="s">
        <v>50</v>
      </c>
      <c r="C32" s="33">
        <v>2824.48</v>
      </c>
      <c r="D32" s="56">
        <v>344.1</v>
      </c>
      <c r="E32" s="56">
        <v>357.56</v>
      </c>
      <c r="F32" s="56">
        <v>20</v>
      </c>
      <c r="G32" s="33">
        <v>111.2</v>
      </c>
      <c r="H32" s="35">
        <f t="shared" si="5"/>
        <v>1.0972391746585295</v>
      </c>
      <c r="I32" s="33">
        <v>3720.75</v>
      </c>
      <c r="J32" s="56">
        <v>8.06</v>
      </c>
      <c r="K32" s="12">
        <f t="shared" si="6"/>
        <v>2.3423423423423424E-2</v>
      </c>
      <c r="L32" s="95">
        <f t="shared" si="7"/>
        <v>896.27200000000005</v>
      </c>
      <c r="M32" s="94">
        <f t="shared" si="8"/>
        <v>25.399999999999977</v>
      </c>
      <c r="N32" s="13">
        <f t="shared" si="9"/>
        <v>7.3815751235106003E-2</v>
      </c>
      <c r="O32" s="69" t="s">
        <v>22</v>
      </c>
      <c r="P32" s="14" t="s">
        <v>109</v>
      </c>
      <c r="Q32" s="28" t="s">
        <v>49</v>
      </c>
    </row>
    <row r="33" spans="1:17" s="62" customFormat="1" ht="24.95" customHeight="1" x14ac:dyDescent="0.25">
      <c r="A33" s="93">
        <v>6</v>
      </c>
      <c r="B33" s="10" t="s">
        <v>69</v>
      </c>
      <c r="C33" s="33">
        <v>2515.77</v>
      </c>
      <c r="D33" s="56">
        <v>53.38</v>
      </c>
      <c r="E33" s="56">
        <v>55.34</v>
      </c>
      <c r="F33" s="56">
        <v>10.5</v>
      </c>
      <c r="G33" s="33">
        <v>235.78</v>
      </c>
      <c r="H33" s="35">
        <f t="shared" si="5"/>
        <v>1.2334207568377669</v>
      </c>
      <c r="I33" s="33">
        <v>2937.82</v>
      </c>
      <c r="J33" s="56">
        <v>1.79</v>
      </c>
      <c r="K33" s="12">
        <f t="shared" si="6"/>
        <v>3.3533158486324467E-2</v>
      </c>
      <c r="L33" s="95">
        <f t="shared" si="7"/>
        <v>422.0462</v>
      </c>
      <c r="M33" s="94">
        <f t="shared" si="8"/>
        <v>10.670000000000002</v>
      </c>
      <c r="N33" s="13">
        <f t="shared" si="9"/>
        <v>0.19988759835144251</v>
      </c>
      <c r="O33" s="69" t="s">
        <v>22</v>
      </c>
      <c r="P33" s="14" t="s">
        <v>408</v>
      </c>
      <c r="Q33" s="28" t="s">
        <v>25</v>
      </c>
    </row>
    <row r="34" spans="1:17" s="62" customFormat="1" ht="24.95" customHeight="1" x14ac:dyDescent="0.25">
      <c r="A34" s="96">
        <v>7</v>
      </c>
      <c r="B34" s="10" t="s">
        <v>41</v>
      </c>
      <c r="C34" s="33">
        <v>1735.19</v>
      </c>
      <c r="D34" s="56">
        <v>150.08000000000001</v>
      </c>
      <c r="E34" s="56">
        <v>171.06</v>
      </c>
      <c r="F34" s="56">
        <v>0</v>
      </c>
      <c r="G34" s="33">
        <v>127.4</v>
      </c>
      <c r="H34" s="35">
        <f t="shared" si="5"/>
        <v>1.1397921108742004</v>
      </c>
      <c r="I34" s="33">
        <v>2672.85</v>
      </c>
      <c r="J34" s="56">
        <v>7.36</v>
      </c>
      <c r="K34" s="12">
        <f t="shared" si="6"/>
        <v>4.9040511727078892E-2</v>
      </c>
      <c r="L34" s="95">
        <f t="shared" si="7"/>
        <v>937.6640000000001</v>
      </c>
      <c r="M34" s="94">
        <f t="shared" si="8"/>
        <v>13.61999999999999</v>
      </c>
      <c r="N34" s="13">
        <f t="shared" si="9"/>
        <v>9.075159914712147E-2</v>
      </c>
      <c r="O34" s="69" t="s">
        <v>22</v>
      </c>
      <c r="P34" s="14" t="s">
        <v>109</v>
      </c>
      <c r="Q34" s="28" t="s">
        <v>25</v>
      </c>
    </row>
    <row r="35" spans="1:17" s="62" customFormat="1" ht="24.95" customHeight="1" x14ac:dyDescent="0.25">
      <c r="A35" s="93">
        <v>8</v>
      </c>
      <c r="B35" s="10" t="s">
        <v>54</v>
      </c>
      <c r="C35" s="33">
        <v>1707.6000000000001</v>
      </c>
      <c r="D35" s="56">
        <v>520.38</v>
      </c>
      <c r="E35" s="56">
        <v>533.67999999999995</v>
      </c>
      <c r="F35" s="56">
        <v>9</v>
      </c>
      <c r="G35" s="33">
        <v>79.459999999999994</v>
      </c>
      <c r="H35" s="35">
        <f t="shared" si="5"/>
        <v>1.0428532995118951</v>
      </c>
      <c r="I35" s="33">
        <v>1771.96</v>
      </c>
      <c r="J35" s="56">
        <v>0.81</v>
      </c>
      <c r="K35" s="12">
        <f t="shared" si="6"/>
        <v>1.5565548253199586E-3</v>
      </c>
      <c r="L35" s="95">
        <f t="shared" si="7"/>
        <v>64.3626</v>
      </c>
      <c r="M35" s="94">
        <f t="shared" si="8"/>
        <v>21.489999999999956</v>
      </c>
      <c r="N35" s="13">
        <f t="shared" si="9"/>
        <v>4.1296744686575113E-2</v>
      </c>
      <c r="O35" s="69" t="s">
        <v>22</v>
      </c>
      <c r="P35" s="14" t="s">
        <v>409</v>
      </c>
      <c r="Q35" s="28" t="s">
        <v>78</v>
      </c>
    </row>
    <row r="36" spans="1:17" s="62" customFormat="1" ht="24.95" customHeight="1" x14ac:dyDescent="0.25">
      <c r="A36" s="96">
        <v>9</v>
      </c>
      <c r="B36" s="10" t="s">
        <v>26</v>
      </c>
      <c r="C36" s="33">
        <v>1697.5899999999997</v>
      </c>
      <c r="D36" s="56">
        <v>33.96</v>
      </c>
      <c r="E36" s="56">
        <v>35.9</v>
      </c>
      <c r="F36" s="56">
        <v>7.7</v>
      </c>
      <c r="G36" s="33">
        <v>212.73</v>
      </c>
      <c r="H36" s="35">
        <f t="shared" si="5"/>
        <v>1.2838633686690224</v>
      </c>
      <c r="I36" s="33">
        <v>2050.7199999999998</v>
      </c>
      <c r="J36" s="56">
        <v>1.66</v>
      </c>
      <c r="K36" s="12">
        <f t="shared" si="6"/>
        <v>4.8881036513545341E-2</v>
      </c>
      <c r="L36" s="95">
        <f t="shared" si="7"/>
        <v>353.13179999999994</v>
      </c>
      <c r="M36" s="94">
        <f t="shared" si="8"/>
        <v>7.98</v>
      </c>
      <c r="N36" s="13">
        <f t="shared" si="9"/>
        <v>0.23498233215547704</v>
      </c>
      <c r="O36" s="69" t="s">
        <v>22</v>
      </c>
      <c r="P36" s="14" t="s">
        <v>109</v>
      </c>
      <c r="Q36" s="28" t="s">
        <v>27</v>
      </c>
    </row>
    <row r="37" spans="1:17" s="62" customFormat="1" ht="24.95" customHeight="1" thickBot="1" x14ac:dyDescent="0.3">
      <c r="A37" s="97">
        <v>10</v>
      </c>
      <c r="B37" s="16" t="s">
        <v>47</v>
      </c>
      <c r="C37" s="34">
        <v>1662.3300000000002</v>
      </c>
      <c r="D37" s="58">
        <v>47.88</v>
      </c>
      <c r="E37" s="58">
        <v>55.75</v>
      </c>
      <c r="F37" s="58">
        <v>0</v>
      </c>
      <c r="G37" s="34">
        <v>342.75</v>
      </c>
      <c r="H37" s="36">
        <f t="shared" si="5"/>
        <v>1.1643692564745196</v>
      </c>
      <c r="I37" s="34">
        <v>2697.44</v>
      </c>
      <c r="J37" s="58">
        <v>3.02</v>
      </c>
      <c r="K37" s="18">
        <f t="shared" si="6"/>
        <v>6.3074352548036755E-2</v>
      </c>
      <c r="L37" s="99">
        <f t="shared" si="7"/>
        <v>1035.105</v>
      </c>
      <c r="M37" s="98">
        <f t="shared" si="8"/>
        <v>4.8499999999999979</v>
      </c>
      <c r="N37" s="19">
        <f t="shared" si="9"/>
        <v>0.10129490392648283</v>
      </c>
      <c r="O37" s="52" t="s">
        <v>22</v>
      </c>
      <c r="P37" s="20" t="s">
        <v>67</v>
      </c>
      <c r="Q37" s="65" t="s">
        <v>73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239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219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937" t="s">
        <v>185</v>
      </c>
      <c r="B41" s="450" t="s">
        <v>225</v>
      </c>
      <c r="C41" s="450"/>
      <c r="D41" s="451"/>
      <c r="E41" s="23"/>
      <c r="G41" s="21"/>
      <c r="H41" s="22"/>
    </row>
    <row r="42" spans="1:17" ht="20.45" customHeight="1" x14ac:dyDescent="0.35">
      <c r="A42" s="937"/>
      <c r="B42" s="938" t="s">
        <v>189</v>
      </c>
      <c r="C42" s="939" t="s">
        <v>228</v>
      </c>
      <c r="D42" s="921" t="s">
        <v>240</v>
      </c>
      <c r="E42" s="23"/>
      <c r="G42" s="21"/>
      <c r="H42" s="22"/>
    </row>
    <row r="43" spans="1:17" ht="20.45" customHeight="1" x14ac:dyDescent="0.35">
      <c r="A43" s="937"/>
      <c r="B43" s="938"/>
      <c r="C43" s="939"/>
      <c r="D43" s="921"/>
      <c r="E43" s="23"/>
      <c r="G43" s="21"/>
      <c r="H43" s="22"/>
    </row>
    <row r="44" spans="1:17" s="26" customFormat="1" ht="24.95" customHeight="1" x14ac:dyDescent="0.35">
      <c r="A44" s="103">
        <v>1</v>
      </c>
      <c r="B44" s="10" t="s">
        <v>41</v>
      </c>
      <c r="C44" s="33">
        <v>937.66</v>
      </c>
      <c r="D44" s="24">
        <f t="shared" ref="D44:D53" si="10">C44/$L$5</f>
        <v>0.18328348873121056</v>
      </c>
      <c r="E44" s="25"/>
      <c r="G44" s="21"/>
      <c r="H44" s="22"/>
    </row>
    <row r="45" spans="1:17" s="26" customFormat="1" ht="24.95" customHeight="1" x14ac:dyDescent="0.35">
      <c r="A45" s="104">
        <v>2</v>
      </c>
      <c r="B45" s="10" t="s">
        <v>68</v>
      </c>
      <c r="C45" s="33">
        <v>736.55</v>
      </c>
      <c r="D45" s="24">
        <f t="shared" si="10"/>
        <v>0.14397271252370061</v>
      </c>
      <c r="E45" s="25"/>
      <c r="G45" s="21"/>
      <c r="H45" s="22"/>
    </row>
    <row r="46" spans="1:17" s="26" customFormat="1" ht="24.95" customHeight="1" x14ac:dyDescent="0.35">
      <c r="A46" s="104">
        <v>3</v>
      </c>
      <c r="B46" s="10" t="s">
        <v>86</v>
      </c>
      <c r="C46" s="33">
        <v>448.7</v>
      </c>
      <c r="D46" s="24">
        <f t="shared" si="10"/>
        <v>8.7706952833323568E-2</v>
      </c>
      <c r="E46" s="25"/>
      <c r="G46" s="21"/>
      <c r="H46" s="22"/>
    </row>
    <row r="47" spans="1:17" s="26" customFormat="1" ht="24.95" customHeight="1" x14ac:dyDescent="0.35">
      <c r="A47" s="103">
        <v>4</v>
      </c>
      <c r="B47" s="10" t="s">
        <v>31</v>
      </c>
      <c r="C47" s="33">
        <v>423.81</v>
      </c>
      <c r="D47" s="24">
        <f t="shared" si="10"/>
        <v>8.2841728728083042E-2</v>
      </c>
      <c r="E47" s="25"/>
      <c r="G47" s="21"/>
      <c r="H47" s="22"/>
    </row>
    <row r="48" spans="1:17" s="26" customFormat="1" ht="24.95" customHeight="1" x14ac:dyDescent="0.35">
      <c r="A48" s="104">
        <v>5</v>
      </c>
      <c r="B48" s="10" t="s">
        <v>69</v>
      </c>
      <c r="C48" s="33">
        <v>422.05</v>
      </c>
      <c r="D48" s="24">
        <f t="shared" si="10"/>
        <v>8.2497703238921805E-2</v>
      </c>
      <c r="E48" s="25"/>
      <c r="G48" s="21"/>
      <c r="H48" s="22"/>
    </row>
    <row r="49" spans="1:5" s="26" customFormat="1" ht="24.95" customHeight="1" x14ac:dyDescent="0.25">
      <c r="A49" s="103">
        <v>6</v>
      </c>
      <c r="B49" s="10" t="s">
        <v>32</v>
      </c>
      <c r="C49" s="33">
        <v>366.17</v>
      </c>
      <c r="D49" s="24">
        <f t="shared" si="10"/>
        <v>7.157489395805236E-2</v>
      </c>
      <c r="E49" s="25"/>
    </row>
    <row r="50" spans="1:5" s="26" customFormat="1" ht="24.95" customHeight="1" x14ac:dyDescent="0.25">
      <c r="A50" s="104">
        <v>7</v>
      </c>
      <c r="B50" s="10" t="s">
        <v>38</v>
      </c>
      <c r="C50" s="33">
        <v>321.14999999999998</v>
      </c>
      <c r="D50" s="24">
        <f t="shared" si="10"/>
        <v>6.2774878320530109E-2</v>
      </c>
      <c r="E50" s="25"/>
    </row>
    <row r="51" spans="1:5" s="26" customFormat="1" ht="24.95" customHeight="1" x14ac:dyDescent="0.25">
      <c r="A51" s="103">
        <v>8</v>
      </c>
      <c r="B51" s="10" t="s">
        <v>63</v>
      </c>
      <c r="C51" s="33">
        <v>258.33999999999997</v>
      </c>
      <c r="D51" s="24">
        <f t="shared" si="10"/>
        <v>5.0497468676088272E-2</v>
      </c>
      <c r="E51" s="25"/>
    </row>
    <row r="52" spans="1:5" s="26" customFormat="1" ht="24.95" customHeight="1" x14ac:dyDescent="0.25">
      <c r="A52" s="104">
        <v>9</v>
      </c>
      <c r="B52" s="10" t="s">
        <v>118</v>
      </c>
      <c r="C52" s="33">
        <v>249.84</v>
      </c>
      <c r="D52" s="24">
        <f t="shared" si="10"/>
        <v>4.8835981938661822E-2</v>
      </c>
      <c r="E52" s="25"/>
    </row>
    <row r="53" spans="1:5" s="26" customFormat="1" ht="24.95" customHeight="1" thickBot="1" x14ac:dyDescent="0.3">
      <c r="A53" s="105">
        <v>10</v>
      </c>
      <c r="B53" s="16" t="s">
        <v>39</v>
      </c>
      <c r="C53" s="34">
        <v>214.92</v>
      </c>
      <c r="D53" s="27">
        <f t="shared" si="10"/>
        <v>4.2010203483258075E-2</v>
      </c>
      <c r="E53" s="25"/>
    </row>
    <row r="54" spans="1:5" x14ac:dyDescent="0.25">
      <c r="A54" s="441" t="s">
        <v>241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14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113" priority="33" operator="containsText" text="024">
      <formula>NOT(ISERROR(SEARCH("024",A12)))</formula>
    </cfRule>
    <cfRule type="containsText" dxfId="112" priority="34" operator="containsText" text="白醬">
      <formula>NOT(ISERROR(SEARCH("白醬",A12)))</formula>
    </cfRule>
    <cfRule type="containsText" dxfId="111" priority="35" operator="containsText" text="青蔥">
      <formula>NOT(ISERROR(SEARCH("青蔥",A12)))</formula>
    </cfRule>
    <cfRule type="containsText" dxfId="110" priority="36" operator="containsText" text=")川燙小青花菜">
      <formula>NOT(ISERROR(SEARCH(")川燙小青花菜",A12)))</formula>
    </cfRule>
    <cfRule type="containsText" dxfId="109" priority="37" operator="containsText" text="湯凍">
      <formula>NOT(ISERROR(SEARCH("湯凍",A12)))</formula>
    </cfRule>
    <cfRule type="containsText" dxfId="108" priority="38" operator="containsText" text="中華">
      <formula>NOT(ISERROR(SEARCH("中華",A12)))</formula>
    </cfRule>
  </conditionalFormatting>
  <conditionalFormatting sqref="A12:A22">
    <cfRule type="containsText" dxfId="107" priority="31" operator="containsText" text="綠豆芽">
      <formula>NOT(ISERROR(SEARCH("綠豆芽",A12)))</formula>
    </cfRule>
    <cfRule type="containsText" dxfId="106" priority="32" operator="containsText" text="煮白細麵生(方#12)">
      <formula>NOT(ISERROR(SEARCH("煮白細麵生(方#12)",A12)))</formula>
    </cfRule>
  </conditionalFormatting>
  <conditionalFormatting sqref="E5">
    <cfRule type="cellIs" dxfId="105" priority="16" operator="greaterThan">
      <formula>0.0025</formula>
    </cfRule>
    <cfRule type="cellIs" dxfId="104" priority="19" operator="greaterThan">
      <formula>0.0025</formula>
    </cfRule>
    <cfRule type="cellIs" dxfId="103" priority="29" operator="greaterThan">
      <formula>0.072</formula>
    </cfRule>
    <cfRule type="cellIs" dxfId="102" priority="30" operator="greaterThan">
      <formula>7.2</formula>
    </cfRule>
  </conditionalFormatting>
  <conditionalFormatting sqref="E5">
    <cfRule type="cellIs" dxfId="101" priority="28" operator="greaterThan">
      <formula>0.0025</formula>
    </cfRule>
  </conditionalFormatting>
  <conditionalFormatting sqref="A44:A53">
    <cfRule type="containsText" dxfId="100" priority="22" operator="containsText" text="024">
      <formula>NOT(ISERROR(SEARCH("024",A44)))</formula>
    </cfRule>
    <cfRule type="containsText" dxfId="99" priority="23" operator="containsText" text="白醬">
      <formula>NOT(ISERROR(SEARCH("白醬",A44)))</formula>
    </cfRule>
    <cfRule type="containsText" dxfId="98" priority="24" operator="containsText" text="青蔥">
      <formula>NOT(ISERROR(SEARCH("青蔥",A44)))</formula>
    </cfRule>
    <cfRule type="containsText" dxfId="97" priority="25" operator="containsText" text=")川燙小青花菜">
      <formula>NOT(ISERROR(SEARCH(")川燙小青花菜",A44)))</formula>
    </cfRule>
    <cfRule type="containsText" dxfId="96" priority="26" operator="containsText" text="湯凍">
      <formula>NOT(ISERROR(SEARCH("湯凍",A44)))</formula>
    </cfRule>
    <cfRule type="containsText" dxfId="95" priority="27" operator="containsText" text="中華">
      <formula>NOT(ISERROR(SEARCH("中華",A44)))</formula>
    </cfRule>
  </conditionalFormatting>
  <conditionalFormatting sqref="A44:A53">
    <cfRule type="containsText" dxfId="94" priority="20" operator="containsText" text="綠豆芽">
      <formula>NOT(ISERROR(SEARCH("綠豆芽",A44)))</formula>
    </cfRule>
    <cfRule type="containsText" dxfId="93" priority="21" operator="containsText" text="煮白細麵生(方#12)">
      <formula>NOT(ISERROR(SEARCH("煮白細麵生(方#12)",A44)))</formula>
    </cfRule>
  </conditionalFormatting>
  <conditionalFormatting sqref="D44:D53">
    <cfRule type="cellIs" dxfId="92" priority="18" operator="greaterThan">
      <formula>0.146</formula>
    </cfRule>
  </conditionalFormatting>
  <conditionalFormatting sqref="H12:H22">
    <cfRule type="cellIs" dxfId="91" priority="17" operator="greaterThan">
      <formula>1.1</formula>
    </cfRule>
  </conditionalFormatting>
  <conditionalFormatting sqref="I5">
    <cfRule type="cellIs" dxfId="90" priority="15" operator="greaterThan">
      <formula>0.2</formula>
    </cfRule>
  </conditionalFormatting>
  <conditionalFormatting sqref="A28:A37">
    <cfRule type="containsText" dxfId="89" priority="9" operator="containsText" text="024">
      <formula>NOT(ISERROR(SEARCH("024",A28)))</formula>
    </cfRule>
    <cfRule type="containsText" dxfId="88" priority="10" operator="containsText" text="白醬">
      <formula>NOT(ISERROR(SEARCH("白醬",A28)))</formula>
    </cfRule>
    <cfRule type="containsText" dxfId="87" priority="11" operator="containsText" text="青蔥">
      <formula>NOT(ISERROR(SEARCH("青蔥",A28)))</formula>
    </cfRule>
    <cfRule type="containsText" dxfId="86" priority="12" operator="containsText" text=")川燙小青花菜">
      <formula>NOT(ISERROR(SEARCH(")川燙小青花菜",A28)))</formula>
    </cfRule>
    <cfRule type="containsText" dxfId="85" priority="13" operator="containsText" text="湯凍">
      <formula>NOT(ISERROR(SEARCH("湯凍",A28)))</formula>
    </cfRule>
    <cfRule type="containsText" dxfId="84" priority="14" operator="containsText" text="中華">
      <formula>NOT(ISERROR(SEARCH("中華",A28)))</formula>
    </cfRule>
  </conditionalFormatting>
  <conditionalFormatting sqref="A28:A37">
    <cfRule type="containsText" dxfId="83" priority="7" operator="containsText" text="綠豆芽">
      <formula>NOT(ISERROR(SEARCH("綠豆芽",A28)))</formula>
    </cfRule>
    <cfRule type="containsText" dxfId="82" priority="8" operator="containsText" text="煮白細麵生(方#12)">
      <formula>NOT(ISERROR(SEARCH("煮白細麵生(方#12)",A28)))</formula>
    </cfRule>
  </conditionalFormatting>
  <conditionalFormatting sqref="H28:H37">
    <cfRule type="cellIs" dxfId="81" priority="6" operator="greaterThan">
      <formula>1.1</formula>
    </cfRule>
  </conditionalFormatting>
  <conditionalFormatting sqref="G5">
    <cfRule type="cellIs" dxfId="80" priority="1" operator="greaterThan">
      <formula>0.0025</formula>
    </cfRule>
    <cfRule type="cellIs" dxfId="79" priority="2" operator="greaterThan">
      <formula>0.0025</formula>
    </cfRule>
    <cfRule type="cellIs" dxfId="78" priority="4" operator="greaterThan">
      <formula>0.072</formula>
    </cfRule>
    <cfRule type="cellIs" dxfId="77" priority="5" operator="greaterThan">
      <formula>7.2</formula>
    </cfRule>
  </conditionalFormatting>
  <conditionalFormatting sqref="G5">
    <cfRule type="cellIs" dxfId="76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topLeftCell="M4" zoomScale="60" zoomScaleNormal="60" workbookViewId="0">
      <selection activeCell="P12" sqref="P12:P21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915" t="s">
        <v>92</v>
      </c>
      <c r="B2" s="916"/>
      <c r="C2" s="88" t="s">
        <v>93</v>
      </c>
      <c r="D2" s="917" t="s">
        <v>94</v>
      </c>
      <c r="E2" s="917"/>
      <c r="F2" s="917" t="s">
        <v>95</v>
      </c>
      <c r="G2" s="917"/>
      <c r="H2" s="917" t="s">
        <v>94</v>
      </c>
      <c r="I2" s="917"/>
      <c r="J2" s="917" t="s">
        <v>95</v>
      </c>
      <c r="K2" s="917"/>
      <c r="L2" s="917" t="s">
        <v>94</v>
      </c>
      <c r="M2" s="918"/>
      <c r="Q2" s="54"/>
    </row>
    <row r="3" spans="1:17" s="1" customFormat="1" ht="28.5" x14ac:dyDescent="0.45">
      <c r="A3" s="925">
        <v>45871</v>
      </c>
      <c r="B3" s="926"/>
      <c r="C3" s="927">
        <v>4635761.7400000012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925"/>
      <c r="B4" s="926"/>
      <c r="C4" s="927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919" t="s">
        <v>105</v>
      </c>
      <c r="B5" s="920"/>
      <c r="C5" s="920"/>
      <c r="D5" s="89">
        <v>11154.769999999997</v>
      </c>
      <c r="E5" s="5">
        <f>D5/C3</f>
        <v>2.4062431646886136E-3</v>
      </c>
      <c r="F5" s="89">
        <v>39836.479999999996</v>
      </c>
      <c r="G5" s="44">
        <f>F5/C3</f>
        <v>8.5932975494120174E-3</v>
      </c>
      <c r="H5" s="6">
        <f>SUM(C12:C21)</f>
        <v>5425.18</v>
      </c>
      <c r="I5" s="7">
        <f>H5/D5</f>
        <v>0.48635516465153489</v>
      </c>
      <c r="J5" s="6">
        <f>SUM(C28:C37)</f>
        <v>22087.899999999998</v>
      </c>
      <c r="K5" s="46">
        <f>J5/F5</f>
        <v>0.55446414944292266</v>
      </c>
      <c r="L5" s="8">
        <v>3858.11</v>
      </c>
      <c r="M5" s="9">
        <f>L5/D5</f>
        <v>0.34587086959211183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179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180</v>
      </c>
      <c r="B8" s="447"/>
      <c r="C8" s="447"/>
      <c r="D8" s="447" t="s">
        <v>181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182</v>
      </c>
      <c r="P8" s="456" t="s">
        <v>183</v>
      </c>
      <c r="Q8" s="921" t="s">
        <v>184</v>
      </c>
    </row>
    <row r="9" spans="1:17" ht="20.45" customHeight="1" x14ac:dyDescent="0.25">
      <c r="A9" s="922" t="s">
        <v>185</v>
      </c>
      <c r="B9" s="461" t="s">
        <v>186</v>
      </c>
      <c r="C9" s="462"/>
      <c r="D9" s="463" t="s">
        <v>187</v>
      </c>
      <c r="E9" s="463"/>
      <c r="F9" s="463"/>
      <c r="G9" s="463"/>
      <c r="H9" s="463"/>
      <c r="I9" s="463"/>
      <c r="J9" s="464" t="s">
        <v>188</v>
      </c>
      <c r="K9" s="464"/>
      <c r="L9" s="464"/>
      <c r="M9" s="465"/>
      <c r="N9" s="465"/>
      <c r="O9" s="456"/>
      <c r="P9" s="456"/>
      <c r="Q9" s="921"/>
    </row>
    <row r="10" spans="1:17" ht="20.45" customHeight="1" x14ac:dyDescent="0.3">
      <c r="A10" s="923"/>
      <c r="B10" s="928" t="s">
        <v>189</v>
      </c>
      <c r="C10" s="930" t="s">
        <v>190</v>
      </c>
      <c r="D10" s="932" t="s">
        <v>191</v>
      </c>
      <c r="E10" s="932"/>
      <c r="F10" s="932"/>
      <c r="G10" s="932"/>
      <c r="H10" s="932"/>
      <c r="I10" s="932"/>
      <c r="J10" s="933" t="s">
        <v>192</v>
      </c>
      <c r="K10" s="934"/>
      <c r="L10" s="935" t="s">
        <v>193</v>
      </c>
      <c r="M10" s="933"/>
      <c r="N10" s="933"/>
      <c r="O10" s="456"/>
      <c r="P10" s="456"/>
      <c r="Q10" s="921"/>
    </row>
    <row r="11" spans="1:17" s="55" customFormat="1" ht="47.25" customHeight="1" x14ac:dyDescent="0.25">
      <c r="A11" s="924"/>
      <c r="B11" s="929"/>
      <c r="C11" s="931"/>
      <c r="D11" s="90" t="s">
        <v>194</v>
      </c>
      <c r="E11" s="90" t="s">
        <v>195</v>
      </c>
      <c r="F11" s="90" t="s">
        <v>196</v>
      </c>
      <c r="G11" s="90" t="s">
        <v>197</v>
      </c>
      <c r="H11" s="90" t="s">
        <v>198</v>
      </c>
      <c r="I11" s="90" t="s">
        <v>199</v>
      </c>
      <c r="J11" s="91" t="s">
        <v>200</v>
      </c>
      <c r="K11" s="91" t="s">
        <v>201</v>
      </c>
      <c r="L11" s="91" t="s">
        <v>200</v>
      </c>
      <c r="M11" s="91" t="s">
        <v>201</v>
      </c>
      <c r="N11" s="92" t="s">
        <v>202</v>
      </c>
      <c r="O11" s="456"/>
      <c r="P11" s="456"/>
      <c r="Q11" s="921"/>
    </row>
    <row r="12" spans="1:17" s="15" customFormat="1" ht="24.95" customHeight="1" x14ac:dyDescent="0.25">
      <c r="A12" s="93">
        <v>1</v>
      </c>
      <c r="B12" s="10" t="s">
        <v>35</v>
      </c>
      <c r="C12" s="33">
        <v>1292</v>
      </c>
      <c r="D12" s="56">
        <v>73.180000000000007</v>
      </c>
      <c r="E12" s="56">
        <v>73.099999999999994</v>
      </c>
      <c r="F12" s="56">
        <v>7.62</v>
      </c>
      <c r="G12" s="33">
        <v>410.16</v>
      </c>
      <c r="H12" s="11">
        <f t="shared" ref="H12:H21" si="0">(E12+F12)/D12</f>
        <v>1.103033615742006</v>
      </c>
      <c r="I12" s="33">
        <v>3092.61</v>
      </c>
      <c r="J12" s="56">
        <v>3.15</v>
      </c>
      <c r="K12" s="12">
        <f t="shared" ref="K12:K21" si="1">J12/D12</f>
        <v>4.3044547690625851E-2</v>
      </c>
      <c r="L12" s="94">
        <f t="shared" ref="L12:L21" si="2">((E12+F12)-D12)-J12</f>
        <v>4.3899999999999917</v>
      </c>
      <c r="M12" s="13">
        <f t="shared" ref="M12:M21" si="3">L12/D12</f>
        <v>5.9989068051380039E-2</v>
      </c>
      <c r="N12" s="95">
        <f t="shared" ref="N12:N21" si="4">L12*G12</f>
        <v>1800.6023999999968</v>
      </c>
      <c r="O12" s="66" t="s">
        <v>431</v>
      </c>
      <c r="P12" s="66" t="s">
        <v>416</v>
      </c>
      <c r="Q12" s="28" t="s">
        <v>25</v>
      </c>
    </row>
    <row r="13" spans="1:17" s="15" customFormat="1" ht="24.95" customHeight="1" x14ac:dyDescent="0.25">
      <c r="A13" s="96">
        <v>2</v>
      </c>
      <c r="B13" s="10" t="s">
        <v>123</v>
      </c>
      <c r="C13" s="33">
        <v>705.43</v>
      </c>
      <c r="D13" s="56">
        <v>11.24</v>
      </c>
      <c r="E13" s="56">
        <v>12.14</v>
      </c>
      <c r="F13" s="56">
        <v>0</v>
      </c>
      <c r="G13" s="33">
        <v>1567.63</v>
      </c>
      <c r="H13" s="11">
        <f t="shared" si="0"/>
        <v>1.0800711743772242</v>
      </c>
      <c r="I13" s="33">
        <v>1410.87</v>
      </c>
      <c r="J13" s="56">
        <v>0.45</v>
      </c>
      <c r="K13" s="12">
        <f t="shared" si="1"/>
        <v>4.0035587188612103E-2</v>
      </c>
      <c r="L13" s="94">
        <f t="shared" si="2"/>
        <v>0.45000000000000034</v>
      </c>
      <c r="M13" s="13">
        <f t="shared" si="3"/>
        <v>4.003558718861213E-2</v>
      </c>
      <c r="N13" s="95">
        <f t="shared" si="4"/>
        <v>705.43350000000055</v>
      </c>
      <c r="O13" s="66" t="s">
        <v>135</v>
      </c>
      <c r="P13" s="66" t="s">
        <v>428</v>
      </c>
      <c r="Q13" s="28" t="s">
        <v>122</v>
      </c>
    </row>
    <row r="14" spans="1:17" s="57" customFormat="1" ht="24.95" customHeight="1" x14ac:dyDescent="0.25">
      <c r="A14" s="96">
        <v>3</v>
      </c>
      <c r="B14" s="10" t="s">
        <v>50</v>
      </c>
      <c r="C14" s="33">
        <v>693.89</v>
      </c>
      <c r="D14" s="56">
        <v>272.60000000000002</v>
      </c>
      <c r="E14" s="56">
        <v>278.39999999999998</v>
      </c>
      <c r="F14" s="56">
        <v>20</v>
      </c>
      <c r="G14" s="33">
        <v>111.2</v>
      </c>
      <c r="H14" s="11">
        <f t="shared" si="0"/>
        <v>1.0946441672780629</v>
      </c>
      <c r="I14" s="33">
        <v>2868.96</v>
      </c>
      <c r="J14" s="56">
        <v>6.24</v>
      </c>
      <c r="K14" s="12">
        <f t="shared" si="1"/>
        <v>2.2890682318415258E-2</v>
      </c>
      <c r="L14" s="94">
        <f t="shared" si="2"/>
        <v>19.559999999999953</v>
      </c>
      <c r="M14" s="13">
        <f t="shared" si="3"/>
        <v>7.1753484959647659E-2</v>
      </c>
      <c r="N14" s="95">
        <f t="shared" si="4"/>
        <v>2175.0719999999947</v>
      </c>
      <c r="O14" s="66" t="s">
        <v>20</v>
      </c>
      <c r="P14" s="66" t="s">
        <v>432</v>
      </c>
      <c r="Q14" s="28" t="s">
        <v>49</v>
      </c>
    </row>
    <row r="15" spans="1:17" s="15" customFormat="1" ht="24.95" customHeight="1" x14ac:dyDescent="0.25">
      <c r="A15" s="93">
        <v>4</v>
      </c>
      <c r="B15" s="10" t="s">
        <v>31</v>
      </c>
      <c r="C15" s="33">
        <v>635.71</v>
      </c>
      <c r="D15" s="56">
        <v>50.85</v>
      </c>
      <c r="E15" s="56">
        <v>51.54</v>
      </c>
      <c r="F15" s="56">
        <v>3.95</v>
      </c>
      <c r="G15" s="33">
        <v>278.82</v>
      </c>
      <c r="H15" s="11">
        <f t="shared" si="0"/>
        <v>1.0912487708947887</v>
      </c>
      <c r="I15" s="33">
        <v>1293.72</v>
      </c>
      <c r="J15" s="56">
        <v>2.2799999999999998</v>
      </c>
      <c r="K15" s="12">
        <f t="shared" si="1"/>
        <v>4.4837758112094388E-2</v>
      </c>
      <c r="L15" s="94">
        <f t="shared" si="2"/>
        <v>2.3600000000000008</v>
      </c>
      <c r="M15" s="13">
        <f t="shared" si="3"/>
        <v>4.641101278269421E-2</v>
      </c>
      <c r="N15" s="95">
        <f t="shared" si="4"/>
        <v>658.01520000000016</v>
      </c>
      <c r="O15" s="66" t="s">
        <v>436</v>
      </c>
      <c r="P15" s="66" t="s">
        <v>417</v>
      </c>
      <c r="Q15" s="28" t="s">
        <v>25</v>
      </c>
    </row>
    <row r="16" spans="1:17" s="57" customFormat="1" ht="24.95" customHeight="1" x14ac:dyDescent="0.25">
      <c r="A16" s="96">
        <v>5</v>
      </c>
      <c r="B16" s="10" t="s">
        <v>86</v>
      </c>
      <c r="C16" s="33">
        <v>507.96</v>
      </c>
      <c r="D16" s="56">
        <v>26.5</v>
      </c>
      <c r="E16" s="56">
        <v>33.68</v>
      </c>
      <c r="F16" s="56">
        <v>0</v>
      </c>
      <c r="G16" s="33">
        <v>169.32</v>
      </c>
      <c r="H16" s="11">
        <f t="shared" si="0"/>
        <v>1.2709433962264152</v>
      </c>
      <c r="I16" s="33">
        <v>1215.72</v>
      </c>
      <c r="J16" s="56">
        <v>3</v>
      </c>
      <c r="K16" s="12">
        <f t="shared" si="1"/>
        <v>0.11320754716981132</v>
      </c>
      <c r="L16" s="94">
        <f t="shared" si="2"/>
        <v>4.18</v>
      </c>
      <c r="M16" s="13">
        <f t="shared" si="3"/>
        <v>0.15773584905660376</v>
      </c>
      <c r="N16" s="95">
        <f t="shared" si="4"/>
        <v>707.75759999999991</v>
      </c>
      <c r="O16" s="66" t="s">
        <v>433</v>
      </c>
      <c r="P16" s="66" t="s">
        <v>426</v>
      </c>
      <c r="Q16" s="28" t="s">
        <v>25</v>
      </c>
    </row>
    <row r="17" spans="1:17" s="15" customFormat="1" ht="24.95" customHeight="1" x14ac:dyDescent="0.25">
      <c r="A17" s="93">
        <v>6</v>
      </c>
      <c r="B17" s="10" t="s">
        <v>43</v>
      </c>
      <c r="C17" s="33">
        <v>409.71</v>
      </c>
      <c r="D17" s="56">
        <v>29.66</v>
      </c>
      <c r="E17" s="56">
        <v>28.54</v>
      </c>
      <c r="F17" s="56">
        <v>9.5</v>
      </c>
      <c r="G17" s="33">
        <v>113.18</v>
      </c>
      <c r="H17" s="11">
        <f t="shared" si="0"/>
        <v>1.2825354012137558</v>
      </c>
      <c r="I17" s="33">
        <v>948.45</v>
      </c>
      <c r="J17" s="56">
        <v>3.62</v>
      </c>
      <c r="K17" s="12">
        <f t="shared" si="1"/>
        <v>0.12204989885367498</v>
      </c>
      <c r="L17" s="94">
        <f t="shared" si="2"/>
        <v>4.7599999999999989</v>
      </c>
      <c r="M17" s="13">
        <f t="shared" si="3"/>
        <v>0.16048550236008088</v>
      </c>
      <c r="N17" s="95">
        <f t="shared" si="4"/>
        <v>538.7367999999999</v>
      </c>
      <c r="O17" s="66" t="s">
        <v>431</v>
      </c>
      <c r="P17" s="66" t="s">
        <v>416</v>
      </c>
      <c r="Q17" s="28" t="s">
        <v>89</v>
      </c>
    </row>
    <row r="18" spans="1:17" s="57" customFormat="1" ht="24.95" customHeight="1" x14ac:dyDescent="0.25">
      <c r="A18" s="96">
        <v>7</v>
      </c>
      <c r="B18" s="10" t="s">
        <v>121</v>
      </c>
      <c r="C18" s="33">
        <v>327.78</v>
      </c>
      <c r="D18" s="56">
        <v>21.3</v>
      </c>
      <c r="E18" s="56">
        <v>26.4</v>
      </c>
      <c r="F18" s="56">
        <v>0</v>
      </c>
      <c r="G18" s="33">
        <v>131.11000000000001</v>
      </c>
      <c r="H18" s="11">
        <f t="shared" si="0"/>
        <v>1.2394366197183098</v>
      </c>
      <c r="I18" s="33">
        <v>668.66</v>
      </c>
      <c r="J18" s="56">
        <v>2.5</v>
      </c>
      <c r="K18" s="12">
        <f t="shared" si="1"/>
        <v>0.11737089201877934</v>
      </c>
      <c r="L18" s="94">
        <f t="shared" si="2"/>
        <v>2.5999999999999979</v>
      </c>
      <c r="M18" s="13">
        <f t="shared" si="3"/>
        <v>0.12206572769953042</v>
      </c>
      <c r="N18" s="95">
        <f t="shared" si="4"/>
        <v>340.88599999999974</v>
      </c>
      <c r="O18" s="66" t="s">
        <v>437</v>
      </c>
      <c r="P18" s="66" t="s">
        <v>426</v>
      </c>
      <c r="Q18" s="28" t="s">
        <v>120</v>
      </c>
    </row>
    <row r="19" spans="1:17" s="15" customFormat="1" ht="24.95" customHeight="1" x14ac:dyDescent="0.25">
      <c r="A19" s="93">
        <v>8</v>
      </c>
      <c r="B19" s="10" t="s">
        <v>124</v>
      </c>
      <c r="C19" s="33">
        <v>298.89</v>
      </c>
      <c r="D19" s="56">
        <v>74.92</v>
      </c>
      <c r="E19" s="56">
        <v>77.25</v>
      </c>
      <c r="F19" s="56">
        <v>4</v>
      </c>
      <c r="G19" s="33">
        <v>215.03</v>
      </c>
      <c r="H19" s="11">
        <f t="shared" si="0"/>
        <v>1.0844901227976509</v>
      </c>
      <c r="I19" s="33">
        <v>1361.14</v>
      </c>
      <c r="J19" s="56">
        <v>1.39</v>
      </c>
      <c r="K19" s="12">
        <f t="shared" si="1"/>
        <v>1.8553123331553654E-2</v>
      </c>
      <c r="L19" s="94">
        <f t="shared" si="2"/>
        <v>4.9399999999999986</v>
      </c>
      <c r="M19" s="13">
        <f t="shared" si="3"/>
        <v>6.5936999466097157E-2</v>
      </c>
      <c r="N19" s="95">
        <f t="shared" si="4"/>
        <v>1062.2481999999998</v>
      </c>
      <c r="O19" s="66" t="s">
        <v>436</v>
      </c>
      <c r="P19" s="66" t="s">
        <v>438</v>
      </c>
      <c r="Q19" s="28" t="s">
        <v>122</v>
      </c>
    </row>
    <row r="20" spans="1:17" s="15" customFormat="1" ht="24.95" customHeight="1" x14ac:dyDescent="0.25">
      <c r="A20" s="96">
        <v>9</v>
      </c>
      <c r="B20" s="10" t="s">
        <v>48</v>
      </c>
      <c r="C20" s="33">
        <v>296.25</v>
      </c>
      <c r="D20" s="56">
        <v>12.97</v>
      </c>
      <c r="E20" s="56">
        <v>12.15</v>
      </c>
      <c r="F20" s="56">
        <v>1.53</v>
      </c>
      <c r="G20" s="33">
        <v>846.44</v>
      </c>
      <c r="H20" s="11">
        <f t="shared" si="0"/>
        <v>1.0547417116422513</v>
      </c>
      <c r="I20" s="33">
        <v>600.97</v>
      </c>
      <c r="J20" s="56">
        <v>0.35</v>
      </c>
      <c r="K20" s="12">
        <f t="shared" si="1"/>
        <v>2.6985350809560521E-2</v>
      </c>
      <c r="L20" s="94">
        <f t="shared" si="2"/>
        <v>0.3599999999999991</v>
      </c>
      <c r="M20" s="13">
        <f t="shared" si="3"/>
        <v>2.7756360832690754E-2</v>
      </c>
      <c r="N20" s="95">
        <f t="shared" si="4"/>
        <v>304.71839999999924</v>
      </c>
      <c r="O20" s="66" t="s">
        <v>20</v>
      </c>
      <c r="P20" s="66" t="s">
        <v>419</v>
      </c>
      <c r="Q20" s="28" t="s">
        <v>73</v>
      </c>
    </row>
    <row r="21" spans="1:17" s="15" customFormat="1" ht="24.95" customHeight="1" thickBot="1" x14ac:dyDescent="0.3">
      <c r="A21" s="97">
        <v>10</v>
      </c>
      <c r="B21" s="16" t="s">
        <v>44</v>
      </c>
      <c r="C21" s="34">
        <v>257.56</v>
      </c>
      <c r="D21" s="58">
        <v>9.5299999999999994</v>
      </c>
      <c r="E21" s="58">
        <v>10.8</v>
      </c>
      <c r="F21" s="58">
        <v>0</v>
      </c>
      <c r="G21" s="34">
        <v>408.83</v>
      </c>
      <c r="H21" s="17">
        <f t="shared" si="0"/>
        <v>1.1332633788037776</v>
      </c>
      <c r="I21" s="34">
        <v>519.21</v>
      </c>
      <c r="J21" s="58">
        <v>0.63</v>
      </c>
      <c r="K21" s="18">
        <f t="shared" si="1"/>
        <v>6.6107030430220357E-2</v>
      </c>
      <c r="L21" s="98">
        <f t="shared" si="2"/>
        <v>0.64000000000000135</v>
      </c>
      <c r="M21" s="19">
        <f t="shared" si="3"/>
        <v>6.7156348373557329E-2</v>
      </c>
      <c r="N21" s="99">
        <f t="shared" si="4"/>
        <v>261.65120000000053</v>
      </c>
      <c r="O21" s="64" t="s">
        <v>135</v>
      </c>
      <c r="P21" s="64" t="s">
        <v>439</v>
      </c>
      <c r="Q21" s="29" t="s">
        <v>24</v>
      </c>
    </row>
    <row r="22" spans="1:17" s="62" customFormat="1" ht="24.95" customHeight="1" thickBot="1" x14ac:dyDescent="0.3">
      <c r="A22" s="100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101"/>
      <c r="M22" s="30"/>
      <c r="N22" s="102"/>
      <c r="O22" s="61"/>
      <c r="P22" s="61"/>
      <c r="Q22" s="59"/>
    </row>
    <row r="23" spans="1:17" s="62" customFormat="1" ht="40.5" customHeight="1" x14ac:dyDescent="0.25">
      <c r="A23" s="443" t="s">
        <v>203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180</v>
      </c>
      <c r="B24" s="447"/>
      <c r="C24" s="447"/>
      <c r="D24" s="447" t="s">
        <v>181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182</v>
      </c>
      <c r="P24" s="456" t="s">
        <v>204</v>
      </c>
      <c r="Q24" s="921" t="s">
        <v>184</v>
      </c>
    </row>
    <row r="25" spans="1:17" s="62" customFormat="1" ht="24.95" customHeight="1" x14ac:dyDescent="0.25">
      <c r="A25" s="922" t="s">
        <v>185</v>
      </c>
      <c r="B25" s="461" t="s">
        <v>186</v>
      </c>
      <c r="C25" s="462"/>
      <c r="D25" s="463" t="s">
        <v>205</v>
      </c>
      <c r="E25" s="463"/>
      <c r="F25" s="463"/>
      <c r="G25" s="463"/>
      <c r="H25" s="463"/>
      <c r="I25" s="463"/>
      <c r="J25" s="464" t="s">
        <v>188</v>
      </c>
      <c r="K25" s="464"/>
      <c r="L25" s="464"/>
      <c r="M25" s="465"/>
      <c r="N25" s="465"/>
      <c r="O25" s="456"/>
      <c r="P25" s="456"/>
      <c r="Q25" s="921"/>
    </row>
    <row r="26" spans="1:17" s="62" customFormat="1" ht="24.95" customHeight="1" x14ac:dyDescent="0.3">
      <c r="A26" s="923"/>
      <c r="B26" s="928" t="s">
        <v>189</v>
      </c>
      <c r="C26" s="930" t="s">
        <v>206</v>
      </c>
      <c r="D26" s="932" t="s">
        <v>207</v>
      </c>
      <c r="E26" s="932"/>
      <c r="F26" s="932"/>
      <c r="G26" s="932"/>
      <c r="H26" s="932"/>
      <c r="I26" s="932"/>
      <c r="J26" s="933" t="s">
        <v>208</v>
      </c>
      <c r="K26" s="936"/>
      <c r="L26" s="934"/>
      <c r="M26" s="933" t="s">
        <v>193</v>
      </c>
      <c r="N26" s="934"/>
      <c r="O26" s="456"/>
      <c r="P26" s="456"/>
      <c r="Q26" s="921"/>
    </row>
    <row r="27" spans="1:17" s="62" customFormat="1" ht="50.1" customHeight="1" x14ac:dyDescent="0.25">
      <c r="A27" s="924"/>
      <c r="B27" s="929"/>
      <c r="C27" s="931"/>
      <c r="D27" s="90" t="s">
        <v>209</v>
      </c>
      <c r="E27" s="90" t="s">
        <v>195</v>
      </c>
      <c r="F27" s="90" t="s">
        <v>210</v>
      </c>
      <c r="G27" s="90" t="s">
        <v>197</v>
      </c>
      <c r="H27" s="90" t="s">
        <v>198</v>
      </c>
      <c r="I27" s="90" t="s">
        <v>211</v>
      </c>
      <c r="J27" s="91" t="s">
        <v>200</v>
      </c>
      <c r="K27" s="91" t="s">
        <v>212</v>
      </c>
      <c r="L27" s="92" t="s">
        <v>202</v>
      </c>
      <c r="M27" s="91" t="s">
        <v>200</v>
      </c>
      <c r="N27" s="91" t="s">
        <v>212</v>
      </c>
      <c r="O27" s="456"/>
      <c r="P27" s="456"/>
      <c r="Q27" s="921"/>
    </row>
    <row r="28" spans="1:17" s="62" customFormat="1" ht="24.95" customHeight="1" x14ac:dyDescent="0.25">
      <c r="A28" s="93">
        <v>1</v>
      </c>
      <c r="B28" s="10" t="s">
        <v>52</v>
      </c>
      <c r="C28" s="33">
        <v>2705.71</v>
      </c>
      <c r="D28" s="56">
        <v>300.45999999999998</v>
      </c>
      <c r="E28" s="56">
        <v>321.7</v>
      </c>
      <c r="F28" s="56">
        <v>0</v>
      </c>
      <c r="G28" s="33">
        <v>133.88</v>
      </c>
      <c r="H28" s="35">
        <f t="shared" ref="H28:H37" si="5">(E28+F28)/D28</f>
        <v>1.0706916062038208</v>
      </c>
      <c r="I28" s="33">
        <v>2843.61</v>
      </c>
      <c r="J28" s="56">
        <v>1.03</v>
      </c>
      <c r="K28" s="12">
        <f t="shared" ref="K28:K37" si="6">J28/D28</f>
        <v>3.4280769486786928E-3</v>
      </c>
      <c r="L28" s="95">
        <f t="shared" ref="L28:L37" si="7">J28*G28</f>
        <v>137.8964</v>
      </c>
      <c r="M28" s="94">
        <f t="shared" ref="M28:M37" si="8">((E28+F28)-D28)-J28</f>
        <v>20.210000000000008</v>
      </c>
      <c r="N28" s="13">
        <f t="shared" ref="N28:N37" si="9">M28/D28</f>
        <v>6.7263529255142146E-2</v>
      </c>
      <c r="O28" s="69" t="s">
        <v>22</v>
      </c>
      <c r="P28" s="14" t="s">
        <v>402</v>
      </c>
      <c r="Q28" s="28" t="s">
        <v>77</v>
      </c>
    </row>
    <row r="29" spans="1:17" s="62" customFormat="1" ht="24.95" customHeight="1" x14ac:dyDescent="0.25">
      <c r="A29" s="96">
        <v>2</v>
      </c>
      <c r="B29" s="10" t="s">
        <v>32</v>
      </c>
      <c r="C29" s="33">
        <v>2671.77</v>
      </c>
      <c r="D29" s="56">
        <v>75.709999999999994</v>
      </c>
      <c r="E29" s="56">
        <v>77.599999999999994</v>
      </c>
      <c r="F29" s="56">
        <v>11.4</v>
      </c>
      <c r="G29" s="33">
        <v>212.89</v>
      </c>
      <c r="H29" s="35">
        <f t="shared" si="5"/>
        <v>1.1755382380134725</v>
      </c>
      <c r="I29" s="33">
        <v>2829.31</v>
      </c>
      <c r="J29" s="56">
        <v>0.74</v>
      </c>
      <c r="K29" s="12">
        <f t="shared" si="6"/>
        <v>9.7741381587637035E-3</v>
      </c>
      <c r="L29" s="95">
        <f t="shared" si="7"/>
        <v>157.53859999999997</v>
      </c>
      <c r="M29" s="94">
        <f t="shared" si="8"/>
        <v>12.550000000000006</v>
      </c>
      <c r="N29" s="13">
        <f t="shared" si="9"/>
        <v>0.16576409985470886</v>
      </c>
      <c r="O29" s="69" t="s">
        <v>403</v>
      </c>
      <c r="P29" s="14" t="s">
        <v>80</v>
      </c>
      <c r="Q29" s="28" t="s">
        <v>25</v>
      </c>
    </row>
    <row r="30" spans="1:17" s="62" customFormat="1" ht="24.95" customHeight="1" x14ac:dyDescent="0.25">
      <c r="A30" s="96">
        <v>3</v>
      </c>
      <c r="B30" s="10" t="s">
        <v>37</v>
      </c>
      <c r="C30" s="33">
        <v>2658.31</v>
      </c>
      <c r="D30" s="56">
        <v>178.84</v>
      </c>
      <c r="E30" s="56">
        <v>177.62</v>
      </c>
      <c r="F30" s="56">
        <v>18.899999999999999</v>
      </c>
      <c r="G30" s="33">
        <v>156.74</v>
      </c>
      <c r="H30" s="35">
        <f t="shared" si="5"/>
        <v>1.0988593155893536</v>
      </c>
      <c r="I30" s="33">
        <v>2771.16</v>
      </c>
      <c r="J30" s="32">
        <v>0.72</v>
      </c>
      <c r="K30" s="12">
        <f t="shared" si="6"/>
        <v>4.0259449787519571E-3</v>
      </c>
      <c r="L30" s="95">
        <f t="shared" si="7"/>
        <v>112.8528</v>
      </c>
      <c r="M30" s="94">
        <f t="shared" si="8"/>
        <v>16.960000000000008</v>
      </c>
      <c r="N30" s="13">
        <f t="shared" si="9"/>
        <v>9.4833370610601694E-2</v>
      </c>
      <c r="O30" s="69" t="s">
        <v>22</v>
      </c>
      <c r="P30" s="14" t="s">
        <v>67</v>
      </c>
      <c r="Q30" s="28" t="s">
        <v>25</v>
      </c>
    </row>
    <row r="31" spans="1:17" s="62" customFormat="1" ht="24.95" customHeight="1" x14ac:dyDescent="0.25">
      <c r="A31" s="93">
        <v>4</v>
      </c>
      <c r="B31" s="10" t="s">
        <v>55</v>
      </c>
      <c r="C31" s="33">
        <v>2539.9</v>
      </c>
      <c r="D31" s="56">
        <v>80.040000000000006</v>
      </c>
      <c r="E31" s="56">
        <v>83.75</v>
      </c>
      <c r="F31" s="56">
        <v>4.6500000000000004</v>
      </c>
      <c r="G31" s="33">
        <v>331.58</v>
      </c>
      <c r="H31" s="35">
        <f t="shared" si="5"/>
        <v>1.104447776111944</v>
      </c>
      <c r="I31" s="33">
        <v>2772.01</v>
      </c>
      <c r="J31" s="56">
        <v>0.7</v>
      </c>
      <c r="K31" s="12">
        <f t="shared" si="6"/>
        <v>8.7456271864067951E-3</v>
      </c>
      <c r="L31" s="95">
        <f t="shared" si="7"/>
        <v>232.10599999999997</v>
      </c>
      <c r="M31" s="94">
        <f t="shared" si="8"/>
        <v>7.6599999999999993</v>
      </c>
      <c r="N31" s="13">
        <f t="shared" si="9"/>
        <v>9.5702148925537217E-2</v>
      </c>
      <c r="O31" s="69" t="s">
        <v>79</v>
      </c>
      <c r="P31" s="14" t="s">
        <v>67</v>
      </c>
      <c r="Q31" s="28" t="s">
        <v>74</v>
      </c>
    </row>
    <row r="32" spans="1:17" s="62" customFormat="1" ht="24.95" customHeight="1" x14ac:dyDescent="0.25">
      <c r="A32" s="96">
        <v>5</v>
      </c>
      <c r="B32" s="10" t="s">
        <v>50</v>
      </c>
      <c r="C32" s="33">
        <v>2175.0700000000002</v>
      </c>
      <c r="D32" s="56">
        <v>272.60000000000002</v>
      </c>
      <c r="E32" s="56">
        <v>278.39999999999998</v>
      </c>
      <c r="F32" s="56">
        <v>20</v>
      </c>
      <c r="G32" s="33">
        <v>111.2</v>
      </c>
      <c r="H32" s="35">
        <f t="shared" si="5"/>
        <v>1.0946441672780629</v>
      </c>
      <c r="I32" s="33">
        <v>2868.96</v>
      </c>
      <c r="J32" s="56">
        <v>6.24</v>
      </c>
      <c r="K32" s="12">
        <f t="shared" si="6"/>
        <v>2.2890682318415258E-2</v>
      </c>
      <c r="L32" s="95">
        <f t="shared" si="7"/>
        <v>693.88800000000003</v>
      </c>
      <c r="M32" s="94">
        <f t="shared" si="8"/>
        <v>19.559999999999953</v>
      </c>
      <c r="N32" s="13">
        <f t="shared" si="9"/>
        <v>7.1753484959647659E-2</v>
      </c>
      <c r="O32" s="69" t="s">
        <v>22</v>
      </c>
      <c r="P32" s="14" t="s">
        <v>109</v>
      </c>
      <c r="Q32" s="28" t="s">
        <v>49</v>
      </c>
    </row>
    <row r="33" spans="1:17" s="62" customFormat="1" ht="24.95" customHeight="1" x14ac:dyDescent="0.25">
      <c r="A33" s="93">
        <v>6</v>
      </c>
      <c r="B33" s="10" t="s">
        <v>33</v>
      </c>
      <c r="C33" s="33">
        <v>2140.8200000000002</v>
      </c>
      <c r="D33" s="56">
        <v>65.260000000000005</v>
      </c>
      <c r="E33" s="56">
        <v>65.239999999999995</v>
      </c>
      <c r="F33" s="56">
        <v>11.2</v>
      </c>
      <c r="G33" s="33">
        <v>203.5</v>
      </c>
      <c r="H33" s="35">
        <f t="shared" si="5"/>
        <v>1.1713147410358564</v>
      </c>
      <c r="I33" s="33">
        <v>2275.13</v>
      </c>
      <c r="J33" s="56">
        <v>0.66</v>
      </c>
      <c r="K33" s="12">
        <f t="shared" si="6"/>
        <v>1.0113392583512106E-2</v>
      </c>
      <c r="L33" s="95">
        <f t="shared" si="7"/>
        <v>134.31</v>
      </c>
      <c r="M33" s="94">
        <f t="shared" si="8"/>
        <v>10.519999999999992</v>
      </c>
      <c r="N33" s="13">
        <f t="shared" si="9"/>
        <v>0.16120134845234435</v>
      </c>
      <c r="O33" s="69" t="s">
        <v>18</v>
      </c>
      <c r="P33" s="14" t="s">
        <v>65</v>
      </c>
      <c r="Q33" s="28" t="s">
        <v>25</v>
      </c>
    </row>
    <row r="34" spans="1:17" s="62" customFormat="1" ht="24.95" customHeight="1" x14ac:dyDescent="0.25">
      <c r="A34" s="96">
        <v>7</v>
      </c>
      <c r="B34" s="10" t="s">
        <v>68</v>
      </c>
      <c r="C34" s="33">
        <v>2088.86</v>
      </c>
      <c r="D34" s="56">
        <v>27.85</v>
      </c>
      <c r="E34" s="56">
        <v>35.6</v>
      </c>
      <c r="F34" s="56">
        <v>0</v>
      </c>
      <c r="G34" s="33">
        <v>294.62</v>
      </c>
      <c r="H34" s="35">
        <f t="shared" si="5"/>
        <v>1.2782764811490126</v>
      </c>
      <c r="I34" s="33">
        <v>2283.31</v>
      </c>
      <c r="J34" s="56">
        <v>0.66</v>
      </c>
      <c r="K34" s="12">
        <f t="shared" si="6"/>
        <v>2.3698384201077199E-2</v>
      </c>
      <c r="L34" s="95">
        <f t="shared" si="7"/>
        <v>194.44920000000002</v>
      </c>
      <c r="M34" s="94">
        <f t="shared" si="8"/>
        <v>7.09</v>
      </c>
      <c r="N34" s="13">
        <f t="shared" si="9"/>
        <v>0.25457809694793537</v>
      </c>
      <c r="O34" s="69" t="s">
        <v>18</v>
      </c>
      <c r="P34" s="14" t="s">
        <v>404</v>
      </c>
      <c r="Q34" s="28" t="s">
        <v>25</v>
      </c>
    </row>
    <row r="35" spans="1:17" s="62" customFormat="1" ht="24.95" customHeight="1" x14ac:dyDescent="0.25">
      <c r="A35" s="93">
        <v>8</v>
      </c>
      <c r="B35" s="10" t="s">
        <v>35</v>
      </c>
      <c r="C35" s="33">
        <v>1800.6100000000001</v>
      </c>
      <c r="D35" s="56">
        <v>73.180000000000007</v>
      </c>
      <c r="E35" s="56">
        <v>73.099999999999994</v>
      </c>
      <c r="F35" s="56">
        <v>7.62</v>
      </c>
      <c r="G35" s="33">
        <v>410.16</v>
      </c>
      <c r="H35" s="35">
        <f t="shared" si="5"/>
        <v>1.103033615742006</v>
      </c>
      <c r="I35" s="33">
        <v>3092.61</v>
      </c>
      <c r="J35" s="56">
        <v>3.15</v>
      </c>
      <c r="K35" s="12">
        <f t="shared" si="6"/>
        <v>4.3044547690625851E-2</v>
      </c>
      <c r="L35" s="95">
        <f t="shared" si="7"/>
        <v>1292.0040000000001</v>
      </c>
      <c r="M35" s="94">
        <f t="shared" si="8"/>
        <v>4.3899999999999917</v>
      </c>
      <c r="N35" s="13">
        <f t="shared" si="9"/>
        <v>5.9989068051380039E-2</v>
      </c>
      <c r="O35" s="69" t="s">
        <v>403</v>
      </c>
      <c r="P35" s="14" t="s">
        <v>67</v>
      </c>
      <c r="Q35" s="28" t="s">
        <v>25</v>
      </c>
    </row>
    <row r="36" spans="1:17" s="62" customFormat="1" ht="24.95" customHeight="1" x14ac:dyDescent="0.25">
      <c r="A36" s="96">
        <v>9</v>
      </c>
      <c r="B36" s="10" t="s">
        <v>117</v>
      </c>
      <c r="C36" s="33">
        <v>1735.8</v>
      </c>
      <c r="D36" s="56">
        <v>100.77</v>
      </c>
      <c r="E36" s="56">
        <v>106.95</v>
      </c>
      <c r="F36" s="56">
        <v>10.5</v>
      </c>
      <c r="G36" s="33">
        <v>110</v>
      </c>
      <c r="H36" s="35">
        <f t="shared" si="5"/>
        <v>1.165525454004168</v>
      </c>
      <c r="I36" s="33">
        <v>1834.8</v>
      </c>
      <c r="J36" s="56">
        <v>0.9</v>
      </c>
      <c r="K36" s="12">
        <f t="shared" si="6"/>
        <v>8.9312295325989881E-3</v>
      </c>
      <c r="L36" s="95">
        <f t="shared" si="7"/>
        <v>99</v>
      </c>
      <c r="M36" s="94">
        <f t="shared" si="8"/>
        <v>15.780000000000006</v>
      </c>
      <c r="N36" s="13">
        <f t="shared" si="9"/>
        <v>0.15659422447156898</v>
      </c>
      <c r="O36" s="69" t="s">
        <v>18</v>
      </c>
      <c r="P36" s="14" t="s">
        <v>405</v>
      </c>
      <c r="Q36" s="28" t="s">
        <v>25</v>
      </c>
    </row>
    <row r="37" spans="1:17" s="62" customFormat="1" ht="24.95" customHeight="1" thickBot="1" x14ac:dyDescent="0.3">
      <c r="A37" s="97">
        <v>10</v>
      </c>
      <c r="B37" s="16" t="s">
        <v>38</v>
      </c>
      <c r="C37" s="34">
        <v>1571.05</v>
      </c>
      <c r="D37" s="58">
        <v>173.36</v>
      </c>
      <c r="E37" s="58">
        <v>174.3</v>
      </c>
      <c r="F37" s="58">
        <v>15.75</v>
      </c>
      <c r="G37" s="34">
        <v>99.12</v>
      </c>
      <c r="H37" s="36">
        <f t="shared" si="5"/>
        <v>1.0962736502076604</v>
      </c>
      <c r="I37" s="34">
        <v>1654.31</v>
      </c>
      <c r="J37" s="58">
        <v>0.84</v>
      </c>
      <c r="K37" s="18">
        <f t="shared" si="6"/>
        <v>4.8454083987078903E-3</v>
      </c>
      <c r="L37" s="99">
        <f t="shared" si="7"/>
        <v>83.260800000000003</v>
      </c>
      <c r="M37" s="98">
        <f t="shared" si="8"/>
        <v>15.849999999999998</v>
      </c>
      <c r="N37" s="19">
        <f t="shared" si="9"/>
        <v>9.1428241808952454E-2</v>
      </c>
      <c r="O37" s="52" t="s">
        <v>22</v>
      </c>
      <c r="P37" s="20" t="s">
        <v>406</v>
      </c>
      <c r="Q37" s="65" t="s">
        <v>25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213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180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937" t="s">
        <v>185</v>
      </c>
      <c r="B41" s="450" t="s">
        <v>186</v>
      </c>
      <c r="C41" s="450"/>
      <c r="D41" s="451"/>
      <c r="E41" s="23"/>
      <c r="G41" s="21"/>
      <c r="H41" s="22"/>
    </row>
    <row r="42" spans="1:17" ht="20.45" customHeight="1" x14ac:dyDescent="0.35">
      <c r="A42" s="937"/>
      <c r="B42" s="938" t="s">
        <v>214</v>
      </c>
      <c r="C42" s="939" t="s">
        <v>190</v>
      </c>
      <c r="D42" s="921" t="s">
        <v>215</v>
      </c>
      <c r="E42" s="23"/>
      <c r="G42" s="21"/>
      <c r="H42" s="22"/>
    </row>
    <row r="43" spans="1:17" ht="20.45" customHeight="1" x14ac:dyDescent="0.35">
      <c r="A43" s="937"/>
      <c r="B43" s="938"/>
      <c r="C43" s="939"/>
      <c r="D43" s="921"/>
      <c r="E43" s="23"/>
      <c r="G43" s="21"/>
      <c r="H43" s="22"/>
    </row>
    <row r="44" spans="1:17" s="26" customFormat="1" ht="24.95" customHeight="1" x14ac:dyDescent="0.35">
      <c r="A44" s="103">
        <v>1</v>
      </c>
      <c r="B44" s="10" t="s">
        <v>35</v>
      </c>
      <c r="C44" s="33">
        <v>1292</v>
      </c>
      <c r="D44" s="24">
        <f t="shared" ref="D44:D53" si="10">C44/$L$5</f>
        <v>0.33487899515565911</v>
      </c>
      <c r="E44" s="25"/>
      <c r="G44" s="21"/>
      <c r="H44" s="22"/>
    </row>
    <row r="45" spans="1:17" s="26" customFormat="1" ht="24.95" customHeight="1" x14ac:dyDescent="0.35">
      <c r="A45" s="104">
        <v>2</v>
      </c>
      <c r="B45" s="10" t="s">
        <v>31</v>
      </c>
      <c r="C45" s="33">
        <v>635.71</v>
      </c>
      <c r="D45" s="24">
        <f t="shared" si="10"/>
        <v>0.16477238855294432</v>
      </c>
      <c r="E45" s="25"/>
      <c r="G45" s="21"/>
      <c r="H45" s="22"/>
    </row>
    <row r="46" spans="1:17" s="26" customFormat="1" ht="24.95" customHeight="1" x14ac:dyDescent="0.35">
      <c r="A46" s="104">
        <v>3</v>
      </c>
      <c r="B46" s="10" t="s">
        <v>86</v>
      </c>
      <c r="C46" s="33">
        <v>507.96</v>
      </c>
      <c r="D46" s="24">
        <f t="shared" si="10"/>
        <v>0.13166032072698808</v>
      </c>
      <c r="E46" s="25"/>
      <c r="G46" s="21"/>
      <c r="H46" s="22"/>
    </row>
    <row r="47" spans="1:17" s="26" customFormat="1" ht="24.95" customHeight="1" x14ac:dyDescent="0.35">
      <c r="A47" s="103">
        <v>4</v>
      </c>
      <c r="B47" s="10" t="s">
        <v>68</v>
      </c>
      <c r="C47" s="33">
        <v>194.45</v>
      </c>
      <c r="D47" s="24">
        <f t="shared" si="10"/>
        <v>5.040032554800148E-2</v>
      </c>
      <c r="E47" s="25"/>
      <c r="G47" s="21"/>
      <c r="H47" s="22"/>
    </row>
    <row r="48" spans="1:17" s="26" customFormat="1" ht="24.95" customHeight="1" x14ac:dyDescent="0.35">
      <c r="A48" s="104">
        <v>5</v>
      </c>
      <c r="B48" s="10" t="s">
        <v>69</v>
      </c>
      <c r="C48" s="33">
        <v>167.4</v>
      </c>
      <c r="D48" s="24">
        <f t="shared" si="10"/>
        <v>4.3389120579765739E-2</v>
      </c>
      <c r="E48" s="25"/>
      <c r="G48" s="21"/>
      <c r="H48" s="22"/>
    </row>
    <row r="49" spans="1:5" s="26" customFormat="1" ht="24.95" customHeight="1" x14ac:dyDescent="0.25">
      <c r="A49" s="103">
        <v>6</v>
      </c>
      <c r="B49" s="10" t="s">
        <v>32</v>
      </c>
      <c r="C49" s="33">
        <v>157.54</v>
      </c>
      <c r="D49" s="24">
        <f t="shared" si="10"/>
        <v>4.0833465090419914E-2</v>
      </c>
      <c r="E49" s="25"/>
    </row>
    <row r="50" spans="1:5" s="26" customFormat="1" ht="24.95" customHeight="1" x14ac:dyDescent="0.25">
      <c r="A50" s="104">
        <v>7</v>
      </c>
      <c r="B50" s="10" t="s">
        <v>34</v>
      </c>
      <c r="C50" s="33">
        <v>153.47999999999999</v>
      </c>
      <c r="D50" s="24">
        <f t="shared" si="10"/>
        <v>3.9781136359512817E-2</v>
      </c>
      <c r="E50" s="25"/>
    </row>
    <row r="51" spans="1:5" s="26" customFormat="1" ht="24.95" customHeight="1" x14ac:dyDescent="0.25">
      <c r="A51" s="103">
        <v>8</v>
      </c>
      <c r="B51" s="10" t="s">
        <v>33</v>
      </c>
      <c r="C51" s="33">
        <v>134.31</v>
      </c>
      <c r="D51" s="24">
        <f t="shared" si="10"/>
        <v>3.4812382228604159E-2</v>
      </c>
      <c r="E51" s="25"/>
    </row>
    <row r="52" spans="1:5" s="26" customFormat="1" ht="24.95" customHeight="1" x14ac:dyDescent="0.25">
      <c r="A52" s="104">
        <v>9</v>
      </c>
      <c r="B52" s="10" t="s">
        <v>37</v>
      </c>
      <c r="C52" s="33">
        <v>112.85</v>
      </c>
      <c r="D52" s="24">
        <f t="shared" si="10"/>
        <v>2.9250073222380903E-2</v>
      </c>
      <c r="E52" s="25"/>
    </row>
    <row r="53" spans="1:5" s="26" customFormat="1" ht="24.95" customHeight="1" thickBot="1" x14ac:dyDescent="0.3">
      <c r="A53" s="105">
        <v>10</v>
      </c>
      <c r="B53" s="16" t="s">
        <v>117</v>
      </c>
      <c r="C53" s="34">
        <v>99</v>
      </c>
      <c r="D53" s="27">
        <f t="shared" si="10"/>
        <v>2.5660232600936726E-2</v>
      </c>
      <c r="E53" s="25"/>
    </row>
    <row r="54" spans="1:5" x14ac:dyDescent="0.25">
      <c r="A54" s="441" t="s">
        <v>216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217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75" priority="33" operator="containsText" text="024">
      <formula>NOT(ISERROR(SEARCH("024",A12)))</formula>
    </cfRule>
    <cfRule type="containsText" dxfId="74" priority="34" operator="containsText" text="白醬">
      <formula>NOT(ISERROR(SEARCH("白醬",A12)))</formula>
    </cfRule>
    <cfRule type="containsText" dxfId="73" priority="35" operator="containsText" text="青蔥">
      <formula>NOT(ISERROR(SEARCH("青蔥",A12)))</formula>
    </cfRule>
    <cfRule type="containsText" dxfId="72" priority="36" operator="containsText" text=")川燙小青花菜">
      <formula>NOT(ISERROR(SEARCH(")川燙小青花菜",A12)))</formula>
    </cfRule>
    <cfRule type="containsText" dxfId="71" priority="37" operator="containsText" text="湯凍">
      <formula>NOT(ISERROR(SEARCH("湯凍",A12)))</formula>
    </cfRule>
    <cfRule type="containsText" dxfId="70" priority="38" operator="containsText" text="中華">
      <formula>NOT(ISERROR(SEARCH("中華",A12)))</formula>
    </cfRule>
  </conditionalFormatting>
  <conditionalFormatting sqref="A12:A22">
    <cfRule type="containsText" dxfId="69" priority="31" operator="containsText" text="綠豆芽">
      <formula>NOT(ISERROR(SEARCH("綠豆芽",A12)))</formula>
    </cfRule>
    <cfRule type="containsText" dxfId="68" priority="32" operator="containsText" text="煮白細麵生(方#12)">
      <formula>NOT(ISERROR(SEARCH("煮白細麵生(方#12)",A12)))</formula>
    </cfRule>
  </conditionalFormatting>
  <conditionalFormatting sqref="E5">
    <cfRule type="cellIs" dxfId="67" priority="16" operator="greaterThan">
      <formula>0.0025</formula>
    </cfRule>
    <cfRule type="cellIs" dxfId="66" priority="19" operator="greaterThan">
      <formula>0.0025</formula>
    </cfRule>
    <cfRule type="cellIs" dxfId="65" priority="29" operator="greaterThan">
      <formula>0.072</formula>
    </cfRule>
    <cfRule type="cellIs" dxfId="64" priority="30" operator="greaterThan">
      <formula>7.2</formula>
    </cfRule>
  </conditionalFormatting>
  <conditionalFormatting sqref="E5">
    <cfRule type="cellIs" dxfId="63" priority="28" operator="greaterThan">
      <formula>0.0025</formula>
    </cfRule>
  </conditionalFormatting>
  <conditionalFormatting sqref="A44:A53">
    <cfRule type="containsText" dxfId="62" priority="22" operator="containsText" text="024">
      <formula>NOT(ISERROR(SEARCH("024",A44)))</formula>
    </cfRule>
    <cfRule type="containsText" dxfId="61" priority="23" operator="containsText" text="白醬">
      <formula>NOT(ISERROR(SEARCH("白醬",A44)))</formula>
    </cfRule>
    <cfRule type="containsText" dxfId="60" priority="24" operator="containsText" text="青蔥">
      <formula>NOT(ISERROR(SEARCH("青蔥",A44)))</formula>
    </cfRule>
    <cfRule type="containsText" dxfId="59" priority="25" operator="containsText" text=")川燙小青花菜">
      <formula>NOT(ISERROR(SEARCH(")川燙小青花菜",A44)))</formula>
    </cfRule>
    <cfRule type="containsText" dxfId="58" priority="26" operator="containsText" text="湯凍">
      <formula>NOT(ISERROR(SEARCH("湯凍",A44)))</formula>
    </cfRule>
    <cfRule type="containsText" dxfId="57" priority="27" operator="containsText" text="中華">
      <formula>NOT(ISERROR(SEARCH("中華",A44)))</formula>
    </cfRule>
  </conditionalFormatting>
  <conditionalFormatting sqref="A44:A53">
    <cfRule type="containsText" dxfId="56" priority="20" operator="containsText" text="綠豆芽">
      <formula>NOT(ISERROR(SEARCH("綠豆芽",A44)))</formula>
    </cfRule>
    <cfRule type="containsText" dxfId="55" priority="21" operator="containsText" text="煮白細麵生(方#12)">
      <formula>NOT(ISERROR(SEARCH("煮白細麵生(方#12)",A44)))</formula>
    </cfRule>
  </conditionalFormatting>
  <conditionalFormatting sqref="D44:D53">
    <cfRule type="cellIs" dxfId="54" priority="18" operator="greaterThan">
      <formula>0.146</formula>
    </cfRule>
  </conditionalFormatting>
  <conditionalFormatting sqref="H12:H22">
    <cfRule type="cellIs" dxfId="53" priority="17" operator="greaterThan">
      <formula>1.1</formula>
    </cfRule>
  </conditionalFormatting>
  <conditionalFormatting sqref="I5">
    <cfRule type="cellIs" dxfId="52" priority="15" operator="greaterThan">
      <formula>0.2</formula>
    </cfRule>
  </conditionalFormatting>
  <conditionalFormatting sqref="A28:A37">
    <cfRule type="containsText" dxfId="51" priority="9" operator="containsText" text="024">
      <formula>NOT(ISERROR(SEARCH("024",A28)))</formula>
    </cfRule>
    <cfRule type="containsText" dxfId="50" priority="10" operator="containsText" text="白醬">
      <formula>NOT(ISERROR(SEARCH("白醬",A28)))</formula>
    </cfRule>
    <cfRule type="containsText" dxfId="49" priority="11" operator="containsText" text="青蔥">
      <formula>NOT(ISERROR(SEARCH("青蔥",A28)))</formula>
    </cfRule>
    <cfRule type="containsText" dxfId="48" priority="12" operator="containsText" text=")川燙小青花菜">
      <formula>NOT(ISERROR(SEARCH(")川燙小青花菜",A28)))</formula>
    </cfRule>
    <cfRule type="containsText" dxfId="47" priority="13" operator="containsText" text="湯凍">
      <formula>NOT(ISERROR(SEARCH("湯凍",A28)))</formula>
    </cfRule>
    <cfRule type="containsText" dxfId="46" priority="14" operator="containsText" text="中華">
      <formula>NOT(ISERROR(SEARCH("中華",A28)))</formula>
    </cfRule>
  </conditionalFormatting>
  <conditionalFormatting sqref="A28:A37">
    <cfRule type="containsText" dxfId="45" priority="7" operator="containsText" text="綠豆芽">
      <formula>NOT(ISERROR(SEARCH("綠豆芽",A28)))</formula>
    </cfRule>
    <cfRule type="containsText" dxfId="44" priority="8" operator="containsText" text="煮白細麵生(方#12)">
      <formula>NOT(ISERROR(SEARCH("煮白細麵生(方#12)",A28)))</formula>
    </cfRule>
  </conditionalFormatting>
  <conditionalFormatting sqref="H28:H37">
    <cfRule type="cellIs" dxfId="43" priority="6" operator="greaterThan">
      <formula>1.1</formula>
    </cfRule>
  </conditionalFormatting>
  <conditionalFormatting sqref="G5">
    <cfRule type="cellIs" dxfId="42" priority="1" operator="greaterThan">
      <formula>0.0025</formula>
    </cfRule>
    <cfRule type="cellIs" dxfId="41" priority="2" operator="greaterThan">
      <formula>0.0025</formula>
    </cfRule>
    <cfRule type="cellIs" dxfId="40" priority="4" operator="greaterThan">
      <formula>0.072</formula>
    </cfRule>
    <cfRule type="cellIs" dxfId="39" priority="5" operator="greaterThan">
      <formula>7.2</formula>
    </cfRule>
  </conditionalFormatting>
  <conditionalFormatting sqref="G5">
    <cfRule type="cellIs" dxfId="38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56"/>
  <sheetViews>
    <sheetView zoomScale="55" zoomScaleNormal="55" workbookViewId="0">
      <selection activeCell="O15" sqref="O15"/>
    </sheetView>
  </sheetViews>
  <sheetFormatPr defaultRowHeight="15.75" x14ac:dyDescent="0.25"/>
  <cols>
    <col min="1" max="1" width="9" bestFit="1" customWidth="1"/>
    <col min="2" max="2" width="35.140625" customWidth="1"/>
    <col min="3" max="3" width="25.7109375" customWidth="1"/>
    <col min="4" max="4" width="21.7109375" customWidth="1"/>
    <col min="5" max="5" width="27" customWidth="1"/>
    <col min="6" max="6" width="21.7109375" customWidth="1"/>
    <col min="7" max="7" width="25.7109375" customWidth="1"/>
    <col min="8" max="8" width="25.28515625" customWidth="1"/>
    <col min="9" max="9" width="24.5703125" customWidth="1"/>
    <col min="10" max="10" width="21.7109375" customWidth="1"/>
    <col min="11" max="11" width="26.85546875" customWidth="1"/>
    <col min="12" max="12" width="21.7109375" customWidth="1"/>
    <col min="13" max="13" width="23.5703125" customWidth="1"/>
    <col min="14" max="14" width="21.7109375" customWidth="1"/>
    <col min="15" max="15" width="33.140625" bestFit="1" customWidth="1"/>
    <col min="16" max="16" width="102.140625" customWidth="1"/>
    <col min="17" max="17" width="47.7109375" customWidth="1"/>
  </cols>
  <sheetData>
    <row r="1" spans="1:17" ht="40.5" customHeight="1" x14ac:dyDescent="0.25">
      <c r="A1" s="483" t="s">
        <v>91</v>
      </c>
      <c r="B1" s="484"/>
      <c r="C1" s="484"/>
      <c r="D1" s="484"/>
      <c r="E1" s="484"/>
      <c r="F1" s="484"/>
      <c r="G1" s="484"/>
      <c r="H1" s="484"/>
      <c r="I1" s="484"/>
      <c r="J1" s="484"/>
      <c r="K1" s="484"/>
      <c r="L1" s="484"/>
      <c r="M1" s="485"/>
      <c r="P1" s="51"/>
    </row>
    <row r="2" spans="1:17" ht="24.95" customHeight="1" x14ac:dyDescent="0.25">
      <c r="A2" s="940" t="s">
        <v>92</v>
      </c>
      <c r="B2" s="941"/>
      <c r="C2" s="70" t="s">
        <v>93</v>
      </c>
      <c r="D2" s="942" t="s">
        <v>94</v>
      </c>
      <c r="E2" s="942"/>
      <c r="F2" s="942" t="s">
        <v>95</v>
      </c>
      <c r="G2" s="942"/>
      <c r="H2" s="942" t="s">
        <v>94</v>
      </c>
      <c r="I2" s="942"/>
      <c r="J2" s="942" t="s">
        <v>95</v>
      </c>
      <c r="K2" s="942"/>
      <c r="L2" s="942" t="s">
        <v>94</v>
      </c>
      <c r="M2" s="943"/>
      <c r="Q2" s="54"/>
    </row>
    <row r="3" spans="1:17" s="1" customFormat="1" ht="28.5" x14ac:dyDescent="0.45">
      <c r="A3" s="950">
        <v>45870</v>
      </c>
      <c r="B3" s="951"/>
      <c r="C3" s="952">
        <v>4376902.38</v>
      </c>
      <c r="D3" s="482" t="s">
        <v>96</v>
      </c>
      <c r="E3" s="482"/>
      <c r="F3" s="482" t="s">
        <v>97</v>
      </c>
      <c r="G3" s="482"/>
      <c r="H3" s="475" t="s">
        <v>98</v>
      </c>
      <c r="I3" s="475"/>
      <c r="J3" s="475" t="s">
        <v>99</v>
      </c>
      <c r="K3" s="475"/>
      <c r="L3" s="475" t="s">
        <v>100</v>
      </c>
      <c r="M3" s="476"/>
    </row>
    <row r="4" spans="1:17" ht="28.5" customHeight="1" x14ac:dyDescent="0.25">
      <c r="A4" s="950"/>
      <c r="B4" s="951"/>
      <c r="C4" s="952"/>
      <c r="D4" s="2" t="s">
        <v>101</v>
      </c>
      <c r="E4" s="2" t="s">
        <v>102</v>
      </c>
      <c r="F4" s="2" t="s">
        <v>101</v>
      </c>
      <c r="G4" s="2" t="s">
        <v>102</v>
      </c>
      <c r="H4" s="3" t="s">
        <v>101</v>
      </c>
      <c r="I4" s="3" t="s">
        <v>103</v>
      </c>
      <c r="J4" s="3" t="s">
        <v>101</v>
      </c>
      <c r="K4" s="3" t="s">
        <v>104</v>
      </c>
      <c r="L4" s="3" t="s">
        <v>101</v>
      </c>
      <c r="M4" s="4" t="s">
        <v>103</v>
      </c>
      <c r="Q4" s="54"/>
    </row>
    <row r="5" spans="1:17" s="55" customFormat="1" ht="46.5" customHeight="1" thickBot="1" x14ac:dyDescent="0.3">
      <c r="A5" s="944" t="s">
        <v>105</v>
      </c>
      <c r="B5" s="945"/>
      <c r="C5" s="945"/>
      <c r="D5" s="71">
        <v>10523.369999999997</v>
      </c>
      <c r="E5" s="5">
        <f>D5/C3</f>
        <v>2.4042962548321669E-3</v>
      </c>
      <c r="F5" s="71">
        <v>37623.409999999996</v>
      </c>
      <c r="G5" s="44">
        <f>F5/C3</f>
        <v>8.5958988192009894E-3</v>
      </c>
      <c r="H5" s="6">
        <f>SUM(C12:C21)</f>
        <v>4611.9999999999991</v>
      </c>
      <c r="I5" s="7">
        <f>H5/D5</f>
        <v>0.43826264780198743</v>
      </c>
      <c r="J5" s="6">
        <f>SUM(C28:C37)</f>
        <v>24597.24</v>
      </c>
      <c r="K5" s="46">
        <f>J5/F5</f>
        <v>0.65377487048622129</v>
      </c>
      <c r="L5" s="8">
        <v>3500.18</v>
      </c>
      <c r="M5" s="9">
        <f>L5/D5</f>
        <v>0.33261018095914147</v>
      </c>
    </row>
    <row r="6" spans="1:17" s="55" customFormat="1" ht="46.5" customHeight="1" thickBot="1" x14ac:dyDescent="0.3">
      <c r="A6"/>
      <c r="B6"/>
      <c r="C6"/>
      <c r="D6"/>
      <c r="E6" s="54"/>
      <c r="F6" s="54"/>
      <c r="G6"/>
      <c r="H6"/>
      <c r="I6"/>
      <c r="J6"/>
      <c r="K6" s="54"/>
    </row>
    <row r="7" spans="1:17" ht="40.5" customHeight="1" x14ac:dyDescent="0.25">
      <c r="A7" s="443" t="s">
        <v>126</v>
      </c>
      <c r="B7" s="444"/>
      <c r="C7" s="444"/>
      <c r="D7" s="444"/>
      <c r="E7" s="444"/>
      <c r="F7" s="444"/>
      <c r="G7" s="444"/>
      <c r="H7" s="444"/>
      <c r="I7" s="444"/>
      <c r="J7" s="444"/>
      <c r="K7" s="444"/>
      <c r="L7" s="444"/>
      <c r="M7" s="444"/>
      <c r="N7" s="444"/>
      <c r="O7" s="444"/>
      <c r="P7" s="455"/>
      <c r="Q7" s="445"/>
    </row>
    <row r="8" spans="1:17" ht="26.1" customHeight="1" x14ac:dyDescent="0.25">
      <c r="A8" s="446" t="s">
        <v>127</v>
      </c>
      <c r="B8" s="447"/>
      <c r="C8" s="447"/>
      <c r="D8" s="447" t="s">
        <v>128</v>
      </c>
      <c r="E8" s="447"/>
      <c r="F8" s="447"/>
      <c r="G8" s="447"/>
      <c r="H8" s="447"/>
      <c r="I8" s="447"/>
      <c r="J8" s="447"/>
      <c r="K8" s="447"/>
      <c r="L8" s="447"/>
      <c r="M8" s="447"/>
      <c r="N8" s="447"/>
      <c r="O8" s="456" t="s">
        <v>129</v>
      </c>
      <c r="P8" s="456" t="s">
        <v>130</v>
      </c>
      <c r="Q8" s="946" t="s">
        <v>131</v>
      </c>
    </row>
    <row r="9" spans="1:17" ht="20.45" customHeight="1" x14ac:dyDescent="0.25">
      <c r="A9" s="947" t="s">
        <v>132</v>
      </c>
      <c r="B9" s="461" t="s">
        <v>133</v>
      </c>
      <c r="C9" s="462"/>
      <c r="D9" s="463" t="s">
        <v>134</v>
      </c>
      <c r="E9" s="463"/>
      <c r="F9" s="463"/>
      <c r="G9" s="463"/>
      <c r="H9" s="463"/>
      <c r="I9" s="463"/>
      <c r="J9" s="464" t="s">
        <v>135</v>
      </c>
      <c r="K9" s="464"/>
      <c r="L9" s="464"/>
      <c r="M9" s="465"/>
      <c r="N9" s="465"/>
      <c r="O9" s="456"/>
      <c r="P9" s="456"/>
      <c r="Q9" s="946"/>
    </row>
    <row r="10" spans="1:17" ht="20.45" customHeight="1" x14ac:dyDescent="0.3">
      <c r="A10" s="948"/>
      <c r="B10" s="953" t="s">
        <v>136</v>
      </c>
      <c r="C10" s="955" t="s">
        <v>137</v>
      </c>
      <c r="D10" s="957" t="s">
        <v>110</v>
      </c>
      <c r="E10" s="957"/>
      <c r="F10" s="957"/>
      <c r="G10" s="957"/>
      <c r="H10" s="957"/>
      <c r="I10" s="957"/>
      <c r="J10" s="958" t="s">
        <v>138</v>
      </c>
      <c r="K10" s="959"/>
      <c r="L10" s="960" t="s">
        <v>139</v>
      </c>
      <c r="M10" s="958"/>
      <c r="N10" s="958"/>
      <c r="O10" s="456"/>
      <c r="P10" s="456"/>
      <c r="Q10" s="946"/>
    </row>
    <row r="11" spans="1:17" s="55" customFormat="1" ht="47.25" customHeight="1" x14ac:dyDescent="0.25">
      <c r="A11" s="949"/>
      <c r="B11" s="954"/>
      <c r="C11" s="956"/>
      <c r="D11" s="72" t="s">
        <v>140</v>
      </c>
      <c r="E11" s="72" t="s">
        <v>141</v>
      </c>
      <c r="F11" s="72" t="s">
        <v>142</v>
      </c>
      <c r="G11" s="72" t="s">
        <v>143</v>
      </c>
      <c r="H11" s="72" t="s">
        <v>144</v>
      </c>
      <c r="I11" s="72" t="s">
        <v>145</v>
      </c>
      <c r="J11" s="73" t="s">
        <v>146</v>
      </c>
      <c r="K11" s="73" t="s">
        <v>147</v>
      </c>
      <c r="L11" s="73" t="s">
        <v>146</v>
      </c>
      <c r="M11" s="73" t="s">
        <v>148</v>
      </c>
      <c r="N11" s="74" t="s">
        <v>149</v>
      </c>
      <c r="O11" s="456"/>
      <c r="P11" s="456"/>
      <c r="Q11" s="946"/>
    </row>
    <row r="12" spans="1:17" s="15" customFormat="1" ht="24.95" customHeight="1" x14ac:dyDescent="0.25">
      <c r="A12" s="75">
        <v>1</v>
      </c>
      <c r="B12" s="10" t="s">
        <v>123</v>
      </c>
      <c r="C12" s="33">
        <v>862.2</v>
      </c>
      <c r="D12" s="56">
        <v>9.66</v>
      </c>
      <c r="E12" s="56">
        <v>10.54</v>
      </c>
      <c r="F12" s="56">
        <v>0</v>
      </c>
      <c r="G12" s="33">
        <v>1567.63</v>
      </c>
      <c r="H12" s="11">
        <f t="shared" ref="H12:H21" si="0">(E12+F12)/D12</f>
        <v>1.0910973084886126</v>
      </c>
      <c r="I12" s="33">
        <v>1379.51</v>
      </c>
      <c r="J12" s="56">
        <v>0.55000000000000004</v>
      </c>
      <c r="K12" s="12">
        <f t="shared" ref="K12:K21" si="1">J12/D12</f>
        <v>5.6935817805383024E-2</v>
      </c>
      <c r="L12" s="76">
        <f t="shared" ref="L12:L21" si="2">((E12+F12)-D12)-J12</f>
        <v>0.32999999999999896</v>
      </c>
      <c r="M12" s="13">
        <f t="shared" ref="M12:M21" si="3">L12/D12</f>
        <v>3.4161490683229705E-2</v>
      </c>
      <c r="N12" s="77">
        <f t="shared" ref="N12:N21" si="4">L12*G12</f>
        <v>517.31789999999842</v>
      </c>
      <c r="O12" s="66" t="s">
        <v>19</v>
      </c>
      <c r="P12" s="66" t="s">
        <v>66</v>
      </c>
      <c r="Q12" s="28" t="s">
        <v>122</v>
      </c>
    </row>
    <row r="13" spans="1:17" s="15" customFormat="1" ht="24.95" customHeight="1" x14ac:dyDescent="0.25">
      <c r="A13" s="78">
        <v>2</v>
      </c>
      <c r="B13" s="10" t="s">
        <v>48</v>
      </c>
      <c r="C13" s="33">
        <v>846.44</v>
      </c>
      <c r="D13" s="56">
        <v>11.01</v>
      </c>
      <c r="E13" s="56">
        <v>11.5</v>
      </c>
      <c r="F13" s="56">
        <v>1.8</v>
      </c>
      <c r="G13" s="33">
        <v>846.44</v>
      </c>
      <c r="H13" s="11">
        <f t="shared" si="0"/>
        <v>1.2079927338782925</v>
      </c>
      <c r="I13" s="33">
        <v>1938.35</v>
      </c>
      <c r="J13" s="56">
        <v>1</v>
      </c>
      <c r="K13" s="12">
        <f t="shared" si="1"/>
        <v>9.0826521344232511E-2</v>
      </c>
      <c r="L13" s="76">
        <f t="shared" si="2"/>
        <v>1.2900000000000009</v>
      </c>
      <c r="M13" s="13">
        <f t="shared" si="3"/>
        <v>0.11716621253406004</v>
      </c>
      <c r="N13" s="77">
        <f t="shared" si="4"/>
        <v>1091.9076000000009</v>
      </c>
      <c r="O13" s="66" t="s">
        <v>19</v>
      </c>
      <c r="P13" s="66" t="s">
        <v>66</v>
      </c>
      <c r="Q13" s="28" t="s">
        <v>73</v>
      </c>
    </row>
    <row r="14" spans="1:17" s="57" customFormat="1" ht="24.95" customHeight="1" x14ac:dyDescent="0.25">
      <c r="A14" s="78">
        <v>3</v>
      </c>
      <c r="B14" s="10" t="s">
        <v>114</v>
      </c>
      <c r="C14" s="33">
        <v>521.05999999999995</v>
      </c>
      <c r="D14" s="56">
        <v>33.93</v>
      </c>
      <c r="E14" s="56">
        <v>34.93</v>
      </c>
      <c r="F14" s="56">
        <v>0</v>
      </c>
      <c r="G14" s="33">
        <v>814.16</v>
      </c>
      <c r="H14" s="11">
        <f t="shared" si="0"/>
        <v>1.0294724432655467</v>
      </c>
      <c r="I14" s="33">
        <v>814.16</v>
      </c>
      <c r="J14" s="56">
        <v>0.64</v>
      </c>
      <c r="K14" s="12">
        <f t="shared" si="1"/>
        <v>1.8862363689949896E-2</v>
      </c>
      <c r="L14" s="76">
        <f t="shared" si="2"/>
        <v>0.36</v>
      </c>
      <c r="M14" s="13">
        <f t="shared" si="3"/>
        <v>1.0610079575596816E-2</v>
      </c>
      <c r="N14" s="77">
        <f t="shared" si="4"/>
        <v>293.0976</v>
      </c>
      <c r="O14" s="66" t="s">
        <v>19</v>
      </c>
      <c r="P14" s="66" t="s">
        <v>66</v>
      </c>
      <c r="Q14" s="28" t="s">
        <v>113</v>
      </c>
    </row>
    <row r="15" spans="1:17" s="15" customFormat="1" ht="24.95" customHeight="1" x14ac:dyDescent="0.25">
      <c r="A15" s="75">
        <v>4</v>
      </c>
      <c r="B15" s="10" t="s">
        <v>33</v>
      </c>
      <c r="C15" s="33">
        <v>427.35</v>
      </c>
      <c r="D15" s="56">
        <v>66.09</v>
      </c>
      <c r="E15" s="56">
        <v>62.529999999999994</v>
      </c>
      <c r="F15" s="56">
        <v>6</v>
      </c>
      <c r="G15" s="33">
        <v>203.5</v>
      </c>
      <c r="H15" s="11">
        <f t="shared" si="0"/>
        <v>1.0369193523982447</v>
      </c>
      <c r="I15" s="33">
        <v>496.54</v>
      </c>
      <c r="J15" s="56">
        <v>2.1</v>
      </c>
      <c r="K15" s="12">
        <f t="shared" si="1"/>
        <v>3.1774852473899225E-2</v>
      </c>
      <c r="L15" s="76">
        <f t="shared" si="2"/>
        <v>0.33999999999999764</v>
      </c>
      <c r="M15" s="13">
        <f t="shared" si="3"/>
        <v>5.1444999243455535E-3</v>
      </c>
      <c r="N15" s="77">
        <f t="shared" si="4"/>
        <v>69.189999999999515</v>
      </c>
      <c r="O15" s="66" t="s">
        <v>18</v>
      </c>
      <c r="P15" s="66" t="s">
        <v>65</v>
      </c>
      <c r="Q15" s="28" t="s">
        <v>25</v>
      </c>
    </row>
    <row r="16" spans="1:17" s="57" customFormat="1" ht="24.95" customHeight="1" x14ac:dyDescent="0.25">
      <c r="A16" s="78">
        <v>5</v>
      </c>
      <c r="B16" s="10" t="s">
        <v>107</v>
      </c>
      <c r="C16" s="33">
        <v>406.06</v>
      </c>
      <c r="D16" s="56">
        <v>150.04</v>
      </c>
      <c r="E16" s="56">
        <v>154.85999999999999</v>
      </c>
      <c r="F16" s="56">
        <v>0</v>
      </c>
      <c r="G16" s="33">
        <v>166.42</v>
      </c>
      <c r="H16" s="11">
        <f t="shared" si="0"/>
        <v>1.0321247667288722</v>
      </c>
      <c r="I16" s="33">
        <v>802.14</v>
      </c>
      <c r="J16" s="56">
        <v>2.44</v>
      </c>
      <c r="K16" s="12">
        <f t="shared" si="1"/>
        <v>1.6262330045321249E-2</v>
      </c>
      <c r="L16" s="76">
        <f t="shared" si="2"/>
        <v>2.3799999999999932</v>
      </c>
      <c r="M16" s="13">
        <f t="shared" si="3"/>
        <v>1.5862436683551008E-2</v>
      </c>
      <c r="N16" s="77">
        <f t="shared" si="4"/>
        <v>396.07959999999883</v>
      </c>
      <c r="O16" s="66" t="s">
        <v>19</v>
      </c>
      <c r="P16" s="66" t="s">
        <v>66</v>
      </c>
      <c r="Q16" s="28" t="s">
        <v>106</v>
      </c>
    </row>
    <row r="17" spans="1:17" s="15" customFormat="1" ht="24.95" customHeight="1" x14ac:dyDescent="0.25">
      <c r="A17" s="75">
        <v>6</v>
      </c>
      <c r="B17" s="10" t="s">
        <v>108</v>
      </c>
      <c r="C17" s="33">
        <v>371.25</v>
      </c>
      <c r="D17" s="56">
        <v>36.229999999999997</v>
      </c>
      <c r="E17" s="56">
        <v>40.43</v>
      </c>
      <c r="F17" s="56">
        <v>0</v>
      </c>
      <c r="G17" s="33">
        <v>118.99</v>
      </c>
      <c r="H17" s="11">
        <f t="shared" si="0"/>
        <v>1.115926028153464</v>
      </c>
      <c r="I17" s="33">
        <v>499.76</v>
      </c>
      <c r="J17" s="56">
        <v>3.12</v>
      </c>
      <c r="K17" s="12">
        <f t="shared" si="1"/>
        <v>8.6116478056858972E-2</v>
      </c>
      <c r="L17" s="76">
        <f t="shared" si="2"/>
        <v>1.0800000000000027</v>
      </c>
      <c r="M17" s="13">
        <f t="shared" si="3"/>
        <v>2.9809550096605103E-2</v>
      </c>
      <c r="N17" s="77">
        <f t="shared" si="4"/>
        <v>128.50920000000033</v>
      </c>
      <c r="O17" s="66" t="s">
        <v>19</v>
      </c>
      <c r="P17" s="66" t="s">
        <v>66</v>
      </c>
      <c r="Q17" s="28" t="s">
        <v>51</v>
      </c>
    </row>
    <row r="18" spans="1:17" s="57" customFormat="1" ht="24.95" customHeight="1" x14ac:dyDescent="0.25">
      <c r="A18" s="78">
        <v>7</v>
      </c>
      <c r="B18" s="10" t="s">
        <v>86</v>
      </c>
      <c r="C18" s="33">
        <v>338.64</v>
      </c>
      <c r="D18" s="56">
        <v>23.68</v>
      </c>
      <c r="E18" s="56">
        <v>26.08</v>
      </c>
      <c r="F18" s="56">
        <v>0</v>
      </c>
      <c r="G18" s="33">
        <v>169.32</v>
      </c>
      <c r="H18" s="11">
        <f t="shared" si="0"/>
        <v>1.1013513513513513</v>
      </c>
      <c r="I18" s="33">
        <v>406.37</v>
      </c>
      <c r="J18" s="56">
        <v>2</v>
      </c>
      <c r="K18" s="12">
        <f t="shared" si="1"/>
        <v>8.4459459459459457E-2</v>
      </c>
      <c r="L18" s="76">
        <f t="shared" si="2"/>
        <v>0.39999999999999858</v>
      </c>
      <c r="M18" s="13">
        <f t="shared" si="3"/>
        <v>1.689189189189183E-2</v>
      </c>
      <c r="N18" s="77">
        <f t="shared" si="4"/>
        <v>67.727999999999753</v>
      </c>
      <c r="O18" s="66" t="s">
        <v>18</v>
      </c>
      <c r="P18" s="66" t="s">
        <v>81</v>
      </c>
      <c r="Q18" s="28" t="s">
        <v>25</v>
      </c>
    </row>
    <row r="19" spans="1:17" s="15" customFormat="1" ht="24.95" customHeight="1" x14ac:dyDescent="0.25">
      <c r="A19" s="75">
        <v>8</v>
      </c>
      <c r="B19" s="10" t="s">
        <v>87</v>
      </c>
      <c r="C19" s="33">
        <v>321.22000000000003</v>
      </c>
      <c r="D19" s="56">
        <v>14.01</v>
      </c>
      <c r="E19" s="56">
        <v>17.009999999999998</v>
      </c>
      <c r="F19" s="56">
        <v>0</v>
      </c>
      <c r="G19" s="33">
        <v>160.61000000000001</v>
      </c>
      <c r="H19" s="11">
        <f t="shared" si="0"/>
        <v>1.2141327623126337</v>
      </c>
      <c r="I19" s="33">
        <v>481.83</v>
      </c>
      <c r="J19" s="56">
        <v>2</v>
      </c>
      <c r="K19" s="12">
        <f t="shared" si="1"/>
        <v>0.14275517487508924</v>
      </c>
      <c r="L19" s="76">
        <f t="shared" si="2"/>
        <v>0.99999999999999822</v>
      </c>
      <c r="M19" s="13">
        <f t="shared" si="3"/>
        <v>7.1377587437544479E-2</v>
      </c>
      <c r="N19" s="77">
        <f t="shared" si="4"/>
        <v>160.60999999999973</v>
      </c>
      <c r="O19" s="66" t="s">
        <v>19</v>
      </c>
      <c r="P19" s="66" t="s">
        <v>88</v>
      </c>
      <c r="Q19" s="28" t="s">
        <v>85</v>
      </c>
    </row>
    <row r="20" spans="1:17" s="15" customFormat="1" ht="24.95" customHeight="1" x14ac:dyDescent="0.25">
      <c r="A20" s="78">
        <v>9</v>
      </c>
      <c r="B20" s="10" t="s">
        <v>56</v>
      </c>
      <c r="C20" s="33">
        <v>259.58</v>
      </c>
      <c r="D20" s="56">
        <v>2.84</v>
      </c>
      <c r="E20" s="56">
        <v>3.58</v>
      </c>
      <c r="F20" s="56">
        <v>0</v>
      </c>
      <c r="G20" s="33">
        <v>405.6</v>
      </c>
      <c r="H20" s="11">
        <f t="shared" si="0"/>
        <v>1.2605633802816902</v>
      </c>
      <c r="I20" s="33">
        <v>300.14</v>
      </c>
      <c r="J20" s="56">
        <v>0.64</v>
      </c>
      <c r="K20" s="12">
        <f t="shared" si="1"/>
        <v>0.22535211267605634</v>
      </c>
      <c r="L20" s="76">
        <f t="shared" si="2"/>
        <v>0.1000000000000002</v>
      </c>
      <c r="M20" s="13">
        <f t="shared" si="3"/>
        <v>3.5211267605633874E-2</v>
      </c>
      <c r="N20" s="77">
        <f t="shared" si="4"/>
        <v>40.56000000000008</v>
      </c>
      <c r="O20" s="66" t="s">
        <v>22</v>
      </c>
      <c r="P20" s="66" t="s">
        <v>111</v>
      </c>
      <c r="Q20" s="28" t="s">
        <v>75</v>
      </c>
    </row>
    <row r="21" spans="1:17" s="15" customFormat="1" ht="24.95" customHeight="1" thickBot="1" x14ac:dyDescent="0.3">
      <c r="A21" s="79">
        <v>10</v>
      </c>
      <c r="B21" s="16" t="s">
        <v>119</v>
      </c>
      <c r="C21" s="34">
        <v>258.2</v>
      </c>
      <c r="D21" s="58">
        <v>5.77</v>
      </c>
      <c r="E21" s="58">
        <v>7.5</v>
      </c>
      <c r="F21" s="58">
        <v>0</v>
      </c>
      <c r="G21" s="34">
        <v>149.25</v>
      </c>
      <c r="H21" s="17">
        <f t="shared" si="0"/>
        <v>1.2998266897746968</v>
      </c>
      <c r="I21" s="34">
        <v>258.2</v>
      </c>
      <c r="J21" s="58">
        <v>1.73</v>
      </c>
      <c r="K21" s="18">
        <f t="shared" si="1"/>
        <v>0.29982668977469673</v>
      </c>
      <c r="L21" s="80">
        <f t="shared" si="2"/>
        <v>0</v>
      </c>
      <c r="M21" s="19">
        <f t="shared" si="3"/>
        <v>0</v>
      </c>
      <c r="N21" s="81">
        <f t="shared" si="4"/>
        <v>0</v>
      </c>
      <c r="O21" s="64" t="s">
        <v>18</v>
      </c>
      <c r="P21" s="64" t="s">
        <v>72</v>
      </c>
      <c r="Q21" s="29" t="s">
        <v>120</v>
      </c>
    </row>
    <row r="22" spans="1:17" s="62" customFormat="1" ht="24.95" customHeight="1" thickBot="1" x14ac:dyDescent="0.3">
      <c r="A22" s="82"/>
      <c r="B22" s="59"/>
      <c r="C22" s="60"/>
      <c r="D22" s="60"/>
      <c r="E22" s="60"/>
      <c r="F22" s="60"/>
      <c r="G22" s="60"/>
      <c r="H22" s="31"/>
      <c r="I22" s="60"/>
      <c r="J22" s="60"/>
      <c r="K22" s="30"/>
      <c r="L22" s="83"/>
      <c r="M22" s="30"/>
      <c r="N22" s="84"/>
      <c r="O22" s="61"/>
      <c r="P22" s="61"/>
      <c r="Q22" s="59"/>
    </row>
    <row r="23" spans="1:17" s="62" customFormat="1" ht="40.5" customHeight="1" x14ac:dyDescent="0.25">
      <c r="A23" s="443" t="s">
        <v>150</v>
      </c>
      <c r="B23" s="444"/>
      <c r="C23" s="444"/>
      <c r="D23" s="444"/>
      <c r="E23" s="444"/>
      <c r="F23" s="444"/>
      <c r="G23" s="444"/>
      <c r="H23" s="444"/>
      <c r="I23" s="444"/>
      <c r="J23" s="444"/>
      <c r="K23" s="444"/>
      <c r="L23" s="444"/>
      <c r="M23" s="444"/>
      <c r="N23" s="444"/>
      <c r="O23" s="444"/>
      <c r="P23" s="455"/>
      <c r="Q23" s="445"/>
    </row>
    <row r="24" spans="1:17" s="62" customFormat="1" ht="24.95" customHeight="1" x14ac:dyDescent="0.25">
      <c r="A24" s="446" t="s">
        <v>151</v>
      </c>
      <c r="B24" s="447"/>
      <c r="C24" s="447"/>
      <c r="D24" s="447" t="s">
        <v>152</v>
      </c>
      <c r="E24" s="447"/>
      <c r="F24" s="447"/>
      <c r="G24" s="447"/>
      <c r="H24" s="447"/>
      <c r="I24" s="447"/>
      <c r="J24" s="447"/>
      <c r="K24" s="447"/>
      <c r="L24" s="447"/>
      <c r="M24" s="447"/>
      <c r="N24" s="447"/>
      <c r="O24" s="456" t="s">
        <v>129</v>
      </c>
      <c r="P24" s="456" t="s">
        <v>153</v>
      </c>
      <c r="Q24" s="946" t="s">
        <v>154</v>
      </c>
    </row>
    <row r="25" spans="1:17" s="62" customFormat="1" ht="24.95" customHeight="1" x14ac:dyDescent="0.25">
      <c r="A25" s="947" t="s">
        <v>132</v>
      </c>
      <c r="B25" s="461" t="s">
        <v>133</v>
      </c>
      <c r="C25" s="462"/>
      <c r="D25" s="463" t="s">
        <v>155</v>
      </c>
      <c r="E25" s="463"/>
      <c r="F25" s="463"/>
      <c r="G25" s="463"/>
      <c r="H25" s="463"/>
      <c r="I25" s="463"/>
      <c r="J25" s="464" t="s">
        <v>156</v>
      </c>
      <c r="K25" s="464"/>
      <c r="L25" s="464"/>
      <c r="M25" s="465"/>
      <c r="N25" s="465"/>
      <c r="O25" s="456"/>
      <c r="P25" s="456"/>
      <c r="Q25" s="946"/>
    </row>
    <row r="26" spans="1:17" s="62" customFormat="1" ht="24.95" customHeight="1" x14ac:dyDescent="0.3">
      <c r="A26" s="948"/>
      <c r="B26" s="953" t="s">
        <v>157</v>
      </c>
      <c r="C26" s="955" t="s">
        <v>158</v>
      </c>
      <c r="D26" s="957" t="s">
        <v>159</v>
      </c>
      <c r="E26" s="957"/>
      <c r="F26" s="957"/>
      <c r="G26" s="957"/>
      <c r="H26" s="957"/>
      <c r="I26" s="957"/>
      <c r="J26" s="958" t="s">
        <v>160</v>
      </c>
      <c r="K26" s="961"/>
      <c r="L26" s="959"/>
      <c r="M26" s="958" t="s">
        <v>139</v>
      </c>
      <c r="N26" s="959"/>
      <c r="O26" s="456"/>
      <c r="P26" s="456"/>
      <c r="Q26" s="946"/>
    </row>
    <row r="27" spans="1:17" s="62" customFormat="1" ht="50.1" customHeight="1" x14ac:dyDescent="0.25">
      <c r="A27" s="949"/>
      <c r="B27" s="954"/>
      <c r="C27" s="956"/>
      <c r="D27" s="72" t="s">
        <v>161</v>
      </c>
      <c r="E27" s="72" t="s">
        <v>162</v>
      </c>
      <c r="F27" s="72" t="s">
        <v>163</v>
      </c>
      <c r="G27" s="72" t="s">
        <v>143</v>
      </c>
      <c r="H27" s="72" t="s">
        <v>144</v>
      </c>
      <c r="I27" s="72" t="s">
        <v>164</v>
      </c>
      <c r="J27" s="73" t="s">
        <v>165</v>
      </c>
      <c r="K27" s="73" t="s">
        <v>166</v>
      </c>
      <c r="L27" s="74" t="s">
        <v>167</v>
      </c>
      <c r="M27" s="73" t="s">
        <v>168</v>
      </c>
      <c r="N27" s="73" t="s">
        <v>166</v>
      </c>
      <c r="O27" s="456"/>
      <c r="P27" s="456"/>
      <c r="Q27" s="946"/>
    </row>
    <row r="28" spans="1:17" s="62" customFormat="1" ht="24.95" customHeight="1" x14ac:dyDescent="0.25">
      <c r="A28" s="75">
        <v>1</v>
      </c>
      <c r="B28" s="10" t="s">
        <v>50</v>
      </c>
      <c r="C28" s="33">
        <v>4059.9100000000003</v>
      </c>
      <c r="D28" s="56">
        <v>268.60000000000002</v>
      </c>
      <c r="E28" s="56">
        <v>279</v>
      </c>
      <c r="F28" s="56">
        <v>27.95</v>
      </c>
      <c r="G28" s="33">
        <v>111.2</v>
      </c>
      <c r="H28" s="35">
        <f t="shared" ref="H28:H37" si="5">(E28+F28)/D28</f>
        <v>1.1427773641102008</v>
      </c>
      <c r="I28" s="33">
        <v>4264.5200000000004</v>
      </c>
      <c r="J28" s="56">
        <v>1.84</v>
      </c>
      <c r="K28" s="12">
        <f t="shared" ref="K28:K37" si="6">J28/D28</f>
        <v>6.8503350707371556E-3</v>
      </c>
      <c r="L28" s="77">
        <f t="shared" ref="L28:L37" si="7">J28*G28</f>
        <v>204.608</v>
      </c>
      <c r="M28" s="76">
        <f t="shared" ref="M28:M37" si="8">((E28+F28)-D28)-J28</f>
        <v>36.509999999999962</v>
      </c>
      <c r="N28" s="13">
        <f t="shared" ref="N28:N37" si="9">M28/D28</f>
        <v>0.13592702903946374</v>
      </c>
      <c r="O28" s="69" t="s">
        <v>22</v>
      </c>
      <c r="P28" s="14" t="s">
        <v>109</v>
      </c>
      <c r="Q28" s="28" t="s">
        <v>49</v>
      </c>
    </row>
    <row r="29" spans="1:17" s="62" customFormat="1" ht="24.95" customHeight="1" x14ac:dyDescent="0.25">
      <c r="A29" s="78">
        <v>2</v>
      </c>
      <c r="B29" s="10" t="s">
        <v>32</v>
      </c>
      <c r="C29" s="33">
        <v>3540.3599999999997</v>
      </c>
      <c r="D29" s="56">
        <v>76.3</v>
      </c>
      <c r="E29" s="56">
        <v>78.62</v>
      </c>
      <c r="F29" s="56">
        <v>15.3</v>
      </c>
      <c r="G29" s="33">
        <v>212.89</v>
      </c>
      <c r="H29" s="35">
        <f t="shared" si="5"/>
        <v>1.2309305373525559</v>
      </c>
      <c r="I29" s="33">
        <v>3751.12</v>
      </c>
      <c r="J29" s="56">
        <v>0.99</v>
      </c>
      <c r="K29" s="12">
        <f t="shared" si="6"/>
        <v>1.2975098296199214E-2</v>
      </c>
      <c r="L29" s="77">
        <f t="shared" si="7"/>
        <v>210.76109999999997</v>
      </c>
      <c r="M29" s="76">
        <f t="shared" si="8"/>
        <v>16.630000000000006</v>
      </c>
      <c r="N29" s="13">
        <f t="shared" si="9"/>
        <v>0.21795543905635659</v>
      </c>
      <c r="O29" s="69" t="s">
        <v>79</v>
      </c>
      <c r="P29" s="14" t="s">
        <v>80</v>
      </c>
      <c r="Q29" s="28" t="s">
        <v>25</v>
      </c>
    </row>
    <row r="30" spans="1:17" s="62" customFormat="1" ht="24.95" customHeight="1" x14ac:dyDescent="0.25">
      <c r="A30" s="78">
        <v>3</v>
      </c>
      <c r="B30" s="10" t="s">
        <v>35</v>
      </c>
      <c r="C30" s="33">
        <v>2858.81</v>
      </c>
      <c r="D30" s="56">
        <v>70.44</v>
      </c>
      <c r="E30" s="56">
        <v>72.3</v>
      </c>
      <c r="F30" s="56">
        <v>5.6</v>
      </c>
      <c r="G30" s="33">
        <v>410.16</v>
      </c>
      <c r="H30" s="35">
        <f t="shared" si="5"/>
        <v>1.1059057353776263</v>
      </c>
      <c r="I30" s="33">
        <v>3059.79</v>
      </c>
      <c r="J30" s="32">
        <v>0.49</v>
      </c>
      <c r="K30" s="12">
        <f t="shared" si="6"/>
        <v>6.9562748438387282E-3</v>
      </c>
      <c r="L30" s="77">
        <f t="shared" si="7"/>
        <v>200.97840000000002</v>
      </c>
      <c r="M30" s="76">
        <f t="shared" si="8"/>
        <v>6.9699999999999935</v>
      </c>
      <c r="N30" s="13">
        <f t="shared" si="9"/>
        <v>9.8949460533787531E-2</v>
      </c>
      <c r="O30" s="69" t="s">
        <v>22</v>
      </c>
      <c r="P30" s="14" t="s">
        <v>70</v>
      </c>
      <c r="Q30" s="28" t="s">
        <v>25</v>
      </c>
    </row>
    <row r="31" spans="1:17" s="62" customFormat="1" ht="24.95" customHeight="1" x14ac:dyDescent="0.25">
      <c r="A31" s="75">
        <v>4</v>
      </c>
      <c r="B31" s="10" t="s">
        <v>58</v>
      </c>
      <c r="C31" s="33">
        <v>2383.71</v>
      </c>
      <c r="D31" s="56">
        <v>49.8</v>
      </c>
      <c r="E31" s="56">
        <v>52.33</v>
      </c>
      <c r="F31" s="56">
        <v>4.55</v>
      </c>
      <c r="G31" s="33">
        <v>365.6</v>
      </c>
      <c r="H31" s="35">
        <f t="shared" si="5"/>
        <v>1.1421686746987951</v>
      </c>
      <c r="I31" s="33">
        <v>2588.4499999999998</v>
      </c>
      <c r="J31" s="56">
        <v>0.56000000000000005</v>
      </c>
      <c r="K31" s="12">
        <f t="shared" si="6"/>
        <v>1.1244979919678717E-2</v>
      </c>
      <c r="L31" s="77">
        <f t="shared" si="7"/>
        <v>204.73600000000002</v>
      </c>
      <c r="M31" s="76">
        <f t="shared" si="8"/>
        <v>6.5199999999999978</v>
      </c>
      <c r="N31" s="13">
        <f t="shared" si="9"/>
        <v>0.13092369477911642</v>
      </c>
      <c r="O31" s="69" t="s">
        <v>18</v>
      </c>
      <c r="P31" s="14" t="s">
        <v>67</v>
      </c>
      <c r="Q31" s="28" t="s">
        <v>57</v>
      </c>
    </row>
    <row r="32" spans="1:17" s="62" customFormat="1" ht="24.95" customHeight="1" x14ac:dyDescent="0.25">
      <c r="A32" s="78">
        <v>5</v>
      </c>
      <c r="B32" s="10" t="s">
        <v>41</v>
      </c>
      <c r="C32" s="33">
        <v>2112.29</v>
      </c>
      <c r="D32" s="56">
        <v>106.35</v>
      </c>
      <c r="E32" s="56">
        <v>109.3</v>
      </c>
      <c r="F32" s="56">
        <v>15.4</v>
      </c>
      <c r="G32" s="33">
        <v>127.4</v>
      </c>
      <c r="H32" s="35">
        <f t="shared" si="5"/>
        <v>1.1725434884814294</v>
      </c>
      <c r="I32" s="33">
        <v>2337.79</v>
      </c>
      <c r="J32" s="56">
        <v>1.77</v>
      </c>
      <c r="K32" s="12">
        <f t="shared" si="6"/>
        <v>1.6643159379407618E-2</v>
      </c>
      <c r="L32" s="77">
        <f t="shared" si="7"/>
        <v>225.49800000000002</v>
      </c>
      <c r="M32" s="76">
        <f t="shared" si="8"/>
        <v>16.580000000000009</v>
      </c>
      <c r="N32" s="13">
        <f t="shared" si="9"/>
        <v>0.15590032910202173</v>
      </c>
      <c r="O32" s="69" t="s">
        <v>22</v>
      </c>
      <c r="P32" s="14" t="s">
        <v>84</v>
      </c>
      <c r="Q32" s="28" t="s">
        <v>25</v>
      </c>
    </row>
    <row r="33" spans="1:17" s="62" customFormat="1" ht="24.95" customHeight="1" x14ac:dyDescent="0.25">
      <c r="A33" s="75">
        <v>6</v>
      </c>
      <c r="B33" s="10" t="s">
        <v>37</v>
      </c>
      <c r="C33" s="33">
        <v>2072.11</v>
      </c>
      <c r="D33" s="56">
        <v>174.45</v>
      </c>
      <c r="E33" s="56">
        <v>180.3</v>
      </c>
      <c r="F33" s="56">
        <v>8.6999999999999993</v>
      </c>
      <c r="G33" s="33">
        <v>156.74</v>
      </c>
      <c r="H33" s="35">
        <f t="shared" si="5"/>
        <v>1.0834049871023217</v>
      </c>
      <c r="I33" s="33">
        <v>2280.5700000000002</v>
      </c>
      <c r="J33" s="56">
        <v>1.33</v>
      </c>
      <c r="K33" s="12">
        <f t="shared" si="6"/>
        <v>7.623961020349671E-3</v>
      </c>
      <c r="L33" s="77">
        <f t="shared" si="7"/>
        <v>208.46420000000003</v>
      </c>
      <c r="M33" s="76">
        <f t="shared" si="8"/>
        <v>13.220000000000011</v>
      </c>
      <c r="N33" s="13">
        <f t="shared" si="9"/>
        <v>7.5781026081971986E-2</v>
      </c>
      <c r="O33" s="69" t="s">
        <v>22</v>
      </c>
      <c r="P33" s="14" t="s">
        <v>67</v>
      </c>
      <c r="Q33" s="28" t="s">
        <v>25</v>
      </c>
    </row>
    <row r="34" spans="1:17" s="62" customFormat="1" ht="24.95" customHeight="1" x14ac:dyDescent="0.25">
      <c r="A34" s="78">
        <v>7</v>
      </c>
      <c r="B34" s="10" t="s">
        <v>31</v>
      </c>
      <c r="C34" s="33">
        <v>2049.3200000000002</v>
      </c>
      <c r="D34" s="56">
        <v>49.25</v>
      </c>
      <c r="E34" s="56">
        <v>53.44</v>
      </c>
      <c r="F34" s="56">
        <v>3.9</v>
      </c>
      <c r="G34" s="33">
        <v>278.82</v>
      </c>
      <c r="H34" s="35">
        <f t="shared" si="5"/>
        <v>1.1642639593908628</v>
      </c>
      <c r="I34" s="33">
        <v>2255.65</v>
      </c>
      <c r="J34" s="56">
        <v>0.74</v>
      </c>
      <c r="K34" s="12">
        <f t="shared" si="6"/>
        <v>1.5025380710659899E-2</v>
      </c>
      <c r="L34" s="77">
        <f t="shared" si="7"/>
        <v>206.32679999999999</v>
      </c>
      <c r="M34" s="76">
        <f t="shared" si="8"/>
        <v>7.3499999999999961</v>
      </c>
      <c r="N34" s="13">
        <f t="shared" si="9"/>
        <v>0.14923857868020296</v>
      </c>
      <c r="O34" s="69" t="s">
        <v>18</v>
      </c>
      <c r="P34" s="14" t="s">
        <v>65</v>
      </c>
      <c r="Q34" s="28" t="s">
        <v>25</v>
      </c>
    </row>
    <row r="35" spans="1:17" s="62" customFormat="1" ht="24.95" customHeight="1" x14ac:dyDescent="0.25">
      <c r="A35" s="75">
        <v>8</v>
      </c>
      <c r="B35" s="10" t="s">
        <v>115</v>
      </c>
      <c r="C35" s="33">
        <v>1922.07</v>
      </c>
      <c r="D35" s="56">
        <v>174.8</v>
      </c>
      <c r="E35" s="56">
        <v>185.22</v>
      </c>
      <c r="F35" s="56">
        <v>30</v>
      </c>
      <c r="G35" s="33">
        <v>53.51</v>
      </c>
      <c r="H35" s="35">
        <f t="shared" si="5"/>
        <v>1.2312356979405032</v>
      </c>
      <c r="I35" s="33">
        <v>2162.87</v>
      </c>
      <c r="J35" s="56">
        <v>4.5</v>
      </c>
      <c r="K35" s="12">
        <f t="shared" si="6"/>
        <v>2.5743707093821507E-2</v>
      </c>
      <c r="L35" s="77">
        <f t="shared" si="7"/>
        <v>240.79499999999999</v>
      </c>
      <c r="M35" s="76">
        <f t="shared" si="8"/>
        <v>35.919999999999987</v>
      </c>
      <c r="N35" s="13">
        <f t="shared" si="9"/>
        <v>0.20549199084668185</v>
      </c>
      <c r="O35" s="69" t="s">
        <v>22</v>
      </c>
      <c r="P35" s="14" t="s">
        <v>125</v>
      </c>
      <c r="Q35" s="28" t="s">
        <v>113</v>
      </c>
    </row>
    <row r="36" spans="1:17" s="62" customFormat="1" ht="24.95" customHeight="1" x14ac:dyDescent="0.25">
      <c r="A36" s="78">
        <v>9</v>
      </c>
      <c r="B36" s="10" t="s">
        <v>45</v>
      </c>
      <c r="C36" s="33">
        <v>1833.52</v>
      </c>
      <c r="D36" s="56">
        <v>59.09</v>
      </c>
      <c r="E36" s="56">
        <v>60.08</v>
      </c>
      <c r="F36" s="56">
        <v>5.55</v>
      </c>
      <c r="G36" s="33">
        <v>318.32</v>
      </c>
      <c r="H36" s="35">
        <f t="shared" si="5"/>
        <v>1.1106786258250125</v>
      </c>
      <c r="I36" s="33">
        <v>2081.81</v>
      </c>
      <c r="J36" s="56">
        <v>0.78</v>
      </c>
      <c r="K36" s="12">
        <f t="shared" si="6"/>
        <v>1.3200203080047384E-2</v>
      </c>
      <c r="L36" s="77">
        <f t="shared" si="7"/>
        <v>248.28960000000001</v>
      </c>
      <c r="M36" s="76">
        <f t="shared" si="8"/>
        <v>5.7599999999999918</v>
      </c>
      <c r="N36" s="13">
        <f t="shared" si="9"/>
        <v>9.7478422744965168E-2</v>
      </c>
      <c r="O36" s="69" t="s">
        <v>79</v>
      </c>
      <c r="P36" s="14" t="s">
        <v>67</v>
      </c>
      <c r="Q36" s="28" t="s">
        <v>76</v>
      </c>
    </row>
    <row r="37" spans="1:17" s="62" customFormat="1" ht="24.95" customHeight="1" thickBot="1" x14ac:dyDescent="0.3">
      <c r="A37" s="79">
        <v>10</v>
      </c>
      <c r="B37" s="16" t="s">
        <v>40</v>
      </c>
      <c r="C37" s="34">
        <v>1765.14</v>
      </c>
      <c r="D37" s="58">
        <v>161.94999999999999</v>
      </c>
      <c r="E37" s="58">
        <v>187.33</v>
      </c>
      <c r="F37" s="58">
        <v>0</v>
      </c>
      <c r="G37" s="34">
        <v>78</v>
      </c>
      <c r="H37" s="36">
        <f t="shared" si="5"/>
        <v>1.1567150355047855</v>
      </c>
      <c r="I37" s="34">
        <v>1979.64</v>
      </c>
      <c r="J37" s="58">
        <v>2.75</v>
      </c>
      <c r="K37" s="18">
        <f t="shared" si="6"/>
        <v>1.6980549552330967E-2</v>
      </c>
      <c r="L37" s="81">
        <f t="shared" si="7"/>
        <v>214.5</v>
      </c>
      <c r="M37" s="80">
        <f t="shared" si="8"/>
        <v>22.630000000000024</v>
      </c>
      <c r="N37" s="19">
        <f t="shared" si="9"/>
        <v>0.13973448595245461</v>
      </c>
      <c r="O37" s="52" t="s">
        <v>22</v>
      </c>
      <c r="P37" s="20" t="s">
        <v>178</v>
      </c>
      <c r="Q37" s="65" t="s">
        <v>25</v>
      </c>
    </row>
    <row r="38" spans="1:17" ht="15.75" customHeight="1" thickBot="1" x14ac:dyDescent="0.3">
      <c r="O38" s="61"/>
      <c r="P38" s="61"/>
      <c r="Q38" s="59"/>
    </row>
    <row r="39" spans="1:17" ht="40.5" customHeight="1" x14ac:dyDescent="0.35">
      <c r="A39" s="443" t="s">
        <v>169</v>
      </c>
      <c r="B39" s="444"/>
      <c r="C39" s="444"/>
      <c r="D39" s="445"/>
      <c r="E39" s="23"/>
      <c r="F39" s="63"/>
      <c r="G39" s="21"/>
      <c r="H39" s="22"/>
      <c r="I39" s="63"/>
    </row>
    <row r="40" spans="1:17" ht="26.1" customHeight="1" x14ac:dyDescent="0.35">
      <c r="A40" s="446" t="s">
        <v>170</v>
      </c>
      <c r="B40" s="447"/>
      <c r="C40" s="447"/>
      <c r="D40" s="448"/>
      <c r="E40" s="23"/>
      <c r="G40" s="21"/>
      <c r="H40" s="22"/>
    </row>
    <row r="41" spans="1:17" ht="25.5" customHeight="1" x14ac:dyDescent="0.35">
      <c r="A41" s="962" t="s">
        <v>171</v>
      </c>
      <c r="B41" s="450" t="s">
        <v>133</v>
      </c>
      <c r="C41" s="450"/>
      <c r="D41" s="451"/>
      <c r="E41" s="23"/>
      <c r="G41" s="21"/>
      <c r="H41" s="22"/>
    </row>
    <row r="42" spans="1:17" ht="20.45" customHeight="1" x14ac:dyDescent="0.35">
      <c r="A42" s="962"/>
      <c r="B42" s="963" t="s">
        <v>172</v>
      </c>
      <c r="C42" s="964" t="s">
        <v>173</v>
      </c>
      <c r="D42" s="946" t="s">
        <v>174</v>
      </c>
      <c r="E42" s="23"/>
      <c r="G42" s="21"/>
      <c r="H42" s="22"/>
    </row>
    <row r="43" spans="1:17" ht="20.45" customHeight="1" x14ac:dyDescent="0.35">
      <c r="A43" s="962"/>
      <c r="B43" s="963"/>
      <c r="C43" s="964"/>
      <c r="D43" s="946"/>
      <c r="E43" s="23"/>
      <c r="G43" s="21"/>
      <c r="H43" s="22"/>
    </row>
    <row r="44" spans="1:17" s="26" customFormat="1" ht="24.95" customHeight="1" x14ac:dyDescent="0.35">
      <c r="A44" s="85">
        <v>1</v>
      </c>
      <c r="B44" s="10" t="s">
        <v>33</v>
      </c>
      <c r="C44" s="33">
        <v>427.35</v>
      </c>
      <c r="D44" s="24">
        <f t="shared" ref="D44:D53" si="10">C44/$L$5</f>
        <v>0.12209372089435401</v>
      </c>
      <c r="E44" s="25"/>
      <c r="G44" s="21"/>
      <c r="H44" s="22"/>
    </row>
    <row r="45" spans="1:17" s="26" customFormat="1" ht="24.95" customHeight="1" x14ac:dyDescent="0.35">
      <c r="A45" s="86">
        <v>2</v>
      </c>
      <c r="B45" s="10" t="s">
        <v>86</v>
      </c>
      <c r="C45" s="33">
        <v>338.64</v>
      </c>
      <c r="D45" s="24">
        <f t="shared" si="10"/>
        <v>9.6749310035483885E-2</v>
      </c>
      <c r="E45" s="25"/>
      <c r="G45" s="21"/>
      <c r="H45" s="22"/>
    </row>
    <row r="46" spans="1:17" s="26" customFormat="1" ht="24.95" customHeight="1" x14ac:dyDescent="0.35">
      <c r="A46" s="86">
        <v>3</v>
      </c>
      <c r="B46" s="10" t="s">
        <v>69</v>
      </c>
      <c r="C46" s="33">
        <v>233.42</v>
      </c>
      <c r="D46" s="24">
        <f t="shared" si="10"/>
        <v>6.6687998902913562E-2</v>
      </c>
      <c r="E46" s="25"/>
      <c r="G46" s="21"/>
      <c r="H46" s="22"/>
    </row>
    <row r="47" spans="1:17" s="26" customFormat="1" ht="24.95" customHeight="1" x14ac:dyDescent="0.35">
      <c r="A47" s="85">
        <v>4</v>
      </c>
      <c r="B47" s="10" t="s">
        <v>63</v>
      </c>
      <c r="C47" s="33">
        <v>230.66</v>
      </c>
      <c r="D47" s="24">
        <f t="shared" si="10"/>
        <v>6.589946802735859E-2</v>
      </c>
      <c r="E47" s="25"/>
      <c r="G47" s="21"/>
      <c r="H47" s="22"/>
    </row>
    <row r="48" spans="1:17" s="26" customFormat="1" ht="24.95" customHeight="1" x14ac:dyDescent="0.35">
      <c r="A48" s="86">
        <v>5</v>
      </c>
      <c r="B48" s="10" t="s">
        <v>68</v>
      </c>
      <c r="C48" s="33">
        <v>226.86</v>
      </c>
      <c r="D48" s="24">
        <f t="shared" si="10"/>
        <v>6.4813809575507558E-2</v>
      </c>
      <c r="E48" s="25"/>
      <c r="G48" s="21"/>
      <c r="H48" s="22"/>
    </row>
    <row r="49" spans="1:5" s="26" customFormat="1" ht="24.95" customHeight="1" x14ac:dyDescent="0.25">
      <c r="A49" s="85">
        <v>6</v>
      </c>
      <c r="B49" s="10" t="s">
        <v>41</v>
      </c>
      <c r="C49" s="33">
        <v>225.5</v>
      </c>
      <c r="D49" s="24">
        <f t="shared" si="10"/>
        <v>6.4425258129581914E-2</v>
      </c>
      <c r="E49" s="25"/>
    </row>
    <row r="50" spans="1:5" s="26" customFormat="1" ht="24.95" customHeight="1" x14ac:dyDescent="0.25">
      <c r="A50" s="86">
        <v>7</v>
      </c>
      <c r="B50" s="10" t="s">
        <v>40</v>
      </c>
      <c r="C50" s="33">
        <v>214.5</v>
      </c>
      <c r="D50" s="24">
        <f t="shared" si="10"/>
        <v>6.1282562611065718E-2</v>
      </c>
      <c r="E50" s="25"/>
    </row>
    <row r="51" spans="1:5" s="26" customFormat="1" ht="24.95" customHeight="1" x14ac:dyDescent="0.25">
      <c r="A51" s="85">
        <v>8</v>
      </c>
      <c r="B51" s="10" t="s">
        <v>32</v>
      </c>
      <c r="C51" s="33">
        <v>210.76</v>
      </c>
      <c r="D51" s="24">
        <f t="shared" si="10"/>
        <v>6.0214046134770209E-2</v>
      </c>
      <c r="E51" s="25"/>
    </row>
    <row r="52" spans="1:5" s="26" customFormat="1" ht="24.95" customHeight="1" x14ac:dyDescent="0.25">
      <c r="A52" s="86">
        <v>9</v>
      </c>
      <c r="B52" s="10" t="s">
        <v>37</v>
      </c>
      <c r="C52" s="33">
        <v>208.46</v>
      </c>
      <c r="D52" s="24">
        <f t="shared" si="10"/>
        <v>5.9556937071807738E-2</v>
      </c>
      <c r="E52" s="25"/>
    </row>
    <row r="53" spans="1:5" s="26" customFormat="1" ht="24.95" customHeight="1" thickBot="1" x14ac:dyDescent="0.3">
      <c r="A53" s="87">
        <v>10</v>
      </c>
      <c r="B53" s="16" t="s">
        <v>30</v>
      </c>
      <c r="C53" s="34">
        <v>208.4</v>
      </c>
      <c r="D53" s="27">
        <f t="shared" si="10"/>
        <v>5.95397950962522E-2</v>
      </c>
      <c r="E53" s="25"/>
    </row>
    <row r="54" spans="1:5" x14ac:dyDescent="0.25">
      <c r="A54" s="441" t="s">
        <v>175</v>
      </c>
      <c r="B54" s="441"/>
      <c r="C54" s="441"/>
      <c r="D54" s="441"/>
      <c r="E54" s="441"/>
    </row>
    <row r="55" spans="1:5" x14ac:dyDescent="0.25">
      <c r="A55" s="441"/>
      <c r="B55" s="441"/>
      <c r="C55" s="441"/>
      <c r="D55" s="441"/>
      <c r="E55" s="441"/>
    </row>
    <row r="56" spans="1:5" ht="27" x14ac:dyDescent="0.25">
      <c r="A56" s="442" t="s">
        <v>176</v>
      </c>
      <c r="B56" s="442"/>
      <c r="C56" s="442"/>
      <c r="D56" s="442"/>
      <c r="E56" s="442"/>
    </row>
  </sheetData>
  <dataConsolidate/>
  <mergeCells count="54">
    <mergeCell ref="A54:E55"/>
    <mergeCell ref="A56:E56"/>
    <mergeCell ref="A40:D40"/>
    <mergeCell ref="A41:A43"/>
    <mergeCell ref="B41:D41"/>
    <mergeCell ref="B42:B43"/>
    <mergeCell ref="C42:C43"/>
    <mergeCell ref="D42:D43"/>
    <mergeCell ref="A39:D39"/>
    <mergeCell ref="A23:Q23"/>
    <mergeCell ref="A24:C24"/>
    <mergeCell ref="D24:N24"/>
    <mergeCell ref="O24:O27"/>
    <mergeCell ref="P24:P27"/>
    <mergeCell ref="Q24:Q27"/>
    <mergeCell ref="A25:A27"/>
    <mergeCell ref="B25:C25"/>
    <mergeCell ref="D25:I25"/>
    <mergeCell ref="J25:N25"/>
    <mergeCell ref="B26:B27"/>
    <mergeCell ref="C26:C27"/>
    <mergeCell ref="D26:I26"/>
    <mergeCell ref="J26:L26"/>
    <mergeCell ref="M26:N26"/>
    <mergeCell ref="D9:I9"/>
    <mergeCell ref="J9:N9"/>
    <mergeCell ref="B10:B11"/>
    <mergeCell ref="C10:C11"/>
    <mergeCell ref="D10:I10"/>
    <mergeCell ref="J10:K10"/>
    <mergeCell ref="L10:N10"/>
    <mergeCell ref="L3:M3"/>
    <mergeCell ref="A5:C5"/>
    <mergeCell ref="A7:Q7"/>
    <mergeCell ref="A8:C8"/>
    <mergeCell ref="D8:N8"/>
    <mergeCell ref="O8:O11"/>
    <mergeCell ref="P8:P11"/>
    <mergeCell ref="Q8:Q11"/>
    <mergeCell ref="A9:A11"/>
    <mergeCell ref="B9:C9"/>
    <mergeCell ref="A3:B4"/>
    <mergeCell ref="C3:C4"/>
    <mergeCell ref="D3:E3"/>
    <mergeCell ref="F3:G3"/>
    <mergeCell ref="H3:I3"/>
    <mergeCell ref="J3:K3"/>
    <mergeCell ref="A1:M1"/>
    <mergeCell ref="A2:B2"/>
    <mergeCell ref="D2:E2"/>
    <mergeCell ref="F2:G2"/>
    <mergeCell ref="H2:I2"/>
    <mergeCell ref="J2:K2"/>
    <mergeCell ref="L2:M2"/>
  </mergeCells>
  <phoneticPr fontId="180" type="noConversion"/>
  <conditionalFormatting sqref="A12:A22">
    <cfRule type="containsText" dxfId="37" priority="33" operator="containsText" text="024">
      <formula>NOT(ISERROR(SEARCH("024",A12)))</formula>
    </cfRule>
    <cfRule type="containsText" dxfId="36" priority="34" operator="containsText" text="白醬">
      <formula>NOT(ISERROR(SEARCH("白醬",A12)))</formula>
    </cfRule>
    <cfRule type="containsText" dxfId="35" priority="35" operator="containsText" text="青蔥">
      <formula>NOT(ISERROR(SEARCH("青蔥",A12)))</formula>
    </cfRule>
    <cfRule type="containsText" dxfId="34" priority="36" operator="containsText" text=")川燙小青花菜">
      <formula>NOT(ISERROR(SEARCH(")川燙小青花菜",A12)))</formula>
    </cfRule>
    <cfRule type="containsText" dxfId="33" priority="37" operator="containsText" text="湯凍">
      <formula>NOT(ISERROR(SEARCH("湯凍",A12)))</formula>
    </cfRule>
    <cfRule type="containsText" dxfId="32" priority="38" operator="containsText" text="中華">
      <formula>NOT(ISERROR(SEARCH("中華",A12)))</formula>
    </cfRule>
  </conditionalFormatting>
  <conditionalFormatting sqref="A12:A22">
    <cfRule type="containsText" dxfId="31" priority="31" operator="containsText" text="綠豆芽">
      <formula>NOT(ISERROR(SEARCH("綠豆芽",A12)))</formula>
    </cfRule>
    <cfRule type="containsText" dxfId="30" priority="32" operator="containsText" text="煮白細麵生(方#12)">
      <formula>NOT(ISERROR(SEARCH("煮白細麵生(方#12)",A12)))</formula>
    </cfRule>
  </conditionalFormatting>
  <conditionalFormatting sqref="E5">
    <cfRule type="cellIs" dxfId="29" priority="16" operator="greaterThan">
      <formula>0.0025</formula>
    </cfRule>
    <cfRule type="cellIs" dxfId="28" priority="19" operator="greaterThan">
      <formula>0.0025</formula>
    </cfRule>
    <cfRule type="cellIs" dxfId="27" priority="29" operator="greaterThan">
      <formula>0.072</formula>
    </cfRule>
    <cfRule type="cellIs" dxfId="26" priority="30" operator="greaterThan">
      <formula>7.2</formula>
    </cfRule>
  </conditionalFormatting>
  <conditionalFormatting sqref="E5">
    <cfRule type="cellIs" dxfId="25" priority="28" operator="greaterThan">
      <formula>0.0025</formula>
    </cfRule>
  </conditionalFormatting>
  <conditionalFormatting sqref="A44:A53">
    <cfRule type="containsText" dxfId="24" priority="22" operator="containsText" text="024">
      <formula>NOT(ISERROR(SEARCH("024",A44)))</formula>
    </cfRule>
    <cfRule type="containsText" dxfId="23" priority="23" operator="containsText" text="白醬">
      <formula>NOT(ISERROR(SEARCH("白醬",A44)))</formula>
    </cfRule>
    <cfRule type="containsText" dxfId="22" priority="24" operator="containsText" text="青蔥">
      <formula>NOT(ISERROR(SEARCH("青蔥",A44)))</formula>
    </cfRule>
    <cfRule type="containsText" dxfId="21" priority="25" operator="containsText" text=")川燙小青花菜">
      <formula>NOT(ISERROR(SEARCH(")川燙小青花菜",A44)))</formula>
    </cfRule>
    <cfRule type="containsText" dxfId="20" priority="26" operator="containsText" text="湯凍">
      <formula>NOT(ISERROR(SEARCH("湯凍",A44)))</formula>
    </cfRule>
    <cfRule type="containsText" dxfId="19" priority="27" operator="containsText" text="中華">
      <formula>NOT(ISERROR(SEARCH("中華",A44)))</formula>
    </cfRule>
  </conditionalFormatting>
  <conditionalFormatting sqref="A44:A53">
    <cfRule type="containsText" dxfId="18" priority="20" operator="containsText" text="綠豆芽">
      <formula>NOT(ISERROR(SEARCH("綠豆芽",A44)))</formula>
    </cfRule>
    <cfRule type="containsText" dxfId="17" priority="21" operator="containsText" text="煮白細麵生(方#12)">
      <formula>NOT(ISERROR(SEARCH("煮白細麵生(方#12)",A44)))</formula>
    </cfRule>
  </conditionalFormatting>
  <conditionalFormatting sqref="D44:D53">
    <cfRule type="cellIs" dxfId="16" priority="18" operator="greaterThan">
      <formula>0.146</formula>
    </cfRule>
  </conditionalFormatting>
  <conditionalFormatting sqref="H12:H22">
    <cfRule type="cellIs" dxfId="15" priority="17" operator="greaterThan">
      <formula>1.1</formula>
    </cfRule>
  </conditionalFormatting>
  <conditionalFormatting sqref="I5">
    <cfRule type="cellIs" dxfId="14" priority="15" operator="greaterThan">
      <formula>0.2</formula>
    </cfRule>
  </conditionalFormatting>
  <conditionalFormatting sqref="A28:A37">
    <cfRule type="containsText" dxfId="13" priority="9" operator="containsText" text="024">
      <formula>NOT(ISERROR(SEARCH("024",A28)))</formula>
    </cfRule>
    <cfRule type="containsText" dxfId="12" priority="10" operator="containsText" text="白醬">
      <formula>NOT(ISERROR(SEARCH("白醬",A28)))</formula>
    </cfRule>
    <cfRule type="containsText" dxfId="11" priority="11" operator="containsText" text="青蔥">
      <formula>NOT(ISERROR(SEARCH("青蔥",A28)))</formula>
    </cfRule>
    <cfRule type="containsText" dxfId="10" priority="12" operator="containsText" text=")川燙小青花菜">
      <formula>NOT(ISERROR(SEARCH(")川燙小青花菜",A28)))</formula>
    </cfRule>
    <cfRule type="containsText" dxfId="9" priority="13" operator="containsText" text="湯凍">
      <formula>NOT(ISERROR(SEARCH("湯凍",A28)))</formula>
    </cfRule>
    <cfRule type="containsText" dxfId="8" priority="14" operator="containsText" text="中華">
      <formula>NOT(ISERROR(SEARCH("中華",A28)))</formula>
    </cfRule>
  </conditionalFormatting>
  <conditionalFormatting sqref="A28:A37">
    <cfRule type="containsText" dxfId="7" priority="7" operator="containsText" text="綠豆芽">
      <formula>NOT(ISERROR(SEARCH("綠豆芽",A28)))</formula>
    </cfRule>
    <cfRule type="containsText" dxfId="6" priority="8" operator="containsText" text="煮白細麵生(方#12)">
      <formula>NOT(ISERROR(SEARCH("煮白細麵生(方#12)",A28)))</formula>
    </cfRule>
  </conditionalFormatting>
  <conditionalFormatting sqref="H28:H37">
    <cfRule type="cellIs" dxfId="5" priority="6" operator="greaterThan">
      <formula>1.1</formula>
    </cfRule>
  </conditionalFormatting>
  <conditionalFormatting sqref="G5">
    <cfRule type="cellIs" dxfId="4" priority="1" operator="greaterThan">
      <formula>0.0025</formula>
    </cfRule>
    <cfRule type="cellIs" dxfId="3" priority="2" operator="greaterThan">
      <formula>0.0025</formula>
    </cfRule>
    <cfRule type="cellIs" dxfId="2" priority="4" operator="greaterThan">
      <formula>0.072</formula>
    </cfRule>
    <cfRule type="cellIs" dxfId="1" priority="5" operator="greaterThan">
      <formula>7.2</formula>
    </cfRule>
  </conditionalFormatting>
  <conditionalFormatting sqref="G5">
    <cfRule type="cellIs" dxfId="0" priority="3" operator="greaterThan">
      <formula>0.0025</formula>
    </cfRule>
  </conditionalFormatting>
  <pageMargins left="0.11811023622047245" right="0.70866141732283472" top="0.74803149606299213" bottom="0.74803149606299213" header="0.31496062992125984" footer="0.31496062992125984"/>
  <pageSetup paperSize="8" scale="42" orientation="landscape" horizontalDpi="300" verticalDpi="30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9"/>
  <sheetViews>
    <sheetView workbookViewId="0">
      <selection activeCell="C2" sqref="C2"/>
    </sheetView>
  </sheetViews>
  <sheetFormatPr defaultRowHeight="15.75" x14ac:dyDescent="0.25"/>
  <cols>
    <col min="2" max="2" width="10.140625" bestFit="1" customWidth="1"/>
  </cols>
  <sheetData>
    <row r="2" spans="2:3" x14ac:dyDescent="0.25">
      <c r="B2" t="s">
        <v>17</v>
      </c>
      <c r="C2" t="s">
        <v>670</v>
      </c>
    </row>
    <row r="3" spans="2:3" x14ac:dyDescent="0.25">
      <c r="B3" t="s">
        <v>21</v>
      </c>
      <c r="C3" t="s">
        <v>66</v>
      </c>
    </row>
    <row r="4" spans="2:3" x14ac:dyDescent="0.25">
      <c r="B4" t="s">
        <v>20</v>
      </c>
      <c r="C4" t="s">
        <v>671</v>
      </c>
    </row>
    <row r="5" spans="2:3" x14ac:dyDescent="0.25">
      <c r="B5" t="s">
        <v>23</v>
      </c>
      <c r="C5" t="s">
        <v>672</v>
      </c>
    </row>
    <row r="6" spans="2:3" x14ac:dyDescent="0.25">
      <c r="C6" t="s">
        <v>673</v>
      </c>
    </row>
    <row r="7" spans="2:3" x14ac:dyDescent="0.25">
      <c r="C7" t="s">
        <v>674</v>
      </c>
    </row>
    <row r="8" spans="2:3" x14ac:dyDescent="0.25">
      <c r="C8" t="s">
        <v>675</v>
      </c>
    </row>
    <row r="9" spans="2:3" x14ac:dyDescent="0.25">
      <c r="C9" t="s">
        <v>676</v>
      </c>
    </row>
  </sheetData>
  <phoneticPr fontId="180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1c1d4ea67cf6c3e805f348346c37c63e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ad19dceaaf0ea6267f87f4e2285393ad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E993198-81B8-43C0-B6E8-1E5E728A6397}"/>
</file>

<file path=customXml/itemProps2.xml><?xml version="1.0" encoding="utf-8"?>
<ds:datastoreItem xmlns:ds="http://schemas.openxmlformats.org/officeDocument/2006/customXml" ds:itemID="{0F9913B1-9BAE-484C-9751-100E1F6BA275}"/>
</file>

<file path=customXml/itemProps3.xml><?xml version="1.0" encoding="utf-8"?>
<ds:datastoreItem xmlns:ds="http://schemas.openxmlformats.org/officeDocument/2006/customXml" ds:itemID="{FB57184F-A0F9-485B-B136-E6311D55E03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33</vt:i4>
      </vt:variant>
    </vt:vector>
  </HeadingPairs>
  <TitlesOfParts>
    <vt:vector size="33" baseType="lpstr">
      <vt:lpstr>日別報廢率總表 </vt:lpstr>
      <vt:lpstr>0831分析標準表 </vt:lpstr>
      <vt:lpstr>0830分析標準表 </vt:lpstr>
      <vt:lpstr>0829分析標準表 </vt:lpstr>
      <vt:lpstr>0828分析標準表 </vt:lpstr>
      <vt:lpstr>0827分析標準表 </vt:lpstr>
      <vt:lpstr>0826分析標準表 </vt:lpstr>
      <vt:lpstr>0825分析標準表 </vt:lpstr>
      <vt:lpstr>0824分析標準表 </vt:lpstr>
      <vt:lpstr>0823分析標準表 </vt:lpstr>
      <vt:lpstr>0822分析標準表 </vt:lpstr>
      <vt:lpstr>0821分析標準表 </vt:lpstr>
      <vt:lpstr>0820分析標準表 </vt:lpstr>
      <vt:lpstr>0819分析標準表 </vt:lpstr>
      <vt:lpstr>0818分析標準表 </vt:lpstr>
      <vt:lpstr>0817分析標準表 </vt:lpstr>
      <vt:lpstr>0816分析標準表 </vt:lpstr>
      <vt:lpstr>0815分析標準表 </vt:lpstr>
      <vt:lpstr>0814分析標準表 </vt:lpstr>
      <vt:lpstr>0813分析標準表 </vt:lpstr>
      <vt:lpstr>0812分析標準表 </vt:lpstr>
      <vt:lpstr>0811分析標準表 </vt:lpstr>
      <vt:lpstr>0810分析標準表 </vt:lpstr>
      <vt:lpstr>0809分析標準表 </vt:lpstr>
      <vt:lpstr>0808分析標準表 </vt:lpstr>
      <vt:lpstr>0807分析標準表 </vt:lpstr>
      <vt:lpstr>0806分析標準表 </vt:lpstr>
      <vt:lpstr>0805分析標準表 </vt:lpstr>
      <vt:lpstr>0804分析標準表 </vt:lpstr>
      <vt:lpstr>0803分析標準表 </vt:lpstr>
      <vt:lpstr>0802分析標準表 </vt:lpstr>
      <vt:lpstr>0801分析標準表 </vt:lpstr>
      <vt:lpstr>下拉式選單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2025-09-03T05:35:49Z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